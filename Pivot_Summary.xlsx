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ELLO\Downloads\"/>
    </mc:Choice>
  </mc:AlternateContent>
  <xr:revisionPtr revIDLastSave="0" documentId="8_{678477CC-9791-471D-8726-90DAB3887046}" xr6:coauthVersionLast="47" xr6:coauthVersionMax="47" xr10:uidLastSave="{00000000-0000-0000-0000-000000000000}"/>
  <bookViews>
    <workbookView xWindow="-108" yWindow="-108" windowWidth="23256" windowHeight="12456" xr2:uid="{00000000-000D-0000-FFFF-FFFF00000000}"/>
  </bookViews>
  <sheets>
    <sheet name="Pivot Table" sheetId="4" r:id="rId1"/>
    <sheet name="Vlookup" sheetId="5" r:id="rId2"/>
    <sheet name="Hlookup" sheetId="7" r:id="rId3"/>
    <sheet name="Raw Data for Hlookup" sheetId="6" r:id="rId4"/>
    <sheet name="Data" sheetId="1" r:id="rId5"/>
  </sheets>
  <definedNames>
    <definedName name="_xlnm._FilterDatabase" localSheetId="4" hidden="1">Data!$A$1:$N$1077</definedName>
    <definedName name="_xlnm._FilterDatabase" localSheetId="1" hidden="1">Vlookup!$A$3:$A$1079</definedName>
    <definedName name="MovieRange">Data!$A$1:$N$1077</definedName>
    <definedName name="NativeTimeline_Release_Date">#N/A</definedName>
    <definedName name="Slicer_Country">#N/A</definedName>
  </definedNames>
  <calcPr calcId="191029"/>
  <pivotCaches>
    <pivotCache cacheId="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5" l="1"/>
  <c r="M28" i="7"/>
  <c r="L28" i="7"/>
  <c r="K28" i="7"/>
  <c r="J28" i="7"/>
  <c r="I28" i="7"/>
  <c r="H28" i="7"/>
  <c r="G28" i="7"/>
  <c r="F28" i="7"/>
  <c r="E28" i="7"/>
  <c r="D28" i="7"/>
  <c r="C28" i="7"/>
  <c r="B28" i="7"/>
  <c r="M27" i="7"/>
  <c r="L27" i="7"/>
  <c r="K27" i="7"/>
  <c r="J27" i="7"/>
  <c r="I27" i="7"/>
  <c r="H27" i="7"/>
  <c r="G27" i="7"/>
  <c r="F27" i="7"/>
  <c r="E27" i="7"/>
  <c r="D27" i="7"/>
  <c r="C27" i="7"/>
  <c r="B27" i="7"/>
  <c r="M26" i="7"/>
  <c r="L26" i="7"/>
  <c r="K26" i="7"/>
  <c r="J26" i="7"/>
  <c r="I26" i="7"/>
  <c r="H26" i="7"/>
  <c r="G26" i="7"/>
  <c r="F26" i="7"/>
  <c r="E26" i="7"/>
  <c r="D26" i="7"/>
  <c r="C26" i="7"/>
  <c r="B26" i="7"/>
  <c r="M25" i="7"/>
  <c r="L25" i="7"/>
  <c r="K25" i="7"/>
  <c r="J25" i="7"/>
  <c r="I25" i="7"/>
  <c r="H25" i="7"/>
  <c r="G25" i="7"/>
  <c r="F25" i="7"/>
  <c r="E25" i="7"/>
  <c r="D25" i="7"/>
  <c r="C25" i="7"/>
  <c r="B25" i="7"/>
  <c r="M24" i="7"/>
  <c r="L24" i="7"/>
  <c r="K24" i="7"/>
  <c r="J24" i="7"/>
  <c r="I24" i="7"/>
  <c r="H24" i="7"/>
  <c r="G24" i="7"/>
  <c r="F24" i="7"/>
  <c r="E24" i="7"/>
  <c r="D24" i="7"/>
  <c r="C24" i="7"/>
  <c r="B24" i="7"/>
  <c r="M23" i="7"/>
  <c r="L23" i="7"/>
  <c r="K23" i="7"/>
  <c r="J23" i="7"/>
  <c r="I23" i="7"/>
  <c r="H23" i="7"/>
  <c r="G23" i="7"/>
  <c r="F23" i="7"/>
  <c r="E23" i="7"/>
  <c r="D23" i="7"/>
  <c r="C23" i="7"/>
  <c r="B23" i="7"/>
  <c r="M22" i="7"/>
  <c r="L22" i="7"/>
  <c r="K22" i="7"/>
  <c r="J22" i="7"/>
  <c r="I22" i="7"/>
  <c r="H22" i="7"/>
  <c r="G22" i="7"/>
  <c r="F22" i="7"/>
  <c r="E22" i="7"/>
  <c r="D22" i="7"/>
  <c r="C22" i="7"/>
  <c r="B22" i="7"/>
  <c r="M21" i="7"/>
  <c r="L21" i="7"/>
  <c r="K21" i="7"/>
  <c r="J21" i="7"/>
  <c r="I21" i="7"/>
  <c r="H21" i="7"/>
  <c r="G21" i="7"/>
  <c r="F21" i="7"/>
  <c r="E21" i="7"/>
  <c r="D21" i="7"/>
  <c r="C21" i="7"/>
  <c r="B21" i="7"/>
  <c r="M20" i="7"/>
  <c r="L20" i="7"/>
  <c r="K20" i="7"/>
  <c r="J20" i="7"/>
  <c r="I20" i="7"/>
  <c r="H20" i="7"/>
  <c r="G20" i="7"/>
  <c r="F20" i="7"/>
  <c r="E20" i="7"/>
  <c r="D20" i="7"/>
  <c r="C20" i="7"/>
  <c r="B20" i="7"/>
  <c r="M19" i="7"/>
  <c r="L19" i="7"/>
  <c r="K19" i="7"/>
  <c r="J19" i="7"/>
  <c r="I19" i="7"/>
  <c r="H19" i="7"/>
  <c r="G19" i="7"/>
  <c r="F19" i="7"/>
  <c r="E19" i="7"/>
  <c r="D19" i="7"/>
  <c r="C19" i="7"/>
  <c r="B19" i="7"/>
  <c r="M18" i="7"/>
  <c r="L18" i="7"/>
  <c r="K18" i="7"/>
  <c r="J18" i="7"/>
  <c r="I18" i="7"/>
  <c r="H18" i="7"/>
  <c r="G18" i="7"/>
  <c r="F18" i="7"/>
  <c r="E18" i="7"/>
  <c r="D18" i="7"/>
  <c r="C18" i="7"/>
  <c r="B18" i="7"/>
  <c r="M17" i="7"/>
  <c r="L17" i="7"/>
  <c r="K17" i="7"/>
  <c r="J17" i="7"/>
  <c r="I17" i="7"/>
  <c r="H17" i="7"/>
  <c r="G17" i="7"/>
  <c r="F17" i="7"/>
  <c r="E17" i="7"/>
  <c r="D17" i="7"/>
  <c r="C17" i="7"/>
  <c r="B17" i="7"/>
  <c r="M16" i="7"/>
  <c r="L16" i="7"/>
  <c r="K16" i="7"/>
  <c r="J16" i="7"/>
  <c r="I16" i="7"/>
  <c r="H16" i="7"/>
  <c r="G16" i="7"/>
  <c r="F16" i="7"/>
  <c r="E16" i="7"/>
  <c r="D16" i="7"/>
  <c r="C16" i="7"/>
  <c r="B16" i="7"/>
  <c r="M15" i="7"/>
  <c r="L15" i="7"/>
  <c r="K15" i="7"/>
  <c r="J15" i="7"/>
  <c r="I15" i="7"/>
  <c r="H15" i="7"/>
  <c r="G15" i="7"/>
  <c r="F15" i="7"/>
  <c r="E15" i="7"/>
  <c r="D15" i="7"/>
  <c r="C15" i="7"/>
  <c r="B15" i="7"/>
  <c r="M14" i="7"/>
  <c r="L14" i="7"/>
  <c r="K14" i="7"/>
  <c r="J14" i="7"/>
  <c r="I14" i="7"/>
  <c r="H14" i="7"/>
  <c r="G14" i="7"/>
  <c r="F14" i="7"/>
  <c r="E14" i="7"/>
  <c r="D14" i="7"/>
  <c r="C14" i="7"/>
  <c r="B14" i="7"/>
  <c r="M13" i="7"/>
  <c r="L13" i="7"/>
  <c r="K13" i="7"/>
  <c r="J13" i="7"/>
  <c r="I13" i="7"/>
  <c r="H13" i="7"/>
  <c r="G13" i="7"/>
  <c r="F13" i="7"/>
  <c r="E13" i="7"/>
  <c r="D13" i="7"/>
  <c r="C13" i="7"/>
  <c r="B13" i="7"/>
  <c r="M12" i="7"/>
  <c r="L12" i="7"/>
  <c r="K12" i="7"/>
  <c r="J12" i="7"/>
  <c r="I12" i="7"/>
  <c r="H12" i="7"/>
  <c r="G12" i="7"/>
  <c r="F12" i="7"/>
  <c r="E12" i="7"/>
  <c r="D12" i="7"/>
  <c r="C12" i="7"/>
  <c r="B12" i="7"/>
  <c r="M11" i="7"/>
  <c r="L11" i="7"/>
  <c r="K11" i="7"/>
  <c r="J11" i="7"/>
  <c r="I11" i="7"/>
  <c r="H11" i="7"/>
  <c r="G11" i="7"/>
  <c r="F11" i="7"/>
  <c r="E11" i="7"/>
  <c r="D11" i="7"/>
  <c r="C11" i="7"/>
  <c r="B11" i="7"/>
  <c r="M10" i="7"/>
  <c r="L10" i="7"/>
  <c r="K10" i="7"/>
  <c r="J10" i="7"/>
  <c r="I10" i="7"/>
  <c r="H10" i="7"/>
  <c r="G10" i="7"/>
  <c r="F10" i="7"/>
  <c r="E10" i="7"/>
  <c r="D10" i="7"/>
  <c r="C10" i="7"/>
  <c r="B10" i="7"/>
  <c r="M9" i="7"/>
  <c r="L9" i="7"/>
  <c r="K9" i="7"/>
  <c r="J9" i="7"/>
  <c r="I9" i="7"/>
  <c r="H9" i="7"/>
  <c r="G9" i="7"/>
  <c r="F9" i="7"/>
  <c r="E9" i="7"/>
  <c r="D9" i="7"/>
  <c r="C9" i="7"/>
  <c r="B9" i="7"/>
  <c r="M8" i="7"/>
  <c r="L8" i="7"/>
  <c r="K8" i="7"/>
  <c r="J8" i="7"/>
  <c r="I8" i="7"/>
  <c r="H8" i="7"/>
  <c r="G8" i="7"/>
  <c r="F8" i="7"/>
  <c r="E8" i="7"/>
  <c r="D8" i="7"/>
  <c r="C8" i="7"/>
  <c r="B8" i="7"/>
  <c r="M7" i="7"/>
  <c r="L7" i="7"/>
  <c r="K7" i="7"/>
  <c r="J7" i="7"/>
  <c r="I7" i="7"/>
  <c r="H7" i="7"/>
  <c r="G7" i="7"/>
  <c r="F7" i="7"/>
  <c r="E7" i="7"/>
  <c r="D7" i="7"/>
  <c r="C7" i="7"/>
  <c r="B7" i="7"/>
  <c r="M6" i="7"/>
  <c r="L6" i="7"/>
  <c r="K6" i="7"/>
  <c r="J6" i="7"/>
  <c r="I6" i="7"/>
  <c r="H6" i="7"/>
  <c r="G6" i="7"/>
  <c r="F6" i="7"/>
  <c r="E6" i="7"/>
  <c r="D6" i="7"/>
  <c r="C6" i="7"/>
  <c r="B6" i="7"/>
  <c r="M5" i="7"/>
  <c r="L5" i="7"/>
  <c r="K5" i="7"/>
  <c r="J5" i="7"/>
  <c r="I5" i="7"/>
  <c r="H5" i="7"/>
  <c r="G5" i="7"/>
  <c r="F5" i="7"/>
  <c r="E5" i="7"/>
  <c r="D5" i="7"/>
  <c r="C5" i="7"/>
  <c r="B5" i="7"/>
  <c r="M4" i="7"/>
  <c r="L4" i="7"/>
  <c r="K4" i="7"/>
  <c r="J4" i="7"/>
  <c r="I4" i="7"/>
  <c r="H4" i="7"/>
  <c r="G4" i="7"/>
  <c r="F4" i="7"/>
  <c r="E4" i="7"/>
  <c r="D4" i="7"/>
  <c r="C4" i="7"/>
  <c r="B4" i="7"/>
  <c r="M3" i="7"/>
  <c r="L3" i="7"/>
  <c r="K3" i="7"/>
  <c r="J3" i="7"/>
  <c r="I3" i="7"/>
  <c r="H3" i="7"/>
  <c r="G3" i="7"/>
  <c r="F3" i="7"/>
  <c r="E3" i="7"/>
  <c r="D3" i="7"/>
  <c r="C3" i="7"/>
  <c r="B3" i="7"/>
  <c r="M2" i="7"/>
  <c r="L2" i="7"/>
  <c r="K2" i="7"/>
  <c r="J2" i="7"/>
  <c r="I2" i="7"/>
  <c r="H2" i="7"/>
  <c r="G2" i="7"/>
  <c r="F2" i="7"/>
  <c r="E2" i="7"/>
  <c r="D2" i="7"/>
  <c r="C2" i="7"/>
  <c r="B2" i="7"/>
  <c r="K30" i="5"/>
  <c r="K29" i="5"/>
  <c r="K28" i="5"/>
  <c r="K27" i="5"/>
  <c r="K26" i="5"/>
  <c r="K25" i="5"/>
  <c r="K24" i="5"/>
  <c r="K23" i="5"/>
  <c r="K22" i="5"/>
  <c r="K21" i="5"/>
  <c r="K20" i="5"/>
  <c r="K19" i="5"/>
  <c r="K18" i="5"/>
  <c r="K17" i="5"/>
  <c r="K16" i="5"/>
  <c r="K15" i="5"/>
  <c r="K14" i="5"/>
  <c r="K13" i="5"/>
  <c r="K12" i="5"/>
  <c r="K11" i="5"/>
  <c r="K10" i="5"/>
  <c r="K9" i="5"/>
  <c r="K8" i="5"/>
  <c r="K7" i="5"/>
  <c r="K6" i="5"/>
  <c r="K5" i="5"/>
  <c r="K4" i="5"/>
  <c r="J30" i="5"/>
  <c r="J29" i="5"/>
  <c r="J28" i="5"/>
  <c r="J27" i="5"/>
  <c r="J26" i="5"/>
  <c r="J25" i="5"/>
  <c r="J24" i="5"/>
  <c r="J23" i="5"/>
  <c r="J22" i="5"/>
  <c r="J21" i="5"/>
  <c r="J20" i="5"/>
  <c r="J19" i="5"/>
  <c r="J18" i="5"/>
  <c r="J17" i="5"/>
  <c r="J16" i="5"/>
  <c r="J15" i="5"/>
  <c r="J14" i="5"/>
  <c r="J13" i="5"/>
  <c r="J12" i="5"/>
  <c r="J11" i="5"/>
  <c r="J10" i="5"/>
  <c r="J9" i="5"/>
  <c r="J8" i="5"/>
  <c r="J7" i="5"/>
  <c r="J6" i="5"/>
  <c r="J5" i="5"/>
  <c r="J4" i="5"/>
  <c r="M30" i="5"/>
  <c r="L30" i="5"/>
  <c r="I30" i="5"/>
  <c r="H30" i="5"/>
  <c r="G30" i="5"/>
  <c r="F30" i="5"/>
  <c r="E30" i="5"/>
  <c r="D30" i="5"/>
  <c r="C30" i="5"/>
  <c r="B30" i="5"/>
  <c r="M29" i="5"/>
  <c r="L29" i="5"/>
  <c r="I29" i="5"/>
  <c r="H29" i="5"/>
  <c r="G29" i="5"/>
  <c r="F29" i="5"/>
  <c r="E29" i="5"/>
  <c r="D29" i="5"/>
  <c r="C29" i="5"/>
  <c r="B29" i="5"/>
  <c r="M28" i="5"/>
  <c r="L28" i="5"/>
  <c r="I28" i="5"/>
  <c r="H28" i="5"/>
  <c r="G28" i="5"/>
  <c r="F28" i="5"/>
  <c r="E28" i="5"/>
  <c r="D28" i="5"/>
  <c r="C28" i="5"/>
  <c r="B28" i="5"/>
  <c r="M27" i="5"/>
  <c r="L27" i="5"/>
  <c r="I27" i="5"/>
  <c r="H27" i="5"/>
  <c r="G27" i="5"/>
  <c r="F27" i="5"/>
  <c r="E27" i="5"/>
  <c r="D27" i="5"/>
  <c r="C27" i="5"/>
  <c r="B27" i="5"/>
  <c r="M26" i="5"/>
  <c r="L26" i="5"/>
  <c r="I26" i="5"/>
  <c r="H26" i="5"/>
  <c r="G26" i="5"/>
  <c r="F26" i="5"/>
  <c r="E26" i="5"/>
  <c r="D26" i="5"/>
  <c r="C26" i="5"/>
  <c r="B26" i="5"/>
  <c r="M25" i="5"/>
  <c r="L25" i="5"/>
  <c r="I25" i="5"/>
  <c r="H25" i="5"/>
  <c r="G25" i="5"/>
  <c r="F25" i="5"/>
  <c r="E25" i="5"/>
  <c r="D25" i="5"/>
  <c r="C25" i="5"/>
  <c r="B25" i="5"/>
  <c r="M24" i="5"/>
  <c r="L24" i="5"/>
  <c r="I24" i="5"/>
  <c r="H24" i="5"/>
  <c r="G24" i="5"/>
  <c r="F24" i="5"/>
  <c r="E24" i="5"/>
  <c r="D24" i="5"/>
  <c r="C24" i="5"/>
  <c r="B24" i="5"/>
  <c r="M23" i="5"/>
  <c r="L23" i="5"/>
  <c r="I23" i="5"/>
  <c r="H23" i="5"/>
  <c r="G23" i="5"/>
  <c r="F23" i="5"/>
  <c r="E23" i="5"/>
  <c r="D23" i="5"/>
  <c r="C23" i="5"/>
  <c r="B23" i="5"/>
  <c r="M22" i="5"/>
  <c r="L22" i="5"/>
  <c r="I22" i="5"/>
  <c r="H22" i="5"/>
  <c r="G22" i="5"/>
  <c r="F22" i="5"/>
  <c r="E22" i="5"/>
  <c r="D22" i="5"/>
  <c r="C22" i="5"/>
  <c r="B22" i="5"/>
  <c r="M21" i="5"/>
  <c r="L21" i="5"/>
  <c r="I21" i="5"/>
  <c r="H21" i="5"/>
  <c r="G21" i="5"/>
  <c r="F21" i="5"/>
  <c r="E21" i="5"/>
  <c r="D21" i="5"/>
  <c r="C21" i="5"/>
  <c r="B21" i="5"/>
  <c r="M20" i="5"/>
  <c r="L20" i="5"/>
  <c r="I20" i="5"/>
  <c r="H20" i="5"/>
  <c r="G20" i="5"/>
  <c r="F20" i="5"/>
  <c r="E20" i="5"/>
  <c r="D20" i="5"/>
  <c r="C20" i="5"/>
  <c r="B20" i="5"/>
  <c r="M19" i="5"/>
  <c r="L19" i="5"/>
  <c r="I19" i="5"/>
  <c r="H19" i="5"/>
  <c r="G19" i="5"/>
  <c r="F19" i="5"/>
  <c r="E19" i="5"/>
  <c r="D19" i="5"/>
  <c r="C19" i="5"/>
  <c r="B19" i="5"/>
  <c r="M18" i="5"/>
  <c r="L18" i="5"/>
  <c r="I18" i="5"/>
  <c r="H18" i="5"/>
  <c r="G18" i="5"/>
  <c r="F18" i="5"/>
  <c r="E18" i="5"/>
  <c r="D18" i="5"/>
  <c r="C18" i="5"/>
  <c r="B18" i="5"/>
  <c r="M17" i="5"/>
  <c r="L17" i="5"/>
  <c r="I17" i="5"/>
  <c r="H17" i="5"/>
  <c r="G17" i="5"/>
  <c r="F17" i="5"/>
  <c r="E17" i="5"/>
  <c r="D17" i="5"/>
  <c r="C17" i="5"/>
  <c r="B17" i="5"/>
  <c r="M16" i="5"/>
  <c r="L16" i="5"/>
  <c r="I16" i="5"/>
  <c r="H16" i="5"/>
  <c r="G16" i="5"/>
  <c r="F16" i="5"/>
  <c r="E16" i="5"/>
  <c r="D16" i="5"/>
  <c r="C16" i="5"/>
  <c r="B16" i="5"/>
  <c r="M15" i="5"/>
  <c r="L15" i="5"/>
  <c r="I15" i="5"/>
  <c r="H15" i="5"/>
  <c r="G15" i="5"/>
  <c r="F15" i="5"/>
  <c r="E15" i="5"/>
  <c r="D15" i="5"/>
  <c r="C15" i="5"/>
  <c r="B15" i="5"/>
  <c r="M14" i="5"/>
  <c r="L14" i="5"/>
  <c r="I14" i="5"/>
  <c r="H14" i="5"/>
  <c r="G14" i="5"/>
  <c r="F14" i="5"/>
  <c r="E14" i="5"/>
  <c r="D14" i="5"/>
  <c r="C14" i="5"/>
  <c r="B14" i="5"/>
  <c r="M13" i="5"/>
  <c r="L13" i="5"/>
  <c r="I13" i="5"/>
  <c r="H13" i="5"/>
  <c r="G13" i="5"/>
  <c r="F13" i="5"/>
  <c r="E13" i="5"/>
  <c r="D13" i="5"/>
  <c r="C13" i="5"/>
  <c r="B13" i="5"/>
  <c r="M12" i="5"/>
  <c r="L12" i="5"/>
  <c r="I12" i="5"/>
  <c r="H12" i="5"/>
  <c r="G12" i="5"/>
  <c r="F12" i="5"/>
  <c r="E12" i="5"/>
  <c r="D12" i="5"/>
  <c r="C12" i="5"/>
  <c r="B12" i="5"/>
  <c r="M11" i="5"/>
  <c r="L11" i="5"/>
  <c r="I11" i="5"/>
  <c r="H11" i="5"/>
  <c r="G11" i="5"/>
  <c r="F11" i="5"/>
  <c r="E11" i="5"/>
  <c r="D11" i="5"/>
  <c r="C11" i="5"/>
  <c r="B11" i="5"/>
  <c r="M10" i="5"/>
  <c r="L10" i="5"/>
  <c r="I10" i="5"/>
  <c r="H10" i="5"/>
  <c r="G10" i="5"/>
  <c r="F10" i="5"/>
  <c r="E10" i="5"/>
  <c r="D10" i="5"/>
  <c r="C10" i="5"/>
  <c r="B10" i="5"/>
  <c r="M9" i="5"/>
  <c r="L9" i="5"/>
  <c r="I9" i="5"/>
  <c r="H9" i="5"/>
  <c r="G9" i="5"/>
  <c r="F9" i="5"/>
  <c r="E9" i="5"/>
  <c r="D9" i="5"/>
  <c r="C9" i="5"/>
  <c r="B9" i="5"/>
  <c r="M8" i="5"/>
  <c r="L8" i="5"/>
  <c r="I8" i="5"/>
  <c r="H8" i="5"/>
  <c r="G8" i="5"/>
  <c r="F8" i="5"/>
  <c r="E8" i="5"/>
  <c r="D8" i="5"/>
  <c r="C8" i="5"/>
  <c r="B8" i="5"/>
  <c r="M7" i="5"/>
  <c r="L7" i="5"/>
  <c r="I7" i="5"/>
  <c r="H7" i="5"/>
  <c r="G7" i="5"/>
  <c r="F7" i="5"/>
  <c r="E7" i="5"/>
  <c r="D7" i="5"/>
  <c r="C7" i="5"/>
  <c r="B7" i="5"/>
  <c r="M6" i="5"/>
  <c r="L6" i="5"/>
  <c r="I6" i="5"/>
  <c r="H6" i="5"/>
  <c r="G6" i="5"/>
  <c r="F6" i="5"/>
  <c r="E6" i="5"/>
  <c r="D6" i="5"/>
  <c r="C6" i="5"/>
  <c r="B6" i="5"/>
  <c r="M5" i="5"/>
  <c r="L5" i="5"/>
  <c r="I5" i="5"/>
  <c r="H5" i="5"/>
  <c r="G5" i="5"/>
  <c r="F5" i="5"/>
  <c r="E5" i="5"/>
  <c r="D5" i="5"/>
  <c r="C5" i="5"/>
  <c r="B5" i="5"/>
  <c r="M4" i="5"/>
  <c r="L4" i="5"/>
  <c r="H4" i="5"/>
  <c r="G4" i="5"/>
  <c r="F4" i="5"/>
  <c r="E4" i="5"/>
  <c r="D4" i="5"/>
  <c r="C4" i="5"/>
  <c r="B4" i="5"/>
</calcChain>
</file>

<file path=xl/sharedStrings.xml><?xml version="1.0" encoding="utf-8"?>
<sst xmlns="http://schemas.openxmlformats.org/spreadsheetml/2006/main" count="15217" uniqueCount="1827">
  <si>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</si>
  <si>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</si>
  <si>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</si>
  <si>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</si>
  <si>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</si>
  <si>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</si>
  <si>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</si>
  <si>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</si>
  <si>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</si>
  <si>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</si>
  <si>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</si>
  <si>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</si>
  <si>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</si>
  <si>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</si>
  <si>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</si>
  <si>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</si>
  <si>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</si>
  <si>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</si>
  <si>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</si>
  <si>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</si>
  <si>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</si>
  <si>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</si>
  <si>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</si>
  <si>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</si>
  <si>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</si>
  <si>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</si>
  <si>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</si>
  <si>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</si>
  <si>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</si>
  <si>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</si>
  <si>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</si>
  <si>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</si>
  <si>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</si>
  <si>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</si>
  <si>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</si>
  <si>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</si>
  <si>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</si>
  <si>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</si>
  <si>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</si>
  <si>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</si>
  <si>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</si>
  <si>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</si>
  <si>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</si>
  <si>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</si>
  <si>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</si>
  <si>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</si>
  <si>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</si>
  <si>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</si>
  <si>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</si>
  <si>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</si>
  <si>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</si>
  <si>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</si>
  <si>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</si>
  <si>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</si>
  <si>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</si>
  <si>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</si>
  <si>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</si>
  <si>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</si>
  <si>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</si>
  <si>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</si>
  <si>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</si>
  <si>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</si>
  <si>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</si>
  <si>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</si>
  <si>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</si>
  <si>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</si>
  <si>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</si>
  <si>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</si>
  <si>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</si>
  <si>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</si>
  <si>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</si>
  <si>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</si>
  <si>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</si>
  <si>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</si>
  <si>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</si>
  <si>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</si>
  <si>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</si>
  <si>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</si>
  <si>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</si>
  <si>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</si>
  <si>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</si>
  <si>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</si>
  <si>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</si>
  <si>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</si>
  <si>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</si>
  <si>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</si>
  <si>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</si>
  <si>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</si>
  <si>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</si>
  <si>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</si>
  <si>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</si>
  <si>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</si>
  <si>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</si>
  <si>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</si>
  <si>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</si>
  <si>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</si>
  <si>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</si>
  <si>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</si>
  <si>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</si>
  <si>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</si>
  <si>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</si>
  <si>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</si>
  <si>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</si>
  <si>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</si>
  <si>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</si>
  <si>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</si>
  <si>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</si>
  <si>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</si>
  <si>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</si>
  <si>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</si>
  <si>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</si>
  <si>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</si>
  <si>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</si>
  <si>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</si>
  <si>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</si>
  <si>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</si>
  <si>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</si>
  <si>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</si>
  <si>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</si>
  <si>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</si>
  <si>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</si>
  <si>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</si>
  <si>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</si>
  <si>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</si>
  <si>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</si>
  <si>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</si>
  <si>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</si>
  <si>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</si>
  <si>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</si>
  <si>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</si>
  <si>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</si>
  <si>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</si>
  <si>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</si>
  <si>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</si>
  <si>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</si>
  <si>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</si>
  <si>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</si>
  <si>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</si>
  <si>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</si>
  <si>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</si>
  <si>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</si>
  <si>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</si>
  <si>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</si>
  <si>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</si>
  <si>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</si>
  <si>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</si>
  <si>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</si>
  <si>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</si>
  <si>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</si>
  <si>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</si>
  <si>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</si>
  <si>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</si>
  <si>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</si>
  <si>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</si>
  <si>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</si>
  <si>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</si>
  <si>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</si>
  <si>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</si>
  <si>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</si>
  <si>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</si>
  <si>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</si>
  <si>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</si>
  <si>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</si>
  <si>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</si>
  <si>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</si>
  <si>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</si>
  <si>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</si>
  <si>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</si>
  <si>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</si>
  <si>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</si>
  <si>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</si>
  <si>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</si>
  <si>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</si>
  <si>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</si>
  <si>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</si>
  <si>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</si>
  <si>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</si>
  <si>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</si>
  <si>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</si>
  <si>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</si>
  <si>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</si>
  <si>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</si>
  <si>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</si>
  <si>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</si>
  <si>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</si>
  <si>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</si>
  <si>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</si>
  <si>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</si>
  <si>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</si>
  <si>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</si>
  <si>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</si>
  <si>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</si>
  <si>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</si>
  <si>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</si>
  <si>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</si>
  <si>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</si>
  <si>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</si>
  <si>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</si>
  <si>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</si>
  <si>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</si>
  <si>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</si>
  <si>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</si>
  <si>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</si>
  <si>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</si>
  <si>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</si>
  <si>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</si>
  <si>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</si>
  <si>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</si>
  <si>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</si>
  <si>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</si>
  <si>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</si>
  <si>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</si>
  <si>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</si>
  <si>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</si>
  <si>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</si>
  <si>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</si>
  <si>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</si>
  <si>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</si>
  <si>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</si>
  <si>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</si>
  <si>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</si>
  <si>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</si>
  <si>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</si>
  <si>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</si>
  <si>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</si>
  <si>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</si>
  <si>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</si>
  <si>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</si>
  <si>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</si>
  <si>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</si>
  <si>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</si>
  <si>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</si>
  <si>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</si>
  <si>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</si>
  <si>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</si>
  <si>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</si>
  <si>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</si>
  <si>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</si>
  <si>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</si>
  <si>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</si>
  <si>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</si>
  <si>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</si>
  <si>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</si>
  <si>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</si>
  <si>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</si>
  <si>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</si>
  <si>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</si>
  <si>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</si>
  <si>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</si>
  <si>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</si>
  <si>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</si>
  <si>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</si>
  <si>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</si>
  <si>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</si>
  <si>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</si>
  <si>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</si>
  <si>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</si>
  <si>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</si>
  <si>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</si>
  <si>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</si>
  <si>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</si>
  <si>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</si>
  <si>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</si>
  <si>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</si>
  <si>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</si>
  <si>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</si>
  <si>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</si>
  <si>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</si>
  <si>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</si>
  <si>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</si>
  <si>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</si>
  <si>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</si>
  <si>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</si>
  <si>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</si>
  <si>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</si>
  <si>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</si>
  <si>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</si>
  <si>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</si>
  <si>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</si>
  <si>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</si>
  <si>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</si>
  <si>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</si>
  <si>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</si>
  <si>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</si>
  <si>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</si>
  <si>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</si>
  <si>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</si>
  <si>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</si>
  <si>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</si>
  <si>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</si>
  <si>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</si>
  <si>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</si>
  <si>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</si>
  <si>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</si>
  <si>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</si>
  <si>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</si>
  <si>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</si>
  <si>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</si>
  <si>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</si>
  <si>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</si>
  <si>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</si>
  <si>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</si>
  <si>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</si>
  <si>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</si>
  <si>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</si>
  <si>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</si>
  <si>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</si>
  <si>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</si>
  <si>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</si>
  <si>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</si>
  <si>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</si>
  <si>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</si>
  <si>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</si>
  <si>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</si>
  <si>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</si>
  <si>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</si>
  <si>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</si>
  <si>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</si>
  <si>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</si>
  <si>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</si>
  <si>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</si>
  <si>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</si>
  <si>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</si>
  <si>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</si>
  <si>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</si>
  <si>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</si>
  <si>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</si>
  <si>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</si>
  <si>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</si>
  <si>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</si>
  <si>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</si>
  <si>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</si>
  <si>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</si>
  <si>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</si>
  <si>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</si>
  <si>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</si>
  <si>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</si>
  <si>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</si>
  <si>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</si>
  <si>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</si>
  <si>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</si>
  <si>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</si>
  <si>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</si>
  <si>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</si>
  <si>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</si>
  <si>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</si>
  <si>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</si>
  <si>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</si>
  <si>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</si>
  <si>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</si>
  <si>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</si>
  <si>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</si>
  <si>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</si>
  <si>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</si>
  <si>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</si>
  <si>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</si>
  <si>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</si>
  <si>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</si>
  <si>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</si>
  <si>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</si>
  <si>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</si>
  <si>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</si>
  <si>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</si>
  <si>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</si>
  <si>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</si>
  <si>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</si>
  <si>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</si>
  <si>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</si>
  <si>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</si>
  <si>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</si>
  <si>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</si>
  <si>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</si>
  <si>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</si>
  <si>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</si>
  <si>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</si>
  <si>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</si>
  <si>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</si>
  <si>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</si>
  <si>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</si>
  <si>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</si>
  <si>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</si>
  <si>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</si>
  <si>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</si>
  <si>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</si>
  <si>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</si>
  <si>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</si>
  <si>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</si>
  <si>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</si>
  <si>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</si>
  <si>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</si>
  <si>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</si>
  <si>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</si>
  <si>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</si>
  <si>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</si>
  <si>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</si>
  <si>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</si>
  <si>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</si>
  <si>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</si>
  <si>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</si>
  <si>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</si>
  <si>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</si>
  <si>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</si>
  <si>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</si>
  <si>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</si>
  <si>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</si>
  <si>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</si>
  <si>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</si>
  <si>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</si>
  <si>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</si>
  <si>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</si>
  <si>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</si>
  <si>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</si>
  <si>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</si>
  <si>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</si>
  <si>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</si>
  <si>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</si>
  <si>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</si>
  <si>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</si>
  <si>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</si>
  <si>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</si>
  <si>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</si>
  <si>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</si>
  <si>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</si>
  <si>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</si>
  <si>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</si>
  <si>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</si>
  <si>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</si>
  <si>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</si>
  <si>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</si>
  <si>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</si>
  <si>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</si>
  <si>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</si>
  <si>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</si>
  <si>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</si>
  <si>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</si>
  <si>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</si>
  <si>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</si>
  <si>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</si>
  <si>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</si>
  <si>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</si>
  <si>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</si>
  <si>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</si>
  <si>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</si>
  <si>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</si>
  <si>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</si>
  <si>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</si>
  <si>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</si>
  <si>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</si>
  <si>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</si>
  <si>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</si>
  <si>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</si>
  <si>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</si>
  <si>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</si>
  <si>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</si>
  <si>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</si>
  <si>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</si>
  <si>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</si>
  <si>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</si>
  <si>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</si>
  <si>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</si>
  <si>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</si>
  <si>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</si>
  <si>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</si>
  <si>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</si>
  <si>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</si>
  <si>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</si>
  <si>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</si>
  <si>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</si>
  <si>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</si>
  <si>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</si>
  <si>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</si>
  <si>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</si>
  <si>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</si>
  <si>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</si>
  <si>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</si>
  <si>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</si>
  <si>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</si>
  <si>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</si>
  <si>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</si>
  <si>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</si>
  <si>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</si>
  <si>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</si>
  <si>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</si>
  <si>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</si>
  <si>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</si>
  <si>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</si>
  <si>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</si>
  <si>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</si>
  <si>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</si>
  <si>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</si>
  <si>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</si>
  <si>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</si>
  <si>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</si>
  <si>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</si>
  <si>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</si>
  <si>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</si>
  <si>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</si>
  <si>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</si>
  <si>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</si>
  <si>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</si>
  <si>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</si>
  <si>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</si>
  <si>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</si>
  <si>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</si>
  <si>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</si>
  <si>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</si>
  <si>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</si>
  <si>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</si>
  <si>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</si>
  <si>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</si>
  <si>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</si>
  <si>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</si>
  <si>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</si>
  <si>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</si>
  <si>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</si>
  <si>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</si>
  <si>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</si>
  <si>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</si>
  <si>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</si>
  <si>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</si>
  <si>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</si>
  <si>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</si>
  <si>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</si>
  <si>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</si>
  <si>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</si>
  <si>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</si>
  <si>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</si>
  <si>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</si>
  <si>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</si>
  <si>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</si>
  <si>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</si>
  <si>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</si>
  <si>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</si>
  <si>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</si>
  <si>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</si>
  <si>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</si>
  <si>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</si>
  <si>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</si>
  <si>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</si>
  <si>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</si>
  <si>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</si>
  <si>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</si>
  <si>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</si>
  <si>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</si>
  <si>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</si>
  <si>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</si>
  <si>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</si>
  <si>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</si>
  <si>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</si>
  <si>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</si>
  <si>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</si>
  <si>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</si>
  <si>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</si>
  <si>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</si>
  <si>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</si>
  <si>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</si>
  <si>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</si>
  <si>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</si>
  <si>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</si>
  <si>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</si>
  <si>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</si>
  <si>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</si>
  <si>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</si>
  <si>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</si>
  <si>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</si>
  <si>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</si>
  <si>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</si>
  <si>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</si>
  <si>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</si>
  <si>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</si>
  <si>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</si>
  <si>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</si>
  <si>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</si>
  <si>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</si>
  <si>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</si>
  <si>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</si>
  <si>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</si>
  <si>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</si>
  <si>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</si>
  <si>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</si>
  <si>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</si>
  <si>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</si>
  <si>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</si>
  <si>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</si>
  <si>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</si>
  <si>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</si>
  <si>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</si>
  <si>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</si>
  <si>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</si>
  <si>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</si>
  <si>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</si>
  <si>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</si>
  <si>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</si>
  <si>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</si>
  <si>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</si>
  <si>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</si>
  <si>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</si>
  <si>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</si>
  <si>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</si>
  <si>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</si>
  <si>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</si>
  <si>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</si>
  <si>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</si>
  <si>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</si>
  <si>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</si>
  <si>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</si>
  <si>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</si>
  <si>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</si>
  <si>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</si>
  <si>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</si>
  <si>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</si>
  <si>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</si>
  <si>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</si>
  <si>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</si>
  <si>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</si>
  <si>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</si>
  <si>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</si>
  <si>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</si>
  <si>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</si>
  <si>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</si>
  <si>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</si>
  <si>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</si>
  <si>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</si>
  <si>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</si>
  <si>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</si>
  <si>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</si>
  <si>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</si>
  <si>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</si>
  <si>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</si>
  <si>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</si>
  <si>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</si>
  <si>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</si>
  <si>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</si>
  <si>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</si>
  <si>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</si>
  <si>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</si>
  <si>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</si>
  <si>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</si>
  <si>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</si>
  <si>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</si>
  <si>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</si>
  <si>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</si>
  <si>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</si>
  <si>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</si>
  <si>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</si>
  <si>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</si>
  <si>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</si>
  <si>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</si>
  <si>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</si>
  <si>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</si>
  <si>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</si>
  <si>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</si>
  <si>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</si>
  <si>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</si>
  <si>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</si>
  <si>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</si>
  <si>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</si>
  <si>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</si>
  <si>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</si>
  <si>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</si>
  <si>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</si>
  <si>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</si>
  <si>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</si>
  <si>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</si>
  <si>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</si>
  <si>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</si>
  <si>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</si>
  <si>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</si>
  <si>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</si>
  <si>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</si>
  <si>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</si>
  <si>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</si>
  <si>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</si>
  <si>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</si>
  <si>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</si>
  <si>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</si>
  <si>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</si>
  <si>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</si>
  <si>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</si>
  <si>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</si>
  <si>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</si>
  <si>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</si>
  <si>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</si>
  <si>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</si>
  <si>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</si>
  <si>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</si>
  <si>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</si>
  <si>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</si>
  <si>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</si>
  <si>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</si>
  <si>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</si>
  <si>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</si>
  <si>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</si>
  <si>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</si>
  <si>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</si>
  <si>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</si>
  <si>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</si>
  <si>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</si>
  <si>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</si>
  <si>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</si>
  <si>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</si>
  <si>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</si>
  <si>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</si>
  <si>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</si>
  <si>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</si>
  <si>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</si>
  <si>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</si>
  <si>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</si>
  <si>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</si>
  <si>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</si>
  <si>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</si>
  <si>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</si>
  <si>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</si>
  <si>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</si>
  <si>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</si>
  <si>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</si>
  <si>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</si>
  <si>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</si>
  <si>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</si>
  <si>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</si>
  <si>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</si>
  <si>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</si>
  <si>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</si>
  <si>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</si>
  <si>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</si>
  <si>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</si>
  <si>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</si>
  <si>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</si>
  <si>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</si>
  <si>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</si>
  <si>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</si>
  <si>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</si>
  <si>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</si>
  <si>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</si>
  <si>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</si>
  <si>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</si>
  <si>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</si>
  <si>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</si>
  <si>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</si>
  <si>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</si>
  <si>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</si>
  <si>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</si>
  <si>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</si>
  <si>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</si>
  <si>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</si>
  <si>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</si>
  <si>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</si>
  <si>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</si>
  <si>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</si>
  <si>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</si>
  <si>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</si>
  <si>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</si>
  <si>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</si>
  <si>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</si>
  <si>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</si>
  <si>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</si>
  <si>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</si>
  <si>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</si>
  <si>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</si>
  <si>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</si>
  <si>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</si>
  <si>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</si>
  <si>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</si>
  <si>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</si>
  <si>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</si>
  <si>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</si>
  <si>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</si>
  <si>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</si>
  <si>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</si>
  <si>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</si>
  <si>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</si>
  <si>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</si>
  <si>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</si>
  <si>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</si>
  <si>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</si>
  <si>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</si>
  <si>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</si>
  <si>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</si>
  <si>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</si>
  <si>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</si>
  <si>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</si>
  <si>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</si>
  <si>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</si>
  <si>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</si>
  <si>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</si>
  <si>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</si>
  <si>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</si>
  <si>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</si>
  <si>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</si>
  <si>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</si>
  <si>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</si>
  <si>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</si>
  <si>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</si>
  <si>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</si>
  <si>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</si>
  <si>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</si>
  <si>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</si>
  <si>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</si>
  <si>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</si>
  <si>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</si>
  <si>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</si>
  <si>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</si>
  <si>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</si>
  <si>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</si>
  <si>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</si>
  <si>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</si>
  <si>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</si>
  <si>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</si>
  <si>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</si>
  <si>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</si>
  <si>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</si>
  <si>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</si>
  <si>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</si>
  <si>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</si>
  <si>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</si>
  <si>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</si>
  <si>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</si>
  <si>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</si>
  <si>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</si>
  <si>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</si>
  <si>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</si>
  <si>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</si>
  <si>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</si>
  <si>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</si>
  <si>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</si>
  <si>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</si>
  <si>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</si>
  <si>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</si>
  <si>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</si>
  <si>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</si>
  <si>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</si>
  <si>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</si>
  <si>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</si>
  <si>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</si>
  <si>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</si>
  <si>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</si>
  <si>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</si>
  <si>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</si>
  <si>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</si>
  <si>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</si>
  <si>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</si>
  <si>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</si>
  <si>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</si>
  <si>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</si>
  <si>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</si>
  <si>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</si>
  <si>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</si>
  <si>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</si>
  <si>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</si>
  <si>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</si>
  <si>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</si>
  <si>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</si>
  <si>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</si>
  <si>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</si>
  <si>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</si>
  <si>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</si>
  <si>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</si>
  <si>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</si>
  <si>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</si>
  <si>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</si>
  <si>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</si>
  <si>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</si>
  <si>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</si>
  <si>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</si>
  <si>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</si>
  <si>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</si>
  <si>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</si>
  <si>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</si>
  <si>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</si>
  <si>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</si>
  <si>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</si>
  <si>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</si>
  <si>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</si>
  <si>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</si>
  <si>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</si>
  <si>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</si>
  <si>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</si>
  <si>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</si>
  <si>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</si>
  <si>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</si>
  <si>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</si>
  <si>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</si>
  <si>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</si>
  <si>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</si>
  <si>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</si>
  <si>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</si>
  <si>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</si>
  <si>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</si>
  <si>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</si>
  <si>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</si>
  <si>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</si>
  <si>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</si>
  <si>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</si>
  <si>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</si>
  <si>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</si>
  <si>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</si>
  <si>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</si>
  <si>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</si>
  <si>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</si>
  <si>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</si>
  <si>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</si>
  <si>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</si>
  <si>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</si>
  <si>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</si>
  <si>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</si>
  <si>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</si>
  <si>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</si>
  <si>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</si>
  <si>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</si>
  <si>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</si>
  <si>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</si>
  <si>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</si>
  <si>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</si>
  <si>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</si>
  <si>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</si>
  <si>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</si>
  <si>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</si>
  <si>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</si>
  <si>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</si>
  <si>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</si>
  <si>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</si>
  <si>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</si>
  <si>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</si>
  <si>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</si>
  <si>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</si>
  <si>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</si>
  <si>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</si>
  <si>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</si>
  <si>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</si>
  <si>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</si>
  <si>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</si>
  <si>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</si>
  <si>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</si>
  <si>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</si>
  <si>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</si>
  <si>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</si>
  <si>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</si>
  <si>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</si>
  <si>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</si>
  <si>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</si>
  <si>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</si>
  <si>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</si>
  <si>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</si>
  <si>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</si>
  <si>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</si>
  <si>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</si>
  <si>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</si>
  <si>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</si>
  <si>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</si>
  <si>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</si>
  <si>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</si>
  <si>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</si>
  <si>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</si>
  <si>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</si>
  <si>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</si>
  <si>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</si>
  <si>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</si>
  <si>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</si>
  <si>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</si>
  <si>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</si>
  <si>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</si>
  <si>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</si>
  <si>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</si>
  <si>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</si>
  <si>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</si>
  <si>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</si>
  <si>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</si>
  <si>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</si>
  <si>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</si>
  <si>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</si>
  <si>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</si>
  <si>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</si>
  <si>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</si>
  <si>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</si>
  <si>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</si>
  <si>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</si>
  <si>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</si>
  <si>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</si>
  <si>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</si>
  <si>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</si>
  <si>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</si>
  <si>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</si>
  <si>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</si>
  <si>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</si>
  <si>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</si>
  <si>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</si>
  <si>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</si>
  <si>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</si>
  <si>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</si>
  <si>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</si>
  <si>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</si>
  <si>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</si>
  <si>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</si>
  <si>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</si>
  <si>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</si>
  <si>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</si>
  <si>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</si>
  <si>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</si>
  <si>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</si>
  <si>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</si>
  <si>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</si>
  <si>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</si>
  <si>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</si>
  <si>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</si>
  <si>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</si>
  <si>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</si>
  <si>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</si>
  <si>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</si>
  <si>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</si>
  <si>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</si>
  <si>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</si>
  <si>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</si>
  <si>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</si>
  <si>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</si>
  <si>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Patton</t>
  </si>
  <si>
    <t>Tora! Tora! Tora!</t>
  </si>
  <si>
    <t>Richard Fleischer</t>
  </si>
  <si>
    <t>Butch Cassidy and the Sundance Kid</t>
  </si>
  <si>
    <t>Midnight Cowboy</t>
  </si>
  <si>
    <t>John Schlesinger</t>
  </si>
  <si>
    <t>Easy Rider</t>
  </si>
  <si>
    <t>Dennis Hopper</t>
  </si>
  <si>
    <t>Paint Your Wagon</t>
  </si>
  <si>
    <t>Joshua Logan</t>
  </si>
  <si>
    <t>True Grit</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</si>
  <si>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</si>
  <si>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</si>
  <si>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</si>
  <si>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</si>
  <si>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</si>
  <si>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</si>
  <si>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</si>
  <si>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</si>
  <si>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</si>
  <si>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</si>
  <si>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</si>
  <si>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</si>
  <si>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</si>
  <si>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</si>
  <si>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</si>
  <si>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</si>
  <si>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</si>
  <si>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</si>
  <si>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</si>
  <si>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</si>
  <si>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</si>
  <si>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</si>
  <si>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</si>
  <si>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</si>
  <si>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</si>
  <si>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</si>
  <si>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</si>
  <si>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</si>
  <si>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Von Ryan's Express</t>
  </si>
  <si>
    <t>My Fair Lady</t>
  </si>
  <si>
    <t>George Cukor</t>
  </si>
  <si>
    <t>A Fistful of Dollars</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</si>
  <si>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</si>
  <si>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</si>
  <si>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</si>
  <si>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</si>
  <si>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</si>
  <si>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</si>
  <si>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</si>
  <si>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</si>
  <si>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</si>
  <si>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</si>
  <si>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</si>
  <si>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</si>
  <si>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</si>
  <si>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</si>
  <si>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</si>
  <si>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</si>
  <si>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</si>
  <si>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</si>
  <si>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</si>
  <si>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</si>
  <si>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</si>
  <si>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</si>
  <si>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</si>
  <si>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</si>
  <si>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</si>
  <si>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Parent Trap</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</si>
  <si>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</si>
  <si>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</si>
  <si>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</si>
  <si>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</si>
  <si>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</si>
  <si>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</si>
  <si>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</si>
  <si>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</si>
  <si>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</si>
  <si>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</si>
  <si>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</si>
  <si>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</si>
  <si>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</si>
  <si>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</si>
  <si>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</si>
  <si>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</si>
  <si>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Howard Hawks</t>
  </si>
  <si>
    <t>South Pacific</t>
  </si>
  <si>
    <t>The Vikings</t>
  </si>
  <si>
    <t>Vertigo</t>
  </si>
  <si>
    <t>The Bridge on the River Kwai</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</si>
  <si>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</si>
  <si>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</si>
  <si>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</si>
  <si>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</si>
  <si>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</si>
  <si>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</si>
  <si>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</si>
  <si>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</si>
  <si>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</si>
  <si>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</si>
  <si>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</si>
  <si>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</si>
  <si>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</si>
  <si>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</si>
  <si>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</si>
  <si>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</si>
  <si>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</si>
  <si>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</si>
  <si>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</si>
  <si>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</si>
  <si>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</si>
  <si>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</si>
  <si>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</si>
  <si>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</si>
  <si>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</si>
  <si>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</si>
  <si>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</si>
  <si>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</si>
  <si>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</si>
  <si>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</si>
  <si>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</si>
  <si>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</si>
  <si>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</si>
  <si>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</si>
  <si>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</si>
  <si>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</si>
  <si>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</si>
  <si>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</si>
  <si>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</si>
  <si>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</si>
  <si>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</si>
  <si>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</si>
  <si>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</si>
  <si>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</si>
  <si>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</si>
  <si>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</si>
  <si>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</si>
  <si>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</si>
  <si>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</si>
  <si>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</si>
  <si>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</si>
  <si>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</si>
  <si>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</si>
  <si>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</si>
  <si>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</si>
  <si>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</si>
  <si>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</si>
  <si>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</si>
  <si>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</si>
  <si>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</si>
  <si>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</si>
  <si>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</si>
  <si>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</si>
  <si>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</si>
  <si>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</si>
  <si>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</si>
  <si>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</si>
  <si>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</si>
  <si>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</si>
  <si>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</si>
  <si>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</si>
  <si>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</si>
  <si>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</si>
  <si>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</si>
  <si>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</si>
  <si>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</si>
  <si>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</si>
  <si>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</si>
  <si>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</si>
  <si>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</si>
  <si>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</si>
  <si>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</si>
  <si>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</si>
  <si>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</si>
  <si>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</si>
  <si>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</si>
  <si>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</si>
  <si>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</si>
  <si>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</si>
  <si>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</si>
  <si>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</si>
  <si>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</si>
  <si>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</si>
  <si>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</si>
  <si>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</si>
  <si>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</si>
  <si>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</si>
  <si>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</si>
  <si>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</si>
  <si>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</si>
  <si>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</si>
  <si>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</si>
  <si>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</si>
  <si>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</si>
  <si>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</si>
  <si>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</si>
  <si>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</si>
  <si>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</si>
  <si>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Frank Lloyd</t>
  </si>
  <si>
    <t>The Misfits</t>
  </si>
  <si>
    <t>Seven Arts Productions</t>
  </si>
  <si>
    <t>Lolita</t>
  </si>
  <si>
    <t>The 39 Steps</t>
  </si>
  <si>
    <t>Citizen Kane</t>
  </si>
  <si>
    <t>Orson Welles</t>
  </si>
  <si>
    <t>Mercury Productions</t>
  </si>
  <si>
    <t>Julien Duvivier</t>
  </si>
  <si>
    <t>London Film Productions</t>
  </si>
  <si>
    <t>The Public Enemy</t>
  </si>
  <si>
    <t>William A. Wellman</t>
  </si>
  <si>
    <t>It's a Wonderful Life</t>
  </si>
  <si>
    <t>Frank Capra</t>
  </si>
  <si>
    <t>Liberty Films</t>
  </si>
  <si>
    <t>Mr. Smith Goes to Washington</t>
  </si>
  <si>
    <t>Brief Encounter</t>
  </si>
  <si>
    <t>Cineguild</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</si>
  <si>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</si>
  <si>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</si>
  <si>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</si>
  <si>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</si>
  <si>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</si>
  <si>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</si>
  <si>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</si>
  <si>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</si>
  <si>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</si>
  <si>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</si>
  <si>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</si>
  <si>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</si>
  <si>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</si>
  <si>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</si>
  <si>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</si>
  <si>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</si>
  <si>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</si>
  <si>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</si>
  <si>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</si>
  <si>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</si>
  <si>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</si>
  <si>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</si>
  <si>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</si>
  <si>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Woo-ping Yuen</t>
  </si>
  <si>
    <t>Cannonball Run II</t>
  </si>
  <si>
    <t>Police Story 3: Super Cop</t>
  </si>
  <si>
    <t>Hark Tsui</t>
  </si>
  <si>
    <t>Twin Dragons</t>
  </si>
  <si>
    <t>Romeo Must Die</t>
  </si>
  <si>
    <t>Andrzej Bartkowiak</t>
  </si>
  <si>
    <t>The One</t>
  </si>
  <si>
    <t>James Wong</t>
  </si>
  <si>
    <t>Kiss of the Dragon</t>
  </si>
  <si>
    <t>Chris Nahon</t>
  </si>
  <si>
    <t>StudioCanal</t>
  </si>
  <si>
    <t>Cradle 2 the Grave</t>
  </si>
  <si>
    <t>Unleashed</t>
  </si>
  <si>
    <t>Louis Leterrier</t>
  </si>
  <si>
    <t>EuropaCorp</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</si>
  <si>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</si>
  <si>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</si>
  <si>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</si>
  <si>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</si>
  <si>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</si>
  <si>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</si>
  <si>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</si>
  <si>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</si>
  <si>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</si>
  <si>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</si>
  <si>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</si>
  <si>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</si>
  <si>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</si>
  <si>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</si>
  <si>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</si>
  <si>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</si>
  <si>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</si>
  <si>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The Master</t>
  </si>
  <si>
    <t>Golden Princess Film Production Limited</t>
  </si>
  <si>
    <t>Seven Swords</t>
  </si>
  <si>
    <t>Film Workshop</t>
  </si>
  <si>
    <t>Detective Dee and the Mystery of the Phantom Flame</t>
  </si>
  <si>
    <t>Flying Swords of Dragon Gate</t>
  </si>
  <si>
    <t>Hard Boiled</t>
  </si>
  <si>
    <t>Hard Target</t>
  </si>
  <si>
    <t>Broken Arrow</t>
  </si>
  <si>
    <t>Face/Off</t>
  </si>
  <si>
    <t>Paycheck</t>
  </si>
  <si>
    <t>Red Cliff</t>
  </si>
  <si>
    <t>Red Cliff II</t>
  </si>
  <si>
    <t>The Raid</t>
  </si>
  <si>
    <t>Gareth Evans</t>
  </si>
  <si>
    <t>PT. Merantau Films</t>
  </si>
  <si>
    <t>Indonesia</t>
  </si>
  <si>
    <t>Indonesian</t>
  </si>
  <si>
    <t>The Raid 2</t>
  </si>
  <si>
    <t>Ong-Bak</t>
  </si>
  <si>
    <t>Prachya Pinkaew</t>
  </si>
  <si>
    <t>Baa-Ram-Ewe</t>
  </si>
  <si>
    <t>Thailand</t>
  </si>
  <si>
    <t>Thai</t>
  </si>
  <si>
    <t>Ong-Bak 2</t>
  </si>
  <si>
    <t>Tony Jaa</t>
  </si>
  <si>
    <t>Sahamongkol Film International</t>
  </si>
  <si>
    <t>Warrior King</t>
  </si>
  <si>
    <t>Warrior King 2</t>
  </si>
  <si>
    <t>Ip Man</t>
  </si>
  <si>
    <t>Wilson Yip</t>
  </si>
  <si>
    <t>Ip Man 2</t>
  </si>
  <si>
    <t>Ip Man 3</t>
  </si>
  <si>
    <t>Dreams Salon Entertainment</t>
  </si>
  <si>
    <t>Iron Monkey</t>
  </si>
  <si>
    <t>Crouching Tiger, Hidden Dragon: Sword of Destiny</t>
  </si>
  <si>
    <t>Rashomon</t>
  </si>
  <si>
    <t>Daiei Film</t>
  </si>
  <si>
    <t>47 Ronin</t>
  </si>
  <si>
    <t>Carl Rinsch</t>
  </si>
  <si>
    <t>Moving Picture Company</t>
  </si>
  <si>
    <t>Ichi the Killer</t>
  </si>
  <si>
    <t>Takashi Miike</t>
  </si>
  <si>
    <t>Omega Project</t>
  </si>
  <si>
    <t>13 Assassins</t>
  </si>
  <si>
    <t>Thor</t>
  </si>
  <si>
    <t>Kenneth Branagh</t>
  </si>
  <si>
    <t>Battleship</t>
  </si>
  <si>
    <t>Hasbro Studios</t>
  </si>
  <si>
    <t>The Kingdom</t>
  </si>
  <si>
    <t>Lone Survivor</t>
  </si>
  <si>
    <t>Deepwater Horizon</t>
  </si>
  <si>
    <t>Battle Royale</t>
  </si>
  <si>
    <t>Kinji Fukasaku</t>
  </si>
  <si>
    <t>AM Associates</t>
  </si>
  <si>
    <t>The Fast and the Furious: Tokyo Drift</t>
  </si>
  <si>
    <t>When the Last Sword Is Drawn</t>
  </si>
  <si>
    <t>Yojiro Takita</t>
  </si>
  <si>
    <t>TV Tokyo</t>
  </si>
  <si>
    <t>The Twilight Samurai</t>
  </si>
  <si>
    <t>Yoji Yamada</t>
  </si>
  <si>
    <t>Eisei Gekijo</t>
  </si>
  <si>
    <t>Ishiro Honda</t>
  </si>
  <si>
    <t>King Kong vs. Godzilla</t>
  </si>
  <si>
    <t>District 13</t>
  </si>
  <si>
    <t>Pierre Morel</t>
  </si>
  <si>
    <t>District 13: Ultimatum</t>
  </si>
  <si>
    <t>Patrick Alessandrin</t>
  </si>
  <si>
    <t>Taken</t>
  </si>
  <si>
    <t>From Paris with Love</t>
  </si>
  <si>
    <t>The Gunman</t>
  </si>
  <si>
    <t>Jean-Francois Richet</t>
  </si>
  <si>
    <t>Assault on Precinct 13</t>
  </si>
  <si>
    <t>Rogue Pictures</t>
  </si>
  <si>
    <t>A Prophet</t>
  </si>
  <si>
    <t>Jacques Audiard</t>
  </si>
  <si>
    <t>Why Not Productions</t>
  </si>
  <si>
    <t>Kung Fu Hustle</t>
  </si>
  <si>
    <t>This Is England</t>
  </si>
  <si>
    <t>Shane Meadows</t>
  </si>
  <si>
    <t>FilmFour Productions</t>
  </si>
  <si>
    <t>BBC Films</t>
  </si>
  <si>
    <t>Dead Man's Shoes</t>
  </si>
  <si>
    <t>The League of Gentlemen's Apocalypse</t>
  </si>
  <si>
    <t>Steve Bendelack</t>
  </si>
  <si>
    <t>Down Terrace</t>
  </si>
  <si>
    <t>Ben Wheatley</t>
  </si>
  <si>
    <t>Baby Cow Productions</t>
  </si>
  <si>
    <t>Kill List</t>
  </si>
  <si>
    <t>A Field in England</t>
  </si>
  <si>
    <t>High-Rise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</si>
  <si>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</si>
  <si>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</si>
  <si>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</si>
  <si>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</si>
  <si>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</si>
  <si>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</si>
  <si>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</si>
  <si>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</si>
  <si>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</si>
  <si>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</si>
  <si>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</si>
  <si>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</si>
  <si>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</si>
  <si>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</si>
  <si>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</si>
  <si>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</si>
  <si>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</si>
  <si>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</si>
  <si>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</si>
  <si>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</si>
  <si>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</si>
  <si>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</si>
  <si>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</si>
  <si>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</si>
  <si>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</si>
  <si>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</si>
  <si>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</si>
  <si>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</si>
  <si>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</si>
  <si>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</si>
  <si>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</si>
  <si>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</si>
  <si>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</si>
  <si>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</si>
  <si>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</si>
  <si>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</si>
  <si>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</si>
  <si>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</si>
  <si>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</si>
  <si>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</si>
  <si>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</si>
  <si>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</si>
  <si>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</si>
  <si>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</si>
  <si>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</si>
  <si>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</si>
  <si>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</si>
  <si>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</si>
  <si>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</si>
  <si>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</si>
  <si>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</si>
  <si>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</si>
  <si>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</si>
  <si>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</si>
  <si>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</si>
  <si>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</si>
  <si>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</si>
  <si>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</si>
  <si>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</si>
  <si>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</si>
  <si>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</si>
  <si>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</si>
  <si>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</si>
  <si>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</si>
  <si>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</si>
  <si>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</si>
  <si>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</si>
  <si>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</si>
  <si>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</si>
  <si>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</si>
  <si>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</si>
  <si>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</si>
  <si>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</si>
  <si>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</si>
  <si>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</si>
  <si>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</si>
  <si>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</si>
  <si>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</si>
  <si>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</si>
  <si>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</si>
  <si>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</si>
  <si>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</si>
  <si>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</si>
  <si>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</si>
  <si>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</si>
  <si>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</si>
  <si>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</si>
  <si>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</si>
  <si>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</si>
  <si>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</si>
  <si>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</si>
  <si>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</si>
  <si>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</si>
  <si>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</si>
  <si>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</si>
  <si>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</si>
  <si>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</si>
  <si>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</si>
  <si>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</si>
  <si>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</si>
  <si>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</si>
  <si>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</si>
  <si>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</si>
  <si>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No Country for Old Men</t>
  </si>
  <si>
    <t>Miramax Films</t>
  </si>
  <si>
    <t>The Ladykillers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</si>
  <si>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</si>
  <si>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</si>
  <si>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</si>
  <si>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</si>
  <si>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</si>
  <si>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</si>
  <si>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</si>
  <si>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</si>
  <si>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</si>
  <si>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</si>
  <si>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</si>
  <si>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</si>
  <si>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</si>
  <si>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</si>
  <si>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</si>
  <si>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</si>
  <si>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</si>
  <si>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</si>
  <si>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</si>
  <si>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</si>
  <si>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</si>
  <si>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</si>
  <si>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</si>
  <si>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</si>
  <si>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</si>
  <si>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</si>
  <si>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</si>
  <si>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</si>
  <si>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The Unforgiven</t>
  </si>
  <si>
    <t>Unforgiven</t>
  </si>
  <si>
    <t>Murder on the Orient Express</t>
  </si>
  <si>
    <t>Flash Gordon</t>
  </si>
  <si>
    <t>Mike Hodges</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</si>
  <si>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</si>
  <si>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</si>
  <si>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</si>
  <si>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</si>
  <si>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</si>
  <si>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</si>
  <si>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</si>
  <si>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</si>
  <si>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</si>
  <si>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</si>
  <si>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</si>
  <si>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</si>
  <si>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</si>
  <si>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</si>
  <si>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</si>
  <si>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</si>
  <si>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</si>
  <si>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</si>
  <si>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</si>
  <si>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</si>
  <si>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</si>
  <si>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</si>
  <si>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</si>
  <si>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</si>
  <si>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</si>
  <si>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</si>
  <si>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</si>
  <si>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</si>
  <si>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</si>
  <si>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</si>
  <si>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</si>
  <si>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</si>
  <si>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</si>
  <si>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</si>
  <si>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</si>
  <si>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</si>
  <si>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</si>
  <si>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</si>
  <si>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</si>
  <si>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</si>
  <si>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</si>
  <si>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</si>
  <si>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</si>
  <si>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</si>
  <si>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</si>
  <si>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</si>
  <si>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</si>
  <si>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</si>
  <si>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</si>
  <si>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</si>
  <si>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</si>
  <si>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</si>
  <si>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</si>
  <si>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</si>
  <si>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</si>
  <si>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</si>
  <si>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</si>
  <si>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</si>
  <si>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</si>
  <si>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</si>
  <si>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</si>
  <si>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</si>
  <si>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</si>
  <si>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</si>
  <si>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</si>
  <si>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</si>
  <si>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</si>
  <si>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</si>
  <si>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</si>
  <si>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</si>
  <si>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</si>
  <si>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</si>
  <si>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</si>
  <si>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</si>
  <si>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</si>
  <si>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</si>
  <si>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</si>
  <si>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</si>
  <si>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</si>
  <si>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</si>
  <si>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</si>
  <si>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</si>
  <si>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</si>
  <si>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</si>
  <si>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</si>
  <si>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The Nice Guys</t>
  </si>
  <si>
    <t>Kiss Kiss Bang Bang</t>
  </si>
  <si>
    <t>Independence Day: Resurgence</t>
  </si>
  <si>
    <t>Paul Feig</t>
  </si>
  <si>
    <t>Jason Bourne</t>
  </si>
  <si>
    <t>Sausage Party</t>
  </si>
  <si>
    <t>Conrad Vernon</t>
  </si>
  <si>
    <t>Scott Pilgrim vs. the World</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</si>
  <si>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</si>
  <si>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</si>
  <si>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</si>
  <si>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</si>
  <si>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</si>
  <si>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</si>
  <si>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</si>
  <si>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</si>
  <si>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</si>
  <si>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</si>
  <si>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</si>
  <si>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</si>
  <si>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</si>
  <si>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</si>
  <si>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</si>
  <si>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</si>
  <si>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</si>
  <si>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</si>
  <si>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</si>
  <si>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</si>
  <si>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</si>
  <si>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</si>
  <si>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</si>
  <si>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</si>
  <si>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</si>
  <si>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</si>
  <si>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</si>
  <si>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</si>
  <si>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</si>
  <si>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</si>
  <si>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</si>
  <si>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</si>
  <si>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</si>
  <si>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</si>
  <si>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</si>
  <si>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</si>
  <si>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</si>
  <si>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</si>
  <si>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</si>
  <si>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</si>
  <si>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</si>
  <si>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</si>
  <si>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</si>
  <si>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Chocolat</t>
  </si>
  <si>
    <t>Lasse Hallstrom</t>
  </si>
  <si>
    <t>The English Patient</t>
  </si>
  <si>
    <t>Anthony Minghella</t>
  </si>
  <si>
    <t>Near Dark</t>
  </si>
  <si>
    <t>Kathryn Bigelow</t>
  </si>
  <si>
    <t>Point Break</t>
  </si>
  <si>
    <t>Ericson Core</t>
  </si>
  <si>
    <t>Invincible</t>
  </si>
  <si>
    <t>Strange Days</t>
  </si>
  <si>
    <t>K-19: The Widowmaker</t>
  </si>
  <si>
    <t>The Hurt Locker</t>
  </si>
  <si>
    <t>Zero Dark Thirty</t>
  </si>
  <si>
    <t>Lock, Stock and Two Smoking Barrels</t>
  </si>
  <si>
    <t>Snatch</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</si>
  <si>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</si>
  <si>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</si>
  <si>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</si>
  <si>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</si>
  <si>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</si>
  <si>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</si>
  <si>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</si>
  <si>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</si>
  <si>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</si>
  <si>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</si>
  <si>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</si>
  <si>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</si>
  <si>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</si>
  <si>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</si>
  <si>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</si>
  <si>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</si>
  <si>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</si>
  <si>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</si>
  <si>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</si>
  <si>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</si>
  <si>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</si>
  <si>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</si>
  <si>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</si>
  <si>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</si>
  <si>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</si>
  <si>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</si>
  <si>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</si>
  <si>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</si>
  <si>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</si>
  <si>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</si>
  <si>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</si>
  <si>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</si>
  <si>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</si>
  <si>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</si>
  <si>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</si>
  <si>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</si>
  <si>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</si>
  <si>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</si>
  <si>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</si>
  <si>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</si>
  <si>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</si>
  <si>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</si>
  <si>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</si>
  <si>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</si>
  <si>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</si>
  <si>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</si>
  <si>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</si>
  <si>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</si>
  <si>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</si>
  <si>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</si>
  <si>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</si>
  <si>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</si>
  <si>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</si>
  <si>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</si>
  <si>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</si>
  <si>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</si>
  <si>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</si>
  <si>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</si>
  <si>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</si>
  <si>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</si>
  <si>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</si>
  <si>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</si>
  <si>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</si>
  <si>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</si>
  <si>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</si>
  <si>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</si>
  <si>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</si>
  <si>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</si>
  <si>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</si>
  <si>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</si>
  <si>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</si>
  <si>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</si>
  <si>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</si>
  <si>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</si>
  <si>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</si>
  <si>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</si>
  <si>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</si>
  <si>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</si>
  <si>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</si>
  <si>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</si>
  <si>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</si>
  <si>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</si>
  <si>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</si>
  <si>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</si>
  <si>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</si>
  <si>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</si>
  <si>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</si>
  <si>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</si>
  <si>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</si>
  <si>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</si>
  <si>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</si>
  <si>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</si>
  <si>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</si>
  <si>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</si>
  <si>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</si>
  <si>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</si>
  <si>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</si>
  <si>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</si>
  <si>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</si>
  <si>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</si>
  <si>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</si>
  <si>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</si>
  <si>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</si>
  <si>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</si>
  <si>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</si>
  <si>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</si>
  <si>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</si>
  <si>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</si>
  <si>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</si>
  <si>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</si>
  <si>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</si>
  <si>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</si>
  <si>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</si>
  <si>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</si>
  <si>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</si>
  <si>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</si>
  <si>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</si>
  <si>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Superman III</t>
  </si>
  <si>
    <t>Fantastic Voyage</t>
  </si>
  <si>
    <t>Julius Caesar</t>
  </si>
  <si>
    <t>Cannon Productions</t>
  </si>
  <si>
    <t>Giant</t>
  </si>
  <si>
    <t>Rebel Without a Cause</t>
  </si>
  <si>
    <t>Nicholas Ray</t>
  </si>
  <si>
    <t>Gentleman's Agreement</t>
  </si>
  <si>
    <t>Viva Zapata!</t>
  </si>
  <si>
    <t>On the Waterfront</t>
  </si>
  <si>
    <t>The Diary of Anne Frank</t>
  </si>
  <si>
    <t>The Greatest Story Ever Told</t>
  </si>
  <si>
    <t>A Place in the Sun</t>
  </si>
  <si>
    <t>The Talk of the Town</t>
  </si>
  <si>
    <t>Samson and Delilah</t>
  </si>
  <si>
    <t>The NeverEnding Story</t>
  </si>
  <si>
    <t>Enemy Mine</t>
  </si>
  <si>
    <t>In the Line of Fire</t>
  </si>
  <si>
    <t>Outbreak</t>
  </si>
  <si>
    <t>Grand Total</t>
  </si>
  <si>
    <t xml:space="preserve"> Box Office</t>
  </si>
  <si>
    <t xml:space="preserve"> Budget</t>
  </si>
  <si>
    <t xml:space="preserve"> Oscar Wins</t>
  </si>
  <si>
    <t xml:space="preserve"> Nominations</t>
  </si>
  <si>
    <t>Run Time (Min.</t>
  </si>
  <si>
    <t>Cantonese Total</t>
  </si>
  <si>
    <t>English Total</t>
  </si>
  <si>
    <t>Mandarin Total</t>
  </si>
  <si>
    <t xml:space="preserve"> Profit</t>
  </si>
  <si>
    <t>Years (Release Date)</t>
  </si>
  <si>
    <t>1931</t>
  </si>
  <si>
    <t>Top 20 Movies by Highest Profit</t>
  </si>
  <si>
    <t>Movies Releases</t>
  </si>
  <si>
    <t>Year wise Movies Count</t>
  </si>
  <si>
    <t>Top 20 Movies with Highest Budget</t>
  </si>
  <si>
    <t>Movies With Most Oscars Wins</t>
  </si>
  <si>
    <t>Movie Name</t>
  </si>
  <si>
    <t>DETAILS OF MOVIES WHO WON MORE THAN 5 OSCARS</t>
  </si>
  <si>
    <t>Pivot 1</t>
  </si>
  <si>
    <t>Pivot 2</t>
  </si>
  <si>
    <r>
      <t xml:space="preserve">Slicer to filter </t>
    </r>
    <r>
      <rPr>
        <b/>
        <sz val="14"/>
        <color rgb="FFFF0000"/>
        <rFont val="Calibri"/>
        <family val="2"/>
        <scheme val="minor"/>
      </rPr>
      <t>Pivot 1</t>
    </r>
    <r>
      <rPr>
        <b/>
        <sz val="11"/>
        <color theme="1"/>
        <rFont val="Calibri"/>
        <family val="2"/>
        <scheme val="minor"/>
      </rPr>
      <t xml:space="preserve"> table by Country Wise</t>
    </r>
  </si>
  <si>
    <r>
      <t xml:space="preserve">Timeline to filter </t>
    </r>
    <r>
      <rPr>
        <b/>
        <sz val="14"/>
        <color rgb="FFFF0000"/>
        <rFont val="Calibri"/>
        <family val="2"/>
        <scheme val="minor"/>
      </rPr>
      <t>Pivot 2</t>
    </r>
    <r>
      <rPr>
        <b/>
        <sz val="11"/>
        <color theme="1"/>
        <rFont val="Calibri"/>
        <family val="2"/>
        <scheme val="minor"/>
      </rPr>
      <t xml:space="preserve"> table by Time Series</t>
    </r>
  </si>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</sst>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M&quot;"/>
  </numFmts>
  <fonts count="8" x14ac:knownFonts="1">
    <font>
      <sz val="11"/>
      <color theme="1"/>
      <name val="Calibri"/>
      <family val="2"/>
      <scheme val="minor"/>
    </font>
    <font>
      <b/>
      <sz val="11"/>
      <color theme="1"/>
      <name val="Calibri"/>
      <family val="2"/>
      <scheme val="minor"/>
    </font>
    <font>
      <b/>
      <sz val="14"/>
      <color theme="1"/>
      <name val="Calibri"/>
      <family val="2"/>
      <scheme val="minor"/>
    </font>
    <font>
      <b/>
      <sz val="11"/>
      <color theme="0"/>
      <name val="Calibri"/>
      <family val="2"/>
      <scheme val="minor"/>
    </font>
    <font>
      <b/>
      <sz val="12"/>
      <color theme="1"/>
      <name val="Calibri"/>
      <family val="2"/>
      <scheme val="minor"/>
    </font>
    <font>
      <b/>
      <sz val="14"/>
      <color rgb="FFFF0000"/>
      <name val="Calibri"/>
      <family val="2"/>
      <scheme val="minor"/>
    </font>
    <font>
      <b/>
      <sz val="11"/>
      <name val="Calibri"/>
      <family val="2"/>
      <scheme val="minor"/>
    </font>
    <font>
      <sz val="11"/>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8" tint="0.59999389629810485"/>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63">
    <xf numFmtId="0" fontId="0" fillId="0" borderId="0" xfId="0"/>
    <xf numFmtId="0" fontId="0" fillId="0" borderId="0" xfId="0" pivotButton="1"/>
    <xf numFmtId="0" fontId="0" fillId="0" borderId="0" xfId="0" applyAlignment="1">
      <alignment horizontal="center"/>
    </xf>
    <xf numFmtId="14" fontId="0" fillId="0" borderId="0" xfId="0" applyNumberFormat="1" applyAlignment="1">
      <alignment horizontal="center"/>
    </xf>
    <xf numFmtId="0" fontId="1" fillId="0" borderId="0" xfId="0" applyFont="1" applyAlignment="1">
      <alignment horizontal="center"/>
    </xf>
    <xf numFmtId="164" fontId="0" fillId="0" borderId="0" xfId="0" applyNumberFormat="1" applyAlignment="1">
      <alignment horizontal="center"/>
    </xf>
    <xf numFmtId="0" fontId="0" fillId="0" borderId="2" xfId="0" applyBorder="1"/>
    <xf numFmtId="0" fontId="0" fillId="0" borderId="3" xfId="0" applyBorder="1"/>
    <xf numFmtId="0" fontId="0" fillId="0" borderId="4" xfId="0" applyBorder="1"/>
    <xf numFmtId="164" fontId="0" fillId="0" borderId="11" xfId="0" applyNumberFormat="1" applyBorder="1" applyAlignment="1">
      <alignment horizontal="center"/>
    </xf>
    <xf numFmtId="164" fontId="0" fillId="0" borderId="5" xfId="0" applyNumberFormat="1" applyBorder="1" applyAlignment="1">
      <alignment horizontal="center"/>
    </xf>
    <xf numFmtId="164" fontId="0" fillId="0" borderId="6" xfId="0" applyNumberFormat="1" applyBorder="1" applyAlignment="1">
      <alignment horizontal="center"/>
    </xf>
    <xf numFmtId="0" fontId="0" fillId="0" borderId="6" xfId="0" applyBorder="1" applyAlignment="1">
      <alignment horizontal="center"/>
    </xf>
    <xf numFmtId="164" fontId="0" fillId="0" borderId="8" xfId="0" applyNumberFormat="1" applyBorder="1" applyAlignment="1">
      <alignment horizontal="center"/>
    </xf>
    <xf numFmtId="164" fontId="0" fillId="0" borderId="10" xfId="0" applyNumberFormat="1" applyBorder="1" applyAlignment="1">
      <alignment horizontal="center"/>
    </xf>
    <xf numFmtId="0" fontId="0" fillId="0" borderId="1" xfId="0" pivotButton="1" applyBorder="1"/>
    <xf numFmtId="0" fontId="0" fillId="0" borderId="1" xfId="0" applyBorder="1"/>
    <xf numFmtId="0" fontId="0" fillId="0" borderId="8" xfId="0" applyBorder="1" applyAlignment="1">
      <alignment horizontal="center"/>
    </xf>
    <xf numFmtId="0" fontId="0" fillId="0" borderId="5" xfId="0" pivotButton="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 xfId="0" applyBorder="1" applyAlignment="1">
      <alignment horizontal="center"/>
    </xf>
    <xf numFmtId="0" fontId="3" fillId="3" borderId="13" xfId="0" applyFont="1" applyFill="1" applyBorder="1" applyAlignment="1">
      <alignment horizontal="center"/>
    </xf>
    <xf numFmtId="0" fontId="0" fillId="4" borderId="13" xfId="0" applyFill="1" applyBorder="1" applyAlignment="1">
      <alignment horizontal="center"/>
    </xf>
    <xf numFmtId="0" fontId="0" fillId="0" borderId="13" xfId="0" applyBorder="1" applyAlignment="1">
      <alignment horizontal="center"/>
    </xf>
    <xf numFmtId="14" fontId="0" fillId="0" borderId="14" xfId="0" applyNumberFormat="1" applyBorder="1" applyAlignment="1">
      <alignment horizontal="center"/>
    </xf>
    <xf numFmtId="0" fontId="0" fillId="0" borderId="14" xfId="0" applyBorder="1" applyAlignment="1">
      <alignment horizontal="center"/>
    </xf>
    <xf numFmtId="0" fontId="1" fillId="0" borderId="14" xfId="0" applyFont="1" applyBorder="1"/>
    <xf numFmtId="0" fontId="5" fillId="0" borderId="0" xfId="0" applyFont="1"/>
    <xf numFmtId="0" fontId="0" fillId="7" borderId="0" xfId="0" applyFill="1"/>
    <xf numFmtId="0" fontId="7" fillId="0" borderId="14" xfId="0" applyFont="1" applyBorder="1" applyAlignment="1">
      <alignment horizontal="center"/>
    </xf>
    <xf numFmtId="14" fontId="7" fillId="0" borderId="14" xfId="0" applyNumberFormat="1" applyFont="1" applyBorder="1" applyAlignment="1">
      <alignment horizontal="center"/>
    </xf>
    <xf numFmtId="0" fontId="0" fillId="0" borderId="0" xfId="0" applyAlignment="1">
      <alignment horizontal="left"/>
    </xf>
    <xf numFmtId="14" fontId="0" fillId="0" borderId="0" xfId="0" applyNumberFormat="1" applyAlignment="1">
      <alignment horizontal="left" inden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2" fillId="6" borderId="2" xfId="0" applyFont="1" applyFill="1" applyBorder="1" applyAlignment="1">
      <alignment horizontal="center"/>
    </xf>
    <xf numFmtId="0" fontId="2" fillId="6" borderId="3" xfId="0" applyFont="1" applyFill="1" applyBorder="1" applyAlignment="1">
      <alignment horizontal="center"/>
    </xf>
    <xf numFmtId="0" fontId="2" fillId="6" borderId="4" xfId="0" applyFont="1" applyFill="1" applyBorder="1" applyAlignment="1">
      <alignment horizontal="center"/>
    </xf>
    <xf numFmtId="0" fontId="7" fillId="0" borderId="15" xfId="0" applyFont="1" applyBorder="1" applyAlignment="1">
      <alignment horizontal="center"/>
    </xf>
    <xf numFmtId="14" fontId="7" fillId="0" borderId="15" xfId="0" applyNumberFormat="1" applyFont="1" applyBorder="1" applyAlignment="1">
      <alignment horizontal="center"/>
    </xf>
    <xf numFmtId="0" fontId="6" fillId="5" borderId="16" xfId="0" applyFont="1" applyFill="1" applyBorder="1" applyAlignment="1">
      <alignment horizontal="center"/>
    </xf>
    <xf numFmtId="0" fontId="6" fillId="5" borderId="17" xfId="0" applyFont="1" applyFill="1" applyBorder="1" applyAlignment="1">
      <alignment horizontal="center"/>
    </xf>
    <xf numFmtId="0" fontId="6" fillId="5" borderId="18" xfId="0" applyFont="1" applyFill="1" applyBorder="1" applyAlignment="1">
      <alignment horizontal="center"/>
    </xf>
    <xf numFmtId="0" fontId="4" fillId="8" borderId="14" xfId="0" applyFont="1" applyFill="1" applyBorder="1" applyAlignment="1">
      <alignment horizontal="center"/>
    </xf>
    <xf numFmtId="0" fontId="0" fillId="0" borderId="0" xfId="0" applyNumberFormat="1" applyAlignment="1">
      <alignment horizontal="center"/>
    </xf>
    <xf numFmtId="0" fontId="0" fillId="0" borderId="11" xfId="0" applyNumberFormat="1" applyBorder="1" applyAlignment="1">
      <alignment horizontal="center"/>
    </xf>
    <xf numFmtId="0" fontId="0" fillId="0" borderId="12" xfId="0" applyNumberFormat="1" applyBorder="1" applyAlignment="1">
      <alignment horizontal="center"/>
    </xf>
    <xf numFmtId="0" fontId="0" fillId="0" borderId="0" xfId="0" pivotButton="1" applyBorder="1"/>
    <xf numFmtId="0" fontId="0" fillId="0" borderId="0" xfId="0" applyBorder="1"/>
    <xf numFmtId="164" fontId="0" fillId="0" borderId="0" xfId="0" applyNumberFormat="1" applyBorder="1" applyAlignment="1">
      <alignment horizontal="center"/>
    </xf>
    <xf numFmtId="0" fontId="0" fillId="0" borderId="0" xfId="0" applyNumberFormat="1" applyBorder="1" applyAlignment="1">
      <alignment horizontal="center"/>
    </xf>
    <xf numFmtId="0" fontId="0" fillId="0" borderId="8" xfId="0" applyBorder="1"/>
    <xf numFmtId="0" fontId="0" fillId="0" borderId="9" xfId="0" applyNumberFormat="1" applyBorder="1" applyAlignment="1">
      <alignment horizontal="center"/>
    </xf>
    <xf numFmtId="0" fontId="0" fillId="0" borderId="6" xfId="0" applyNumberFormat="1" applyBorder="1" applyAlignment="1">
      <alignment horizontal="center"/>
    </xf>
    <xf numFmtId="0" fontId="0" fillId="0" borderId="7" xfId="0" applyNumberFormat="1" applyBorder="1" applyAlignment="1">
      <alignment horizontal="center"/>
    </xf>
    <xf numFmtId="0" fontId="0" fillId="0" borderId="5" xfId="0" applyNumberFormat="1" applyBorder="1" applyAlignment="1">
      <alignment horizontal="center"/>
    </xf>
    <xf numFmtId="0" fontId="0" fillId="0" borderId="10" xfId="0" applyNumberFormat="1" applyBorder="1" applyAlignment="1">
      <alignment horizontal="center"/>
    </xf>
  </cellXfs>
  <cellStyles count="1">
    <cellStyle name="Normal" xfId="0" builtinId="0"/>
  </cellStyles>
  <dxfs count="306">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font>
        <color rgb="FF9C0006"/>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39688</xdr:colOff>
      <xdr:row>2</xdr:row>
      <xdr:rowOff>99963</xdr:rowOff>
    </xdr:from>
    <xdr:to>
      <xdr:col>8</xdr:col>
      <xdr:colOff>0</xdr:colOff>
      <xdr:row>10</xdr:row>
      <xdr:rowOff>103190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21E4EEDC-A3E5-6D22-7A99-3645A6BEBBA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9688" y="528588"/>
              <a:ext cx="6921500" cy="1463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6312</xdr:colOff>
      <xdr:row>2</xdr:row>
      <xdr:rowOff>85727</xdr:rowOff>
    </xdr:from>
    <xdr:to>
      <xdr:col>18</xdr:col>
      <xdr:colOff>0</xdr:colOff>
      <xdr:row>10</xdr:row>
      <xdr:rowOff>147640</xdr:rowOff>
    </xdr:to>
    <mc:AlternateContent xmlns:mc="http://schemas.openxmlformats.org/markup-compatibility/2006" xmlns:tsle="http://schemas.microsoft.com/office/drawing/2012/timeslicer">
      <mc:Choice Requires="tsle">
        <xdr:graphicFrame macro="">
          <xdr:nvGraphicFramePr>
            <xdr:cNvPr id="5" name="Release Date">
              <a:extLst>
                <a:ext uri="{FF2B5EF4-FFF2-40B4-BE49-F238E27FC236}">
                  <a16:creationId xmlns:a16="http://schemas.microsoft.com/office/drawing/2014/main" id="{178B6D8C-6476-EF2F-4CA4-8731A444DEFF}"/>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7380249" y="514352"/>
              <a:ext cx="6859626" cy="15224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refreshedDate="45920.814939236108" createdVersion="8" refreshedVersion="8" minRefreshableVersion="3" recordCount="1076" xr:uid="{237DC9E0-09E6-4A8A-8C28-8A1729E4FA5B}">
  <cacheSource type="worksheet">
    <worksheetSource ref="A1:N1077" sheet="Data"/>
  </cacheSource>
  <cacheFields count="16">
    <cacheField name="ID" numFmtId="0">
      <sharedItems containsSemiMixedTypes="0" containsString="0" containsNumber="1" containsInteger="1" minValue="1" maxValue="1678"/>
    </cacheField>
    <cacheField name="Title" numFmtId="0">
      <sharedItems containsMixedTypes="1" containsNumber="1" containsInteger="1" minValue="10" maxValue="2012" count="1050">
        <s v="Happy Feet"/>
        <s v="Crocodile Dundee II"/>
        <s v="Crocodile Dundee"/>
        <s v="Mad Max"/>
        <s v="Mad Max 2"/>
        <s v="Mad Max Beyond Thunderdome"/>
        <s v="Mad Max: Fury Road"/>
        <s v="City of God"/>
        <s v="My Big Fat Greek Wedding"/>
        <s v="Porky's"/>
        <s v="Hero"/>
        <s v="Crouching Tiger, Hidden Dragon"/>
        <s v="House of Flying Daggers"/>
        <s v="The Mermaid"/>
        <s v="Detective Dee and the Mystery of the Phantom Flame"/>
        <s v="Flying Swords of Dragon Gate"/>
        <s v="Red Cliff"/>
        <s v="Red Cliff II"/>
        <s v="Only God Forgives"/>
        <s v="The Fifth Element"/>
        <s v="Leon"/>
        <s v="Amelie"/>
        <s v="Kiss of the Dragon"/>
        <s v="Unleashed"/>
        <s v="The Transporter"/>
        <s v="Transporter 2"/>
        <s v="District 13"/>
        <s v="District 13: Ultimatum"/>
        <s v="Taken"/>
        <s v="From Paris with Love"/>
        <s v="A Prophet"/>
        <s v="Solomon Kane"/>
        <s v="3 Days to Kill"/>
        <s v="Downfall"/>
        <s v="Das Boot"/>
        <s v="The Lives of Others"/>
        <s v="Lucky Number Slevin"/>
        <s v="The NeverEnding Story"/>
        <s v="Rumble in the Bronx"/>
        <s v="The Big Boss"/>
        <s v="Fist of Fury"/>
        <s v="Way of the Dragon"/>
        <s v="Game of Death"/>
        <s v="Enter the Dragon"/>
        <s v="Police Story 3: Super Cop"/>
        <s v="Twin Dragons"/>
        <s v="The Warlords"/>
        <s v="Dragon"/>
        <s v="Seven Swords"/>
        <s v="Hard Boiled"/>
        <s v="Ip Man"/>
        <s v="Ip Man 2"/>
        <s v="Ip Man 3"/>
        <s v="Iron Monkey"/>
        <s v="Kung Fu Hustle"/>
        <s v="The Raid"/>
        <s v="The Raid 2"/>
        <s v="The Good, the Bad and the Ugly"/>
        <s v="A Fistful of Dollars"/>
        <s v="For a Few Dollars More"/>
        <s v="Once Upon a Time in the West"/>
        <s v="Seven Samurai"/>
        <s v="Kagemusha"/>
        <s v="Ran"/>
        <s v="Tora! Tora! Tora!"/>
        <s v="Rashomon"/>
        <s v="Ichi the Killer"/>
        <s v="13 Assassins"/>
        <s v="Battle Royale"/>
        <s v="When the Last Sword Is Drawn"/>
        <s v="The Twilight Samurai"/>
        <s v="Godzilla"/>
        <s v="King Kong vs. Godzilla"/>
        <s v="Red Sonja"/>
        <s v="King Kong"/>
        <s v="The Lord of the Rings: Fellowship of the Ring"/>
        <s v="The Lord of the Rings: Return of the King"/>
        <s v="The Lord of the Rings: The Two Towers"/>
        <s v="Once Were Warriors"/>
        <s v="The Hobbit: The Battle of the Five Armies"/>
        <s v="The Hobbit: The Desolation of Smaug"/>
        <s v="The Hobbit: An Unexpected Journey"/>
        <s v="No Country for Old Men"/>
        <s v="Night Watch"/>
        <s v="Day Watch"/>
        <s v="Momentum"/>
        <s v="District 9"/>
        <s v="The Girl with the Dragon Tattoo"/>
        <s v="The Girl Who Kicked the Hornets' Nest"/>
        <s v="The Seventh Seal"/>
        <s v="Ong-Bak"/>
        <s v="Ong-Bak 2"/>
        <s v="Warrior King"/>
        <s v="Warrior King 2"/>
        <s v="Harry Potter and the Order of the Phoenix"/>
        <s v="Harry Potter and the Goblet of Fire"/>
        <s v="Die Another Day"/>
        <s v="The World Is Not Enough"/>
        <s v="Harry Potter and the Prisoner of Azkaban"/>
        <s v="Harry Potter and the Philosopher's Stone"/>
        <s v="Tomorrow Never Dies"/>
        <s v="Casino Royale"/>
        <s v="Harry Potter and the Chamber of Secrets"/>
        <s v="GoldenEye"/>
        <s v="Licence to Kill"/>
        <s v="The Living Daylights"/>
        <s v="Moonraker"/>
        <s v="For Your Eyes Only"/>
        <s v="Gandhi"/>
        <s v="Borat: Cultural Learnings of America for Make Benefit Glorious Nation of Kazakhstan"/>
        <s v="Hot Fuzz"/>
        <s v="Sense and Sensibility"/>
        <s v="28 Days Later"/>
        <s v="The Beach"/>
        <s v="Trainspotting"/>
        <s v="The Spy Who Loved Me"/>
        <s v="Thunderball"/>
        <s v="On Her Majesty's Secret Service"/>
        <s v="Diamonds are Forever"/>
        <s v="Live and Let Die"/>
        <s v="The Man with the Golden Gun"/>
        <s v="Shaun of the Dead"/>
        <s v="Four Weddings and a Funeral"/>
        <s v="From Russia with Love"/>
        <s v="Dr. No"/>
        <s v="Sunshine"/>
        <s v="Flushed Away"/>
        <s v="Skyfall"/>
        <s v="Harry Potter and the Deathly Hallows - Part 2"/>
        <s v="Alice in Wonderland"/>
        <s v="Harry Potter and the Deathly Hallows - Part 1"/>
        <s v="Harry Potter and the Half-Blood Prince"/>
        <s v="Sherlock Holmes"/>
        <s v="Mamma Mia!"/>
        <s v="Quantum of Solace"/>
        <s v="The Chronicles of Narnia: Prince Caspian"/>
        <s v="The Chronicles of Narnia: The Lion, the Witch and the Wardrobe"/>
        <s v="Notting Hill"/>
        <s v="Shakespeare in Love"/>
        <s v="The Full Monty"/>
        <s v="Superman II"/>
        <s v="Chariots of Fire"/>
        <s v="Time Bandits"/>
        <s v="Revenge of the Pink Panther"/>
        <s v="A Bridge Too Far"/>
        <s v="The Rocky Horror Picture Show"/>
        <s v="The Return of the Pink Panther"/>
        <s v="A Clockwork Orange"/>
        <s v="Bedknobs and Broomsticks"/>
        <s v="2001: A Space Odyssey"/>
        <s v="Romeo and Juliet"/>
        <s v="Oliver!"/>
        <s v="Doctor Zhivago"/>
        <s v="A Hard Day's Night"/>
        <s v="Lawrence of Arabia"/>
        <s v="The Guns of Navarone"/>
        <s v="The Bridge on the River Kwai"/>
        <s v="Ivanhoe"/>
        <s v="Moulin Rouge"/>
        <s v="Goodbye, Mr. Chips"/>
        <s v="Spectre"/>
        <s v="Lolita"/>
        <s v="The 39 Steps"/>
        <s v="Anna Karenina"/>
        <s v="Brief Encounter"/>
        <s v="The Seventh Veil"/>
        <s v="Great Expectations"/>
        <s v="Hamlet"/>
        <s v="Monty Python and the Holy Grail"/>
        <s v="Monty Python's Life of Brian"/>
        <s v="Clash of the Titans"/>
        <s v="This Is England"/>
        <s v="Dead Man's Shoes"/>
        <s v="The League of Gentlemen's Apocalypse"/>
        <s v="Down Terrace"/>
        <s v="Kill List"/>
        <s v="A Field in England"/>
        <s v="High-Rise"/>
        <s v="Slumdog Millionaire"/>
        <s v="The Best Exotic Marigold Hotel"/>
        <s v="The Second Best Exotic Marigold Hotel"/>
        <s v="Ironclad"/>
        <s v="Shallow Grave"/>
        <s v="A Life Less Ordinary"/>
        <s v="28 Weeks Later"/>
        <s v="127 Hours"/>
        <s v="Trance"/>
        <s v="Kingsman: The Secret Service"/>
        <s v="Kick-Ass"/>
        <s v="Stardust"/>
        <s v="Layer Cake"/>
        <s v="Underworld"/>
        <s v="Underworld: Evolution"/>
        <s v="Outland"/>
        <s v="Full Metal Jacket"/>
        <s v="Eyes Wide Shut"/>
        <s v="The Shining"/>
        <s v="Dr. Strangelove or: How I Learned to Stop Worrying and Love the Bomb"/>
        <s v="Murder on the Orient Express"/>
        <s v="Flash Gordon"/>
        <s v="Where Eagles Dare"/>
        <s v="Cross of Iron"/>
        <s v="Zulu"/>
        <s v="Bronson"/>
        <s v="Hugo"/>
        <s v="Labyrinth"/>
        <s v="Scott Pilgrim vs. the World"/>
        <s v="Fantastic Beasts and Where to Find Them"/>
        <s v="Ex Machina"/>
        <s v="Chocolat"/>
        <s v="The English Patient"/>
        <s v="Lock, Stock and Two Smoking Barrels"/>
        <s v="Snatch"/>
        <s v="RocknRolla"/>
        <s v="Sherlock Holmes: A Game of Shadows"/>
        <s v="The Counsellor"/>
        <s v="The Theory of Everything"/>
        <s v="Man on Wire"/>
        <s v="The Danish Girl"/>
        <s v="The Other Boleyn Girl"/>
        <s v="Mandela: Long Walk to Freedom"/>
        <s v="Les Misérables"/>
        <s v="The King's Speech"/>
        <s v="Shame"/>
        <s v="Rush"/>
        <s v="The Eagle"/>
        <s v="The Last King of Scotland"/>
        <s v="Centurion"/>
        <s v="Jason and the Argonauts"/>
        <s v="One Million Years B.C."/>
        <s v="Superman III"/>
        <s v="Jurassic Park"/>
        <s v="Spider-Man"/>
        <s v="Superman Returns"/>
        <s v="Titanic"/>
        <s v="Evan Almighty"/>
        <s v="Waterworld"/>
        <s v="Pearl Harbor"/>
        <s v="Transformers"/>
        <s v="Beowulf"/>
        <s v="Bee Movie"/>
        <s v="Pirates of the Caribbean: At World's End"/>
        <s v="I Am Legend"/>
        <s v="Ratatouille"/>
        <s v="Troy"/>
        <s v="Batman Begins"/>
        <s v="Charlie and the Chocolate Factory"/>
        <s v="Pirates of the Caribbean: Dead Man's Chest"/>
        <s v="Lethal Weapon 4"/>
        <s v="Armageddon"/>
        <s v="Men in Black II"/>
        <s v="Spider-Man 3"/>
        <s v="Spider-Man 2"/>
        <s v="Stealth"/>
        <s v="Final Fantasy: The Spirits Within"/>
        <s v="Miami Vice"/>
        <s v="Master and Commander: The Far Side of the World"/>
        <s v="War of the Worlds"/>
        <s v="The Bourne Ultimatum"/>
        <s v="The Matrix Reloaded"/>
        <s v="The Da Vinci Cod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Ocean's Eleven"/>
        <s v="Live Free or Die Hard"/>
        <s v="Around the World in 80 Days"/>
        <s v="Kingdom of Heaven"/>
        <s v="Mr. &amp; Mrs. Smith"/>
        <s v="The Aviator"/>
        <s v="Ali"/>
        <s v="I, Robot"/>
        <s v="Minority Report"/>
        <s v="Terminator 2: Judgement Day"/>
        <s v="Catwoman"/>
        <s v="American Gangster"/>
        <s v="Blood Diamond"/>
        <s v="Gladiator"/>
        <s v="True Lies"/>
        <s v="Gangs of New York"/>
        <s v="Black Hawk Down"/>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The Black Dahlia"/>
        <s v="The Truman Show"/>
        <s v="Event Horizon"/>
        <s v="The Bourne Identity"/>
        <s v="Hellboy"/>
        <s v="Starsky &amp; Hutch"/>
        <s v="Intolerable Cruelty"/>
        <n v="3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Sin City"/>
        <s v="Serenity"/>
        <s v="Star Trek: Generations"/>
        <s v="Never Say Never Again"/>
        <s v="Star Trek: The Motion Picture"/>
        <s v="Rush Hour"/>
        <s v="Lethal Weapon 3"/>
        <s v="Star Wars: Episode VI - Return of the Jedi"/>
        <s v="A History of Violence"/>
        <s v="Get Shorty"/>
        <s v="The Assassination of Jesse James by the Coward Robert Ford"/>
        <s v="Million Dollar Baby"/>
        <s v="Seven"/>
        <s v="The Hunt For Red October"/>
        <s v="Ghostbusters"/>
        <s v="Star Trek V: The Final Frontier"/>
        <s v="Indiana Jones and the Temple of Doom"/>
        <s v="Blade Runner"/>
        <s v="Die Hard"/>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Equilibrium"/>
        <s v="From Dusk Till Dawn"/>
        <s v="Raiders of the Lost Ark"/>
        <s v="Back to the Future"/>
        <s v="Dances with Wolves"/>
        <s v="Star Trek III: The Search For Spock"/>
        <s v="Raging Bull"/>
        <s v="Aliens"/>
        <s v="High Plains Drifter"/>
        <s v="Collateral"/>
        <s v="American Beauty"/>
        <s v="Lethal Weapon"/>
        <s v="Lethal Weapon 2"/>
        <s v="Brokeback Mountain"/>
        <s v="Hulk"/>
        <s v="Ride with the Devil"/>
        <s v="Twins"/>
        <s v="Letters from Iwo Jima"/>
        <s v="Star Trek II: The Wrath of Khan"/>
        <s v="Star Wars: Episode IV: A New Hope"/>
        <s v="E.T.: The Extra-Terrestrial"/>
        <s v="You Only Live Twice"/>
        <s v="Alien"/>
        <s v="Pulp Fiction"/>
        <s v="Fargo"/>
        <s v="Good Night, and Good Luck"/>
        <s v="Pale Rider"/>
        <s v="The Terminator"/>
        <s v="The Usual Suspects"/>
        <s v="Memento"/>
        <s v="Goldfinger"/>
        <s v="Reservoir Dogs"/>
        <s v="Super Size Me"/>
        <s v="Indiana Jones and the Kingdom of the Crystal Skull"/>
        <s v="Transformers: Age of Extinction"/>
        <s v="Guardians of the Galaxy"/>
        <s v="Maleficent"/>
        <s v="X-Men: Days of Future Past"/>
        <s v="Captain America: The Winter Soldier"/>
        <s v="The Hunger Games: Mockingjay Part 1"/>
        <s v="The Amazing Spider-Man 2"/>
        <s v="Dawn of the Planet of the Apes"/>
        <s v="Interstellar"/>
        <s v="Frozen"/>
        <s v="Iron Man 3"/>
        <s v="Despicable Me 2"/>
        <s v="The Hunger Games: Catching Fire"/>
        <s v="Fast &amp; Furious 6"/>
        <s v="Monsters University"/>
        <s v="Gravity"/>
        <s v="Man of Steel"/>
        <s v="Thor: The Dark World"/>
        <s v="The Avengers"/>
        <s v="The Dark Knight Rises"/>
        <s v="Ice Age: Continental Drift"/>
        <s v="The Twilight Saga: Breaking Dawn - Part 2"/>
        <s v="The Amazing Spider-Man"/>
        <s v="Madagascar 3: Europe's Most Wanted"/>
        <s v="The Hunger Games"/>
        <s v="Men in Black 3"/>
        <s v="Transformers: Dark of the Moon"/>
        <s v="Pirates of the Caribbean: On Stranger Tides"/>
        <s v="The Twilight Saga: Breaking Dawn - Part 1"/>
        <s v="Mission: Impossible - Ghost Protocol"/>
        <s v="Kung Fu Panda 2"/>
        <s v="Fast Five"/>
        <s v="The Hangover Part II"/>
        <s v="The Smurfs"/>
        <s v="Cars 2"/>
        <s v="Toy Story 3"/>
        <s v="Inception"/>
        <s v="Shrek Forever After"/>
        <s v="The Twilight Saga: Eclipse"/>
        <s v="Iron Man 2"/>
        <s v="Tangled"/>
        <s v="Despicable Me"/>
        <s v="How to Train Your Dragon"/>
        <s v="Avatar"/>
        <s v="Ice Age: Dawn of the Dinosaurs"/>
        <s v="Transformers: Revenge of the Fallen"/>
        <n v="2012"/>
        <s v="Up"/>
        <s v="The Twilight Saga: New Moon"/>
        <s v="Angels &amp; Demons"/>
        <s v="The Hangover"/>
        <s v="The Dark Knight"/>
        <s v="Kung Fu Panda"/>
        <s v="Hancock"/>
        <s v="Madagascar: Escape 2 Africa"/>
        <s v="Iron Man"/>
        <s v="WALL-E"/>
        <s v="National Treasure: Book of Secrets"/>
        <s v="Frost/Nixon"/>
        <s v="Ice Age: The Meltdown"/>
        <s v="Night at the Museum"/>
        <s v="Cars"/>
        <s v="Madagascar"/>
        <s v="Hitch"/>
        <s v="The Incredibles"/>
        <s v="Meet the Fockers"/>
        <s v="Shark Tale"/>
        <s v="Finding Nemo"/>
        <s v="Terminator 3: Rise of the Machines"/>
        <s v="Bad Boys II"/>
        <s v="Signs"/>
        <s v="Ice Age"/>
        <s v="The Mummy Returns"/>
        <s v="Jurassic Park III"/>
        <s v="Hannibal"/>
        <s v="What Women Want"/>
        <s v="Dinosaur"/>
        <s v="How the Grinch Stole Christmas"/>
        <s v="Meet the Parents"/>
        <s v="What Lies Beneath"/>
        <s v="Toy Story 2"/>
        <s v="Tarzan"/>
        <s v="The Mummy"/>
        <s v="Austin Powers: The Spy Who Shagged Me"/>
        <s v="There's Something About Mary"/>
        <s v="A Bug's Life"/>
        <s v="Mulan"/>
        <s v="Dr. Dolittle"/>
        <s v="The Lost World: Jurassic Park"/>
        <s v="Air Force One"/>
        <s v="Liar Liar"/>
        <s v="My Best Friend's Wedding"/>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The Naked Gun: From the Files of Police Squad!"/>
        <s v="Cocktail"/>
        <s v="Beetlejuice"/>
        <s v="Three Men and a Baby"/>
        <s v="Fatal Attraction"/>
        <s v="Beverly Hills Cop II"/>
        <s v="Good Morning, Vietnam"/>
        <s v="Moonstruck"/>
        <s v="The Secret of My Success"/>
        <s v="Stakeout"/>
        <s v="The Witches of Eastwick"/>
        <s v="Top Gun"/>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48 Hrs."/>
        <s v="Poltergeist"/>
        <s v="Annie"/>
        <s v="Arthur"/>
        <s v="The Cannonball Run"/>
        <s v="9 to 5"/>
        <s v="Stir Crazy"/>
        <s v="Airplane!"/>
        <s v="Any Which Way You Can"/>
        <s v="Private Benjamin"/>
        <s v="Smokey and the Bandit II"/>
        <s v="The Blues Brothers"/>
        <s v="Kramer vs. Kramer"/>
        <s v="The Amityville Horror"/>
        <s v="Rocky II"/>
        <s v="Apocalypse Now"/>
        <n v="10"/>
        <s v="The Jerk"/>
        <s v="The Muppet Movie"/>
        <s v="Grease"/>
        <s v="National Lampoon's Animal House"/>
        <s v="Every Which Way but Loose"/>
        <s v="Jaws 2"/>
        <s v="Dawn of the Dead"/>
        <s v="The Deer Hunter"/>
        <s v="Smokey and the Bandit"/>
        <s v="Close Encounters of the Third Kind"/>
        <s v="Saturday Night Fever"/>
        <s v="The Deep"/>
        <s v="Annie Hall"/>
        <s v="Rocky"/>
        <s v="All the President's Men"/>
        <s v="The Omen"/>
        <s v="Silver Streak"/>
        <s v="The Enforcer"/>
        <s v="Midway"/>
        <s v="Jaws"/>
        <s v="One Flew Over the Cuckoo's Nest"/>
        <s v="Dog Day Afternoon"/>
        <s v="Shampoo"/>
        <s v="Blazing Saddles"/>
        <s v="The Towering Inferno"/>
        <s v="Young Frankenstein"/>
        <s v="Earthquake"/>
        <s v="The Godfather Part II"/>
        <s v="Airport 1975"/>
        <s v="The Longest Yard"/>
        <s v="The Sting"/>
        <s v="The Exorcist"/>
        <s v="American Graffiti"/>
        <s v="Papillon"/>
        <s v="Robin Hood"/>
        <s v="The Godfather"/>
        <s v="The Poseidon Adventure"/>
        <s v="Deliverance"/>
        <s v="Cabaret"/>
        <s v="Fiddler on the Roof"/>
        <s v="The French Connection"/>
        <s v="Dirty Harry"/>
        <s v="Love Story"/>
        <s v="Airport"/>
        <s v="Patton"/>
        <s v="Butch Cassidy and the Sundance Kid"/>
        <s v="Midnight Cowboy"/>
        <s v="Easy Rider"/>
        <s v="Paint Your Wagon"/>
        <s v="The Love Bug"/>
        <s v="The Odd Couple"/>
        <s v="Bullitt"/>
        <s v="Planet of the Apes"/>
        <s v="The Graduate"/>
        <s v="The Jungle Book"/>
        <s v="Bonnie and Clyde"/>
        <s v="The Dirty Dozen"/>
        <s v="Night of the Living Dead"/>
        <s v="Grand Prix"/>
        <s v="The Sound of Music"/>
        <s v="Von Ryan's Express"/>
        <s v="My Fair Lady"/>
        <s v="Cleopatra"/>
        <s v="How the West Was Won"/>
        <s v="It's a Mad, Mad, Mad, Mad World"/>
        <s v="The Sword in the Stone"/>
        <s v="The Birds"/>
        <s v="The Longest Day"/>
        <s v="Mutiny on the Bounty"/>
        <s v="To Kill a Mockingbird"/>
        <s v="West Side Story"/>
        <s v="El Cid"/>
        <s v="One Hundred and One Dalmatians"/>
        <s v="Spartacus"/>
        <s v="Psycho"/>
        <s v="Swiss Family Robinson"/>
        <s v="The Alamo"/>
        <s v="Ocean's 11"/>
        <s v="Ben-Hur"/>
        <s v="Sleeping Beauty"/>
        <s v="North by Northwest"/>
        <s v="Some Like It Hot"/>
        <s v="South Pacific"/>
        <s v="The Vikings"/>
        <s v="Vertigo"/>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Singin' in the Rain"/>
        <s v="A Streetcar Named Desire"/>
        <s v="The African Queen"/>
        <s v="Strangers on a Train"/>
        <s v="Cinderella"/>
        <s v="King Solomon's Mines"/>
        <s v="Annie Get Your Gun"/>
        <s v="Sands of Iwo Jima"/>
        <s v="For Whom the Bell Tolls"/>
        <s v="Casablanca"/>
        <s v="The Great Dictator"/>
        <s v="The Grapes of Wrath"/>
        <s v="Gone with the Wind"/>
        <s v="The Wizard of Oz"/>
        <s v="Snow White and the Seven Dwarfs"/>
        <s v="Frankenstein"/>
        <s v="Dracula"/>
        <s v="All Quiet on the Western Front"/>
        <s v="The Kid"/>
        <s v="Star Wars: The Force Awakens"/>
        <s v="Jurassic World"/>
        <s v="Furious 7"/>
        <s v="Avengers: Age of Ultron"/>
        <s v="Minions"/>
        <s v="Inside Out"/>
        <s v="Mission: Impossible - Rogue Nation"/>
        <s v="The Hunger Games: Mockingjay - Part 2"/>
        <s v="The Martian"/>
        <s v="Captain America: Civil War"/>
        <s v="Finding Dory"/>
        <s v="Zootopia"/>
        <s v="Batman v Superman: Dawn of Justice"/>
        <s v="The Secret Life of Pets"/>
        <s v="Deadpool"/>
        <s v="Suicide Squad"/>
        <s v="X-Men: Apocalypse"/>
        <s v="Doctor Strange"/>
        <s v="The Parent Trap"/>
        <s v="Captain Blood"/>
        <s v="The Adventures of Robin Hood"/>
        <s v="The Charge of the Light Brigade"/>
        <s v="The Misfits"/>
        <s v="Citizen Kane"/>
        <s v="The Public Enemy"/>
        <s v="It's a Wonderful Life"/>
        <s v="Mr. Smith Goes to Washington"/>
        <s v="Miracle on 34th Street"/>
        <s v="Joan of Arc"/>
        <s v="The Three Musketeers"/>
        <s v="Cannonball Run II"/>
        <s v="Romeo Must Die"/>
        <s v="The One"/>
        <s v="Cradle 2 the Grave"/>
        <s v="The Forbidden Kingdom"/>
        <s v="The Mummy: Tomb of the Dragon Emperor"/>
        <s v="The Expendables"/>
        <s v="The Expendables 2"/>
        <s v="The Expendables 3"/>
        <s v="The Incredible Hulk"/>
        <s v="Now You See Me"/>
        <s v="Hard Target"/>
        <s v="Broken Arrow"/>
        <s v="Face/Off"/>
        <s v="Paycheck"/>
        <s v="Crouching Tiger, Hidden Dragon: Sword of Destiny"/>
        <s v="47 Ronin"/>
        <s v="Thor"/>
        <s v="Battleship"/>
        <s v="The Kingdom"/>
        <s v="Lone Survivor"/>
        <s v="Deepwater Horizon"/>
        <s v="The Fast and the Furious: Tokyo Drift"/>
        <s v="The Gunman"/>
        <s v="Assault on Precinct 13"/>
        <s v="Elysium"/>
        <s v="Chappie"/>
        <s v="John Carter"/>
        <s v="A Knight's Tale"/>
        <s v="Steve Jobs"/>
        <s v="Life of Pi"/>
        <s v="Terminator Genisys"/>
        <s v="Maggie"/>
        <s v="Sabotage"/>
        <s v="Escape Plan"/>
        <s v="The Last Stand"/>
        <s v="Terminator Salvation"/>
        <s v="Collateral Damage"/>
        <s v="The 6th Day"/>
        <s v="End of Days"/>
        <s v="Batman &amp; Robin"/>
        <s v="Jingle All the Way"/>
        <s v="Junior"/>
        <s v="True Grit"/>
        <s v="Red Heat"/>
        <s v="Predator"/>
        <s v="Raw Deal"/>
        <s v="Commando"/>
        <s v="X-Men: The Last Stand"/>
        <s v="Conan the Destroyer"/>
        <s v="Conan the Barbarian"/>
        <s v="Pumping Iron"/>
        <s v="This Means War"/>
        <s v="We Are Marshall"/>
        <s v="X-Men: First Class"/>
        <s v="Charlie's Angels"/>
        <s v="Charlie's Angels: Full Throttle"/>
        <s v="Once Upon a Time in America"/>
        <s v="Underworld: Rise of the Lycans"/>
        <s v="Underworld: Awakening"/>
        <s v="Stargate"/>
        <s v="Under Siege"/>
        <s v="Bridge of Spies"/>
        <s v="Duel"/>
        <s v="Empire of the Sun"/>
        <s v="Amistad"/>
        <s v="A.I. Artificial Intelligence"/>
        <s v="Catch Me If You Can"/>
        <s v="The Terminal"/>
        <s v="Lincoln"/>
        <s v="Abraham Lincoln: Vampire Hunter"/>
        <s v="The BFG"/>
        <s v="Unbroken"/>
        <s v="Inside Llewyn Davis"/>
        <s v="The Ladykillers"/>
        <s v="The Big Lebowski"/>
        <s v="Miller's Crossing"/>
        <s v="Outlander"/>
        <s v="Timecop"/>
        <s v="Kung Fu Panda 3"/>
        <s v="Universal Soldier"/>
        <s v="Double Impact"/>
        <s v="Death Warrant"/>
        <s v="Kickboxer"/>
        <s v="Cyborg"/>
        <s v="Bloodsport"/>
        <s v="Brooklyn's Finest"/>
        <s v="Paths of Glory"/>
        <s v="The Treasure of the Sierra Madre"/>
        <s v="The Unforgiven"/>
        <s v="Unforgiven"/>
        <s v="Hang 'Em High"/>
        <s v="Coogan's Bluff"/>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The Getaway"/>
        <s v="Straw Dogs"/>
        <s v="Judgment at Nuremberg"/>
        <s v="The Great Escape"/>
        <s v="Star Trek Beyond"/>
        <s v="Star Trek Into Darkness"/>
        <s v="Star Trek"/>
        <s v="RoboCop"/>
        <s v="Clerks"/>
        <s v="Mallrats"/>
        <s v="Chasing Amy"/>
        <s v="Dogma"/>
        <s v="Drive"/>
        <s v="Taxi Driver"/>
        <s v="Mean Streets"/>
        <s v="New York, New York"/>
        <s v="The King of Comedy"/>
        <s v="The Color of Money"/>
        <s v="The Last Temptation of Christ"/>
        <s v="The Age of Innocence"/>
        <s v="Silence"/>
        <s v="The Wolf of Wall Street"/>
        <s v="Shutter Island"/>
        <s v="Zoolander"/>
        <s v="Willow"/>
        <s v="Happy Feet Two"/>
        <s v="Zoolander 2"/>
        <s v="Dune"/>
        <s v="The Nice Guys"/>
        <s v="Kiss Kiss Bang Bang"/>
        <s v="Independence Day: Resurgence"/>
        <s v="Jason Bourne"/>
        <s v="Sausage Party"/>
        <s v="Jackie Brown"/>
        <s v="Inglourious Basterds"/>
        <s v="Django Unchained"/>
        <s v="The Hateful Eight"/>
        <s v="Bill &amp; Ted's Excellent Adventure"/>
        <s v="Bill &amp; Ted's Bogus Journey"/>
        <s v="The Magnificent Seven"/>
        <s v="The Replacement Killers"/>
        <s v="Training Day"/>
        <s v="Tears of the Sun"/>
        <s v="King Arthur"/>
        <s v="Shooter"/>
        <s v="Olympus Has Fallen"/>
        <s v="The Equalizer"/>
        <s v="Southpaw"/>
        <s v="Miss Peregrine's Home for Peculiar Children"/>
        <s v="Mars Attacks!"/>
        <s v="Big Fish"/>
        <s v="Dark Shadows"/>
        <s v="Watchmen"/>
        <s v="Sucker Punch"/>
        <s v="Jack Reacher: Never Go Back"/>
        <s v="Jack Reacher"/>
        <s v="The Way of the Gun"/>
        <s v="Moana"/>
        <s v="Bad Santa"/>
        <s v="Bad Santa 2"/>
        <s v="Rogue One: A Star Wars Story"/>
        <s v="Passengers"/>
        <s v="The Imitation Game"/>
        <s v="Near Dark"/>
        <s v="Point Break"/>
        <s v="Invincible"/>
        <s v="Strange Days"/>
        <s v="K-19: The Widowmaker"/>
        <s v="The Hurt Locker"/>
        <s v="Zero Dark Thirty"/>
        <s v="The Man from U.N.C.L.E."/>
        <s v="Prometheus"/>
        <s v="Legend"/>
        <s v="Black Rain"/>
        <s v="Thelma &amp; Louise"/>
        <s v="1492: Conquest of Paradise"/>
        <s v="G.I. Jane"/>
        <s v="Matchstick Men"/>
        <s v="Body of Lies"/>
        <s v="Exodus: Gods and Kings"/>
        <s v="Twilight"/>
        <s v="Dead Man Down"/>
        <s v="John Wick"/>
        <s v="The Revenant"/>
        <s v="Birdman"/>
        <s v="21 Grams"/>
        <s v="Ted"/>
        <s v="Ted 2"/>
        <s v="A Million Ways to Die in the West"/>
        <s v="Hansel &amp; Gretel: Witch Hunters"/>
        <s v="There Will Be Blood"/>
        <s v="Punch-Drunk Love"/>
        <s v="The Master"/>
        <s v="Inherent Vice"/>
        <s v="Boogie Nights"/>
        <s v="Gremlins 2: The New Batch"/>
        <s v="The Punisher"/>
        <s v="Looper"/>
        <s v="12 Years a Slave"/>
        <s v="Prisoners"/>
        <s v="Cowboys &amp; Aliens"/>
        <s v="Knight and Day"/>
        <s v="Jupiter Ascending"/>
        <s v="Sicario"/>
        <s v="Edge of Tomorrow"/>
        <s v="The Adjustment Bureau"/>
        <s v="The Wolfman"/>
        <s v="Charlie Wilson's War"/>
        <s v="Sin City: A Dame to Kill For"/>
        <s v="Ant-Man"/>
        <s v="3:10 to Yuma"/>
        <s v="The Wolverine"/>
        <s v="Solaris"/>
        <s v="Magic Mike"/>
        <s v="Mr. Holland's Opus"/>
        <s v="The Mighty Ducks"/>
        <s v="Young Guns"/>
        <s v="Young Guns II: Blaze of Glory"/>
        <s v="The Lost Boys"/>
        <s v="Flatliners"/>
        <s v="21 Jump Street"/>
        <s v="Cloudy with a Chance of Meatballs"/>
        <s v="Anastasia"/>
        <s v="Hot Rod"/>
        <s v="Cloudy with a Chance of Meatballs 2"/>
        <s v="The Lego Movie"/>
        <s v="Bad Boys"/>
        <s v="22 Jump Street"/>
        <s v="Ice Age: Collision Course"/>
        <s v="Pete's Dragon"/>
        <s v="Fantastic Voyage"/>
        <s v="Julius Caesar"/>
        <s v="Giant"/>
        <s v="Rebel Without a Cause"/>
        <s v="Gentleman's Agreement"/>
        <s v="Viva Zapata!"/>
        <s v="On the Waterfront"/>
        <s v="The Diary of Anne Frank"/>
        <s v="The Greatest Story Ever Told"/>
        <s v="A Place in the Sun"/>
        <s v="The Talk of the Town"/>
        <s v="Samson and Delilah"/>
        <s v="Enemy Mine"/>
        <s v="In the Line of Fire"/>
        <s v="Outbreak"/>
      </sharedItems>
    </cacheField>
    <cacheField name="Release Date" numFmtId="14">
      <sharedItems containsSemiMixedTypes="0" containsNonDate="0" containsDate="1" containsString="0" minDate="1921-01-21T00:00:00" maxDate="2016-12-22T00:00:00" count="1014">
        <d v="2006-11-17T00:00:00"/>
        <d v="1988-05-25T00:00:00"/>
        <d v="1986-09-26T00:00:00"/>
        <d v="1979-04-12T00:00:00"/>
        <d v="1981-12-24T00:00:00"/>
        <d v="1985-07-10T00:00:00"/>
        <d v="2015-05-07T00:00:00"/>
        <d v="2002-08-30T00:00:00"/>
        <d v="2002-04-19T00:00:00"/>
        <d v="1982-04-16T00:00:00"/>
        <d v="2002-10-24T00:00:00"/>
        <d v="2000-07-06T00:00:00"/>
        <d v="2004-05-19T00:00:00"/>
        <d v="2016-02-08T00:00:00"/>
        <d v="2010-09-29T00:00:00"/>
        <d v="2011-12-15T00:00:00"/>
        <d v="2008-07-10T00:00:00"/>
        <d v="2009-01-07T00:00:00"/>
        <d v="2013-05-22T00:00:00"/>
        <d v="1997-05-07T00:00:00"/>
        <d v="1994-09-14T00:00:00"/>
        <d v="2001-04-25T00:00:00"/>
        <d v="2001-07-06T00:00:00"/>
        <d v="2005-02-02T00:00:00"/>
        <d v="2002-10-02T00:00:00"/>
        <d v="2005-08-03T00:00:00"/>
        <d v="2004-11-10T00:00:00"/>
        <d v="2009-02-18T00:00:00"/>
        <d v="2008-02-27T00:00:00"/>
        <d v="2010-02-05T00:00:00"/>
        <d v="2009-05-16T00:00:00"/>
        <d v="2009-12-23T00:00:00"/>
        <d v="2014-02-12T00:00:00"/>
        <d v="2004-09-16T00:00:00"/>
        <d v="1981-09-17T00:00:00"/>
        <d v="2006-03-23T00:00:00"/>
        <d v="2006-02-24T00:00:00"/>
        <d v="1984-04-06T00:00:00"/>
        <d v="1995-01-21T00:00:00"/>
        <d v="1971-10-03T00:00:00"/>
        <d v="1972-03-22T00:00:00"/>
        <d v="1972-12-30T00:00:00"/>
        <d v="1978-03-23T00:00:00"/>
        <d v="1973-07-26T00:00:00"/>
        <d v="1992-07-04T00:00:00"/>
        <d v="1992-01-15T00:00:00"/>
        <d v="2007-12-12T00:00:00"/>
        <d v="2011-05-13T00:00:00"/>
        <d v="2005-07-29T00:00:00"/>
        <d v="1992-04-16T00:00:00"/>
        <d v="2008-12-18T00:00:00"/>
        <d v="2010-04-29T00:00:00"/>
        <d v="2015-12-16T00:00:00"/>
        <d v="1993-09-03T00:00:00"/>
        <d v="2004-09-14T00:00:00"/>
        <d v="2011-09-08T00:00:00"/>
        <d v="2014-01-21T00:00:00"/>
        <d v="1966-12-15T00:00:00"/>
        <d v="1964-09-12T00:00:00"/>
        <d v="1965-11-18T00:00:00"/>
        <d v="1968-12-21T00:00:00"/>
        <d v="1954-04-26T00:00:00"/>
        <d v="1980-04-26T00:00:00"/>
        <d v="1985-05-31T00:00:00"/>
        <d v="1970-09-23T00:00:00"/>
        <d v="1950-08-25T00:00:00"/>
        <d v="2001-09-14T00:00:00"/>
        <d v="2010-09-25T00:00:00"/>
        <d v="2000-12-16T00:00:00"/>
        <d v="2002-11-04T00:00:00"/>
        <d v="2002-11-02T00:00:00"/>
        <d v="1954-11-03T00:00:00"/>
        <d v="1962-08-11T00:00:00"/>
        <d v="1985-07-03T00:00:00"/>
        <d v="2005-12-14T00:00:00"/>
        <d v="2001-12-19T00:00:00"/>
        <d v="2003-12-17T00:00:00"/>
        <d v="2002-12-18T00:00:00"/>
        <d v="1995-04-14T00:00:00"/>
        <d v="2014-12-01T00:00:00"/>
        <d v="2013-12-13T00:00:00"/>
        <d v="2012-12-14T00:00:00"/>
        <d v="2007-05-19T00:00:00"/>
        <d v="2004-07-08T00:00:00"/>
        <d v="2006-01-01T00:00:00"/>
        <d v="2015-10-16T00:00:00"/>
        <d v="2009-08-13T00:00:00"/>
        <d v="2009-02-27T00:00:00"/>
        <d v="2009-11-27T00:00:00"/>
        <d v="1957-02-16T00:00:00"/>
        <d v="2003-01-21T00:00:00"/>
        <d v="2008-12-04T00:00:00"/>
        <d v="2005-08-11T00:00:00"/>
        <d v="2013-10-23T00:00:00"/>
        <d v="2007-07-11T00:00:00"/>
        <d v="2005-11-06T00:00:00"/>
        <d v="2002-11-20T00:00:00"/>
        <d v="1999-11-26T00:00:00"/>
        <d v="2004-05-31T00:00:00"/>
        <d v="2001-11-16T00:00:00"/>
        <d v="1997-12-12T00:00:00"/>
        <d v="2006-11-14T00:00:00"/>
        <d v="2002-11-15T00:00:00"/>
        <d v="1995-11-24T00:00:00"/>
        <d v="1989-06-13T00:00:00"/>
        <d v="1987-06-27T00:00:00"/>
        <d v="1979-06-29T00:00:00"/>
        <d v="1981-06-24T00:00:00"/>
        <d v="1982-12-02T00:00:00"/>
        <d v="2006-11-02T00:00:00"/>
        <d v="2007-02-14T00:00:00"/>
        <d v="1995-12-13T00:00:00"/>
        <d v="2002-11-01T00:00:00"/>
        <d v="2000-02-11T00:00:00"/>
        <d v="1996-02-23T00:00:00"/>
        <d v="1977-07-07T00:00:00"/>
        <d v="1967-04-28T00:00:00"/>
        <d v="1965-12-09T00:00:00"/>
        <d v="1969-12-18T00:00:00"/>
        <d v="1971-12-14T00:00:00"/>
        <d v="1973-06-27T00:00:00"/>
        <d v="1974-12-19T00:00:00"/>
        <d v="2004-04-09T00:00:00"/>
        <d v="1994-05-13T00:00:00"/>
        <d v="1963-10-10T00:00:00"/>
        <d v="1962-10-05T00:00:00"/>
        <d v="2007-04-06T00:00:00"/>
        <d v="2006-11-03T00:00:00"/>
        <d v="2012-10-26T00:00:00"/>
        <d v="2011-07-15T00:00:00"/>
        <d v="2010-02-25T00:00:00"/>
        <d v="2010-11-19T00:00:00"/>
        <d v="2009-07-15T00:00:00"/>
        <d v="2009-12-26T00:00:00"/>
        <d v="2008-06-30T00:00:00"/>
        <d v="2008-10-31T00:00:00"/>
        <d v="2008-05-16T00:00:00"/>
        <d v="2005-12-08T00:00:00"/>
        <d v="1999-05-21T00:00:00"/>
        <d v="1998-12-03T00:00:00"/>
        <d v="1997-08-29T00:00:00"/>
        <d v="1981-04-09T00:00:00"/>
        <d v="1981-03-30T00:00:00"/>
        <d v="1981-07-10T00:00:00"/>
        <d v="1978-07-19T00:00:00"/>
        <d v="1977-06-15T00:00:00"/>
        <d v="1975-08-14T00:00:00"/>
        <d v="1975-05-21T00:00:00"/>
        <d v="1971-12-19T00:00:00"/>
        <d v="1971-10-07T00:00:00"/>
        <d v="1968-04-03T00:00:00"/>
        <d v="1968-10-08T00:00:00"/>
        <d v="1968-09-26T00:00:00"/>
        <d v="1965-12-22T00:00:00"/>
        <d v="1964-07-06T00:00:00"/>
        <d v="1962-12-10T00:00:00"/>
        <d v="1961-04-27T00:00:00"/>
        <d v="1957-10-02T00:00:00"/>
        <d v="1952-07-31T00:00:00"/>
        <d v="1952-12-23T00:00:00"/>
        <d v="1939-05-15T00:00:00"/>
        <d v="2015-10-26T00:00:00"/>
        <d v="1962-06-13T00:00:00"/>
        <d v="1935-06-06T00:00:00"/>
        <d v="1948-01-22T00:00:00"/>
        <d v="1945-11-26T00:00:00"/>
        <d v="1945-10-18T00:00:00"/>
        <d v="1946-12-26T00:00:00"/>
        <d v="1948-05-04T00:00:00"/>
        <d v="1975-04-09T00:00:00"/>
        <d v="1979-08-17T00:00:00"/>
        <d v="1981-06-12T00:00:00"/>
        <d v="2006-09-12T00:00:00"/>
        <d v="2004-10-01T00:00:00"/>
        <d v="2005-06-03T00:00:00"/>
        <d v="2009-09-21T00:00:00"/>
        <d v="2011-03-12T00:00:00"/>
        <d v="2013-07-05T00:00:00"/>
        <d v="2015-09-13T00:00:00"/>
        <d v="2008-08-30T00:00:00"/>
        <d v="2011-11-30T00:00:00"/>
        <d v="2015-02-26T00:00:00"/>
        <d v="2011-03-04T00:00:00"/>
        <d v="1994-05-17T00:00:00"/>
        <d v="1997-10-24T00:00:00"/>
        <d v="2007-04-26T00:00:00"/>
        <d v="2010-09-04T00:00:00"/>
        <d v="2013-03-19T00:00:00"/>
        <d v="2014-12-13T00:00:00"/>
        <d v="2010-03-26T00:00:00"/>
        <d v="2007-08-10T00:00:00"/>
        <d v="2003-09-19T00:00:00"/>
        <d v="2006-01-20T00:00:00"/>
        <d v="1981-05-22T00:00:00"/>
        <d v="1987-06-17T00:00:00"/>
        <d v="1999-07-16T00:00:00"/>
        <d v="1980-05-23T00:00:00"/>
        <d v="1964-01-29T00:00:00"/>
        <d v="1974-11-24T00:00:00"/>
        <d v="1980-12-05T00:00:00"/>
        <d v="1968-12-04T00:00:00"/>
        <d v="1977-01-28T00:00:00"/>
        <d v="1964-01-22T00:00:00"/>
        <d v="2008-10-17T00:00:00"/>
        <d v="2011-10-10T00:00:00"/>
        <d v="1986-06-27T00:00:00"/>
        <d v="2010-07-27T00:00:00"/>
        <d v="2016-11-10T00:00:00"/>
        <d v="2015-01-21T00:00:00"/>
        <d v="2012-09-07T00:00:00"/>
        <d v="2000-12-15T00:00:00"/>
        <d v="1996-11-15T00:00:00"/>
        <d v="1998-08-28T00:00:00"/>
        <d v="2000-08-23T00:00:00"/>
        <d v="2008-09-04T00:00:00"/>
        <d v="2011-12-16T00:00:00"/>
        <d v="2013-10-03T00:00:00"/>
        <d v="2014-09-07T00:00:00"/>
        <d v="2008-01-22T00:00:00"/>
        <d v="2015-09-05T00:00:00"/>
        <d v="2008-02-15T00:00:00"/>
        <d v="2013-09-07T00:00:00"/>
        <d v="2012-12-05T00:00:00"/>
        <d v="2010-09-06T00:00:00"/>
        <d v="2011-09-04T00:00:00"/>
        <d v="2013-09-02T00:00:00"/>
        <d v="2011-03-25T00:00:00"/>
        <d v="2007-01-12T00:00:00"/>
        <d v="2010-04-23T00:00:00"/>
        <d v="1963-06-19T00:00:00"/>
        <d v="1966-12-30T00:00:00"/>
        <d v="1983-06-17T00:00:00"/>
        <d v="1993-06-11T00:00:00"/>
        <d v="2002-05-03T00:00:00"/>
        <d v="2006-07-14T00:00:00"/>
        <d v="1998-01-23T00:00:00"/>
        <d v="2007-06-22T00:00:00"/>
        <d v="1995-07-28T00:00:00"/>
        <d v="2001-05-21T00:00:00"/>
        <d v="2007-07-03T00:00:00"/>
        <d v="2007-11-16T00:00:00"/>
        <d v="2007-11-02T00:00:00"/>
        <d v="2007-05-25T00:00:00"/>
        <d v="2007-12-14T00:00:00"/>
        <d v="2004-05-14T00:00:00"/>
        <d v="2005-06-15T00:00:00"/>
        <d v="2005-07-15T00:00:00"/>
        <d v="2006-07-06T00:00:00"/>
        <d v="1998-07-10T00:00:00"/>
        <d v="1998-07-01T00:00:00"/>
        <d v="2002-07-03T00:00:00"/>
        <d v="2007-05-04T00:00:00"/>
        <d v="2004-06-30T00:00:00"/>
        <d v="2005-08-05T00:00:00"/>
        <d v="2001-08-03T00:00:00"/>
        <d v="2006-07-28T00:00:00"/>
        <d v="2003-11-14T00:00:00"/>
        <d v="2005-06-29T00:00:00"/>
        <d v="2007-08-17T00:00:00"/>
        <d v="2003-05-15T00:00:00"/>
        <d v="2006-05-19T00:00:00"/>
        <d v="2004-05-26T00:00:00"/>
        <d v="2003-07-09T00:00:00"/>
        <d v="2003-12-05T00:00:00"/>
        <d v="2000-06-30T00:00:00"/>
        <d v="2006-05-04T00:00:00"/>
        <d v="2000-05-24T00:00:00"/>
        <d v="2002-05-16T00:00:00"/>
        <d v="2002-02-08T00:00:00"/>
        <d v="1999-05-19T00:00:00"/>
        <d v="2005-05-19T00:00:00"/>
        <d v="2003-11-05T00:00:00"/>
        <d v="2002-02-15T00:00:00"/>
        <d v="2007-06-27T00:00:00"/>
        <d v="2004-06-16T00:00:00"/>
        <d v="2005-05-06T00:00:00"/>
        <d v="2005-06-10T00:00:00"/>
        <d v="2004-12-25T00:00:00"/>
        <d v="2001-12-25T00:00:00"/>
        <d v="2004-07-15T00:00:00"/>
        <d v="2002-07-04T00:00:00"/>
        <d v="1991-08-16T00:00:00"/>
        <d v="2004-08-13T00:00:00"/>
        <d v="2006-12-08T00:00:00"/>
        <d v="2000-05-05T00:00:00"/>
        <d v="1994-07-15T00:00:00"/>
        <d v="2002-12-20T00:00:00"/>
        <d v="2002-01-18T00:00:00"/>
        <d v="1997-07-02T00:00:00"/>
        <d v="2006-10-06T00:00:00"/>
        <d v="1995-08-18T00:00:00"/>
        <d v="2005-09-09T00:00:00"/>
        <d v="2004-07-23T00:00:00"/>
        <d v="1993-07-30T00:00:00"/>
        <d v="2001-01-12T00:00:00"/>
        <d v="2005-02-04T00:00:00"/>
        <d v="2006-09-29T00:00:00"/>
        <d v="2003-05-23T00:00:00"/>
        <d v="1996-05-22T00:00:00"/>
        <d v="1998-05-08T00:00:00"/>
        <d v="2002-07-12T00:00:00"/>
        <d v="2001-12-21T00:00:00"/>
        <d v="2006-09-22T00:00:00"/>
        <d v="2005-12-23T00:00:00"/>
        <d v="1996-07-02T00:00:00"/>
        <d v="2000-08-18T00:00:00"/>
        <d v="2003-05-02T00:00:00"/>
        <d v="1996-06-07T00:00:00"/>
        <d v="2005-02-18T00:00:00"/>
        <d v="2000-12-29T00:00:00"/>
        <d v="2006-09-15T00:00:00"/>
        <d v="2007-07-25T00:00:00"/>
        <d v="1995-05-24T00:00:00"/>
        <d v="2006-01-13T00:00:00"/>
        <d v="2004-08-20T00:00:00"/>
        <d v="2007-05-18T00:00:00"/>
        <d v="1989-08-09T00:00:00"/>
        <d v="1998-12-11T00:00:00"/>
        <d v="1988-06-22T00:00:00"/>
        <d v="1999-11-19T00:00:00"/>
        <d v="2002-08-09T00:00:00"/>
        <d v="1990-07-04T00:00:00"/>
        <d v="1996-11-29T00:00:00"/>
        <d v="1995-06-30T00:00:00"/>
        <d v="1998-07-24T00:00:00"/>
        <d v="1999-10-15T00:00:00"/>
        <d v="1999-06-11T00:00:00"/>
        <d v="1990-06-01T00:00:00"/>
        <d v="1993-06-25T00:00:00"/>
        <d v="1994-08-03T00:00:00"/>
        <d v="1998-06-05T00:00:00"/>
        <d v="1997-08-15T00:00:00"/>
        <d v="2002-06-14T00:00:00"/>
        <d v="2004-04-02T00:00:00"/>
        <d v="2004-03-19T00:00:00"/>
        <d v="2003-10-10T00:00:00"/>
        <d v="2007-03-23T00:00:00"/>
        <d v="2003-01-03T00:00:00"/>
        <d v="1978-12-10T00:00:00"/>
        <d v="1995-05-12T00:00:00"/>
        <d v="2006-11-22T00:00:00"/>
        <d v="2004-04-21T00:00:00"/>
        <d v="1998-12-26T00:00:00"/>
        <d v="2003-10-17T00:00:00"/>
        <d v="1992-05-22T00:00:00"/>
        <d v="2000-05-26T00:00:00"/>
        <d v="2004-04-23T00:00:00"/>
        <d v="2002-03-22T00:00:00"/>
        <d v="2006-10-20T00:00:00"/>
        <d v="1991-06-14T00:00:00"/>
        <d v="2001-05-18T00:00:00"/>
        <d v="2003-02-07T00:00:00"/>
        <d v="1989-05-24T00:00:00"/>
        <d v="1996-11-22T00:00:00"/>
        <d v="1998-08-21T00:00:00"/>
        <d v="1992-06-05T00:00:00"/>
        <d v="1993-08-06T00:00:00"/>
        <d v="1992-09-25T00:00:00"/>
        <d v="1990-05-25T00:00:00"/>
        <d v="1989-11-22T00:00:00"/>
        <d v="2005-04-01T00:00:00"/>
        <d v="2005-10-07T00:00:00"/>
        <d v="1994-11-18T00:00:00"/>
        <d v="1983-10-07T00:00:00"/>
        <d v="1979-12-07T00:00:00"/>
        <d v="1998-12-04T00:00:00"/>
        <d v="1992-08-14T00:00:00"/>
        <d v="1983-05-25T00:00:00"/>
        <d v="2005-09-23T00:00:00"/>
        <d v="1995-10-20T00:00:00"/>
        <d v="2007-09-21T00:00:00"/>
        <d v="2005-01-14T00:00:00"/>
        <d v="1995-09-22T00:00:00"/>
        <d v="1990-03-02T00:00:00"/>
        <d v="1984-06-07T00:00:00"/>
        <d v="1989-06-09T00:00:00"/>
        <d v="1984-05-23T00:00:00"/>
        <d v="1982-06-25T00:00:00"/>
        <d v="1988-07-15T00:00:00"/>
        <d v="1983-06-06T00:00:00"/>
        <d v="1991-12-06T00:00:00"/>
        <d v="1987-11-13T00:00:00"/>
        <d v="2003-08-15T00:00:00"/>
        <d v="1991-02-01T00:00:00"/>
        <d v="2000-09-15T00:00:00"/>
        <d v="1990-09-19T00:00:00"/>
        <d v="2004-03-26T00:00:00"/>
        <d v="1987-06-03T00:00:00"/>
        <d v="1993-12-15T00:00:00"/>
        <d v="2004-09-10T00:00:00"/>
        <d v="1983-12-09T00:00:00"/>
        <d v="1986-11-26T00:00:00"/>
        <d v="1976-12-17T00:00:00"/>
        <d v="1980-05-21T00:00:00"/>
        <d v="2002-12-06T00:00:00"/>
        <d v="1996-01-19T00:00:00"/>
        <d v="1990-10-19T00:00:00"/>
        <d v="1984-06-01T00:00:00"/>
        <d v="1980-11-14T00:00:00"/>
        <d v="1986-07-18T00:00:00"/>
        <d v="1973-08-22T00:00:00"/>
        <d v="2004-08-06T00:00:00"/>
        <d v="1999-09-08T00:00:00"/>
        <d v="1987-03-06T00:00:00"/>
        <d v="1989-07-07T00:00:00"/>
        <d v="2005-12-09T00:00:00"/>
        <d v="2003-06-20T00:00:00"/>
        <d v="1988-12-09T00:00:00"/>
        <d v="2006-12-09T00:00:00"/>
        <d v="1982-06-04T00:00:00"/>
        <d v="1977-05-25T00:00:00"/>
        <d v="1982-06-11T00:00:00"/>
        <d v="1967-06-12T00:00:00"/>
        <d v="1979-05-25T00:00:00"/>
        <d v="1994-10-14T00:00:00"/>
        <d v="1996-03-08T00:00:00"/>
        <d v="1985-06-26T00:00:00"/>
        <d v="1984-10-26T00:00:00"/>
        <d v="1956-10-17T00:00:00"/>
        <d v="1995-08-25T00:00:00"/>
        <d v="2000-09-05T00:00:00"/>
        <d v="1964-09-17T00:00:00"/>
        <d v="1992-10-23T00:00:00"/>
        <d v="1933-04-07T00:00:00"/>
        <d v="2008-05-22T00:00:00"/>
        <d v="2014-06-27T00:00:00"/>
        <d v="2014-08-01T00:00:00"/>
        <d v="2014-05-28T00:00:00"/>
        <d v="2014-05-22T00:00:00"/>
        <d v="2014-04-04T00:00:00"/>
        <d v="2014-11-10T00:00:00"/>
        <d v="2014-04-10T00:00:00"/>
        <d v="2014-07-11T00:00:00"/>
        <d v="2014-11-07T00:00:00"/>
        <d v="2013-11-27T00:00:00"/>
        <d v="2013-05-03T00:00:00"/>
        <d v="2013-07-03T00:00:00"/>
        <d v="2013-11-11T00:00:00"/>
        <d v="2013-05-07T00:00:00"/>
        <d v="2013-06-21T00:00:00"/>
        <d v="2013-10-04T00:00:00"/>
        <d v="2013-06-14T00:00:00"/>
        <d v="2013-10-22T00:00:00"/>
        <d v="2012-05-04T00:00:00"/>
        <d v="2012-07-20T00:00:00"/>
        <d v="2012-06-27T00:00:00"/>
        <d v="2012-11-16T00:00:00"/>
        <d v="2012-07-03T00:00:00"/>
        <d v="2012-06-08T00:00:00"/>
        <d v="2012-03-23T00:00:00"/>
        <d v="2012-05-25T00:00:00"/>
        <d v="2011-06-29T00:00:00"/>
        <d v="2011-05-20T00:00:00"/>
        <d v="2011-11-18T00:00:00"/>
        <d v="2011-05-26T00:00:00"/>
        <d v="2011-04-29T00:00:00"/>
        <d v="2011-07-29T00:00:00"/>
        <d v="2011-06-24T00:00:00"/>
        <d v="2010-06-18T00:00:00"/>
        <d v="2010-07-16T00:00:00"/>
        <d v="2010-05-21T00:00:00"/>
        <d v="2010-06-30T00:00:00"/>
        <d v="2010-05-07T00:00:00"/>
        <d v="2010-11-24T00:00:00"/>
        <d v="2010-07-09T00:00:00"/>
        <d v="2009-12-17T00:00:00"/>
        <d v="2009-07-01T00:00:00"/>
        <d v="2009-06-19T00:00:00"/>
        <d v="2009-11-13T00:00:00"/>
        <d v="2009-05-29T00:00:00"/>
        <d v="2009-11-20T00:00:00"/>
        <d v="2009-05-15T00:00:00"/>
        <d v="2009-06-05T00:00:00"/>
        <d v="2008-07-24T00:00:00"/>
        <d v="2008-06-06T00:00:00"/>
        <d v="2008-07-02T00:00:00"/>
        <d v="2008-11-07T00:00:00"/>
        <d v="2008-05-02T00:00:00"/>
        <d v="2008-06-27T00:00:00"/>
        <d v="2007-12-21T00:00:00"/>
        <d v="2008-10-15T00:00:00"/>
        <d v="2006-03-31T00:00:00"/>
        <d v="2006-12-22T00:00:00"/>
        <d v="2006-06-09T00:00:00"/>
        <d v="2005-05-27T00:00:00"/>
        <d v="2005-02-11T00:00:00"/>
        <d v="2004-11-05T00:00:00"/>
        <d v="2004-12-22T00:00:00"/>
        <d v="2003-05-30T00:00:00"/>
        <d v="2003-07-02T00:00:00"/>
        <d v="2003-07-18T00:00:00"/>
        <d v="2002-08-02T00:00:00"/>
        <d v="2002-03-15T00:00:00"/>
        <d v="2001-05-04T00:00:00"/>
        <d v="2001-07-18T00:00:00"/>
        <d v="2001-02-09T00:00:00"/>
        <d v="2000-05-19T00:00:00"/>
        <d v="2000-11-17T00:00:00"/>
        <d v="2000-10-06T00:00:00"/>
        <d v="2000-07-21T00:00:00"/>
        <d v="1999-11-24T00:00:00"/>
        <d v="1999-06-16T00:00:00"/>
        <d v="1999-05-07T00:00:00"/>
        <d v="1998-05-20T00:00:00"/>
        <d v="1998-07-15T00:00:00"/>
        <d v="1998-11-25T00:00:00"/>
        <d v="1998-06-19T00:00:00"/>
        <d v="1998-06-26T00:00:00"/>
        <d v="1997-05-23T00:00:00"/>
        <d v="1997-07-25T00:00:00"/>
        <d v="1997-03-21T00:00:00"/>
        <d v="1997-06-20T00:00:00"/>
        <d v="1996-05-17T00:00:00"/>
        <d v="1996-06-21T00:00:00"/>
        <d v="1996-11-27T00:00:00"/>
        <d v="1996-11-08T00:00:00"/>
        <d v="1996-06-28T00:00:00"/>
        <d v="1996-12-13T00:00:00"/>
        <d v="1995-11-22T00:00:00"/>
        <d v="1995-06-23T00:00:00"/>
        <d v="1995-06-16T00:00:00"/>
        <d v="1995-05-26T00:00:00"/>
        <d v="1995-12-15T00:00:00"/>
        <d v="1994-06-15T00:00:00"/>
        <d v="1994-07-29T00:00:00"/>
        <d v="1994-06-10T00:00:00"/>
        <d v="1994-05-27T00:00:00"/>
        <d v="1994-12-16T00:00:00"/>
        <d v="1997-02-28T00:00:00"/>
        <d v="1994-11-11T00:00:00"/>
        <d v="1993-11-24T00:00:00"/>
        <d v="1993-06-30T00:00:00"/>
        <d v="1993-04-07T00:00:00"/>
        <d v="1993-12-22T00:00:00"/>
        <d v="1993-12-17T00:00:00"/>
        <d v="1992-11-25T00:00:00"/>
        <d v="1992-11-20T00:00:00"/>
        <d v="1992-05-08T00:00:00"/>
        <d v="1992-06-19T00:00:00"/>
        <d v="1992-12-11T00:00:00"/>
        <d v="1992-05-29T00:00:00"/>
        <d v="1992-11-13T00:00:00"/>
        <d v="1992-02-14T00:00:00"/>
        <d v="1991-11-22T00:00:00"/>
        <d v="1991-12-11T00:00:00"/>
        <d v="1991-02-14T00:00:00"/>
        <d v="1991-12-20T00:00:00"/>
        <d v="1991-11-13T00:00:00"/>
        <d v="1991-07-31T00:00:00"/>
        <d v="1991-06-07T00:00:00"/>
        <d v="1990-07-13T00:00:00"/>
        <d v="1990-11-16T00:00:00"/>
        <d v="1990-03-23T00:00:00"/>
        <d v="1990-03-30T00:00:00"/>
        <d v="1989-06-23T00:00:00"/>
        <d v="1989-10-13T00:00:00"/>
        <d v="1989-06-02T00:00:00"/>
        <d v="1989-06-16T00:00:00"/>
        <d v="1989-11-17T00:00:00"/>
        <d v="1989-12-20T00:00:00"/>
        <d v="1988-12-16T00:00:00"/>
        <d v="1988-06-29T00:00:00"/>
        <d v="1988-12-03T00:00:00"/>
        <d v="1988-12-02T00:00:00"/>
        <d v="1988-07-29T00:00:00"/>
        <d v="1988-03-30T00:00:00"/>
        <d v="1987-11-25T00:00:00"/>
        <d v="1987-09-18T00:00:00"/>
        <d v="1987-05-20T00:00:00"/>
        <d v="1987-12-23T00:00:00"/>
        <d v="1987-12-18T00:00:00"/>
        <d v="1987-04-10T00:00:00"/>
        <d v="1987-08-05T00:00:00"/>
        <d v="1987-06-12T00:00:00"/>
        <d v="1986-05-16T00:00:00"/>
        <d v="1986-12-19T00:00:00"/>
        <d v="1986-06-20T00:00:00"/>
        <d v="1986-12-12T00:00:00"/>
        <d v="1986-06-11T00:00:00"/>
        <d v="1985-05-22T00:00:00"/>
        <d v="1985-11-27T00:00:00"/>
        <d v="1985-12-18T00:00:00"/>
        <d v="1985-06-21T00:00:00"/>
        <d v="1985-12-11T00:00:00"/>
        <d v="1985-06-07T00:00:00"/>
        <d v="1985-12-06T00:00:00"/>
        <d v="1984-12-05T00:00:00"/>
        <d v="1984-06-08T00:00:00"/>
        <d v="1984-06-22T00:00:00"/>
        <d v="1984-03-23T00:00:00"/>
        <d v="1984-02-17T00:00:00"/>
        <d v="1984-03-30T00:00:00"/>
        <d v="1983-04-15T00:00:00"/>
        <d v="1983-06-10T00:00:00"/>
        <d v="1983-06-03T00:00:00"/>
        <d v="1983-07-15T00:00:00"/>
        <d v="1982-12-17T00:00:00"/>
        <d v="1982-08-13T00:00:00"/>
        <d v="1982-05-28T00:00:00"/>
        <d v="1982-12-08T00:00:00"/>
        <d v="1982-06-18T00:00:00"/>
        <d v="1981-07-17T00:00:00"/>
        <d v="1981-06-19T00:00:00"/>
        <d v="1980-12-19T00:00:00"/>
        <d v="1980-12-12T00:00:00"/>
        <d v="1980-07-02T00:00:00"/>
        <d v="1980-12-17T00:00:00"/>
        <d v="1980-10-10T00:00:00"/>
        <d v="1980-08-15T00:00:00"/>
        <d v="1980-06-20T00:00:00"/>
        <d v="1979-12-19T00:00:00"/>
        <d v="1979-07-27T00:00:00"/>
        <d v="1979-06-15T00:00:00"/>
        <d v="1979-08-15T00:00:00"/>
        <d v="1979-10-05T00:00:00"/>
        <d v="1979-12-14T00:00:00"/>
        <d v="1979-05-31T00:00:00"/>
        <d v="1978-06-16T00:00:00"/>
        <d v="1978-07-28T00:00:00"/>
        <d v="1978-12-20T00:00:00"/>
        <d v="1978-09-01T00:00:00"/>
        <d v="1978-12-08T00:00:00"/>
        <d v="1977-05-27T00:00:00"/>
        <d v="1977-11-16T00:00:00"/>
        <d v="1977-12-14T00:00:00"/>
        <d v="1977-06-17T00:00:00"/>
        <d v="1977-04-20T00:00:00"/>
        <d v="1976-11-21T00:00:00"/>
        <d v="1976-04-09T00:00:00"/>
        <d v="1976-06-06T00:00:00"/>
        <d v="1976-12-08T00:00:00"/>
        <d v="1976-12-22T00:00:00"/>
        <d v="1976-06-18T00:00:00"/>
        <d v="1975-06-20T00:00:00"/>
        <d v="1975-11-19T00:00:00"/>
        <d v="1975-09-21T00:00:00"/>
        <d v="1975-02-11T00:00:00"/>
        <d v="1974-02-07T00:00:00"/>
        <d v="1974-12-14T00:00:00"/>
        <d v="1974-12-15T00:00:00"/>
        <d v="1974-11-15T00:00:00"/>
        <d v="1974-12-12T00:00:00"/>
        <d v="1974-10-18T00:00:00"/>
        <d v="1974-08-21T00:00:00"/>
        <d v="1973-12-26T00:00:00"/>
        <d v="1973-08-02T00:00:00"/>
        <d v="1973-12-16T00:00:00"/>
        <d v="1973-11-08T00:00:00"/>
        <d v="1972-03-24T00:00:00"/>
        <d v="1972-12-12T00:00:00"/>
        <d v="1972-07-30T00:00:00"/>
        <d v="1972-02-13T00:00:00"/>
        <d v="1971-11-03T00:00:00"/>
        <d v="1971-10-09T00:00:00"/>
        <d v="1971-12-23T00:00:00"/>
        <d v="1970-12-16T00:00:00"/>
        <d v="1970-03-05T00:00:00"/>
        <d v="1970-04-02T00:00:00"/>
        <d v="1969-10-24T00:00:00"/>
        <d v="1969-05-25T00:00:00"/>
        <d v="1969-07-14T00:00:00"/>
        <d v="1969-10-15T00:00:00"/>
        <d v="1968-12-24T00:00:00"/>
        <d v="1968-05-02T00:00:00"/>
        <d v="1968-10-17T00:00:00"/>
        <d v="1967-12-21T00:00:00"/>
        <d v="1967-10-18T00:00:00"/>
        <d v="1967-08-13T00:00:00"/>
        <d v="1967-06-15T00:00:00"/>
        <d v="1968-10-01T00:00:00"/>
        <d v="1966-12-21T00:00:00"/>
        <d v="1965-03-02T00:00:00"/>
        <d v="1965-06-23T00:00:00"/>
        <d v="1964-11-09T00:00:00"/>
        <d v="1963-06-12T00:00:00"/>
        <d v="1963-02-20T00:00:00"/>
        <d v="1963-11-07T00:00:00"/>
        <d v="1963-12-25T00:00:00"/>
        <d v="1963-03-28T00:00:00"/>
        <d v="1962-09-25T00:00:00"/>
        <d v="1962-11-08T00:00:00"/>
        <d v="1962-12-25T00:00:00"/>
        <d v="1961-10-18T00:00:00"/>
        <d v="1961-12-06T00:00:00"/>
        <d v="1961-01-25T00:00:00"/>
        <d v="1960-10-07T00:00:00"/>
        <d v="1960-06-16T00:00:00"/>
        <d v="1960-12-21T00:00:00"/>
        <d v="1960-10-24T00:00:00"/>
        <d v="1960-08-10T00:00:00"/>
        <d v="1959-11-18T00:00:00"/>
        <d v="1959-01-29T00:00:00"/>
        <d v="1959-07-28T00:00:00"/>
        <d v="1959-03-29T00:00:00"/>
        <d v="1958-03-19T00:00:00"/>
        <d v="1958-06-28T00:00:00"/>
        <d v="1958-05-09T00:00:00"/>
        <d v="1957-12-14T00:00:00"/>
        <d v="1957-05-30T00:00:00"/>
        <d v="1956-10-05T00:00:00"/>
        <d v="1956-08-21T00:00:00"/>
        <d v="1956-06-28T00:00:00"/>
        <d v="1956-03-13T00:00:00"/>
        <d v="1956-07-17T00:00:00"/>
        <d v="1955-10-11T00:00:00"/>
        <d v="1955-11-03T00:00:00"/>
        <d v="1955-06-22T00:00:00"/>
        <d v="1954-12-23T00:00:00"/>
        <d v="1953-09-16T00:00:00"/>
        <d v="1953-08-05T00:00:00"/>
        <d v="1953-04-23T00:00:00"/>
        <d v="1953-02-05T00:00:00"/>
        <d v="1953-07-15T00:00:00"/>
        <d v="1952-04-11T00:00:00"/>
        <d v="1951-06-26T00:00:00"/>
        <d v="1951-09-18T00:00:00"/>
        <d v="1951-12-23T00:00:00"/>
        <d v="1951-06-30T00:00:00"/>
        <d v="1950-03-04T00:00:00"/>
        <d v="1950-11-24T00:00:00"/>
        <d v="1950-05-17T00:00:00"/>
        <d v="1949-12-14T00:00:00"/>
        <d v="1943-07-14T00:00:00"/>
        <d v="1942-11-26T00:00:00"/>
        <d v="1940-10-15T00:00:00"/>
        <d v="1940-01-24T00:00:00"/>
        <d v="1939-12-15T00:00:00"/>
        <d v="1939-08-25T00:00:00"/>
        <d v="1937-12-21T00:00:00"/>
        <d v="1935-08-30T00:00:00"/>
        <d v="1931-11-21T00:00:00"/>
        <d v="1931-02-12T00:00:00"/>
        <d v="1930-04-21T00:00:00"/>
        <d v="1921-01-21T00:00:00"/>
        <d v="2015-12-17T00:00:00"/>
        <d v="2015-06-12T00:00:00"/>
        <d v="2015-04-03T00:00:00"/>
        <d v="2015-05-01T00:00:00"/>
        <d v="2015-06-11T00:00:00"/>
        <d v="2015-06-19T00:00:00"/>
        <d v="2015-07-31T00:00:00"/>
        <d v="2015-11-20T00:00:00"/>
        <d v="2015-10-02T00:00:00"/>
        <d v="2016-05-06T00:00:00"/>
        <d v="2016-06-17T00:00:00"/>
        <d v="2016-04-04T00:00:00"/>
        <d v="2016-04-15T00:00:00"/>
        <d v="2016-03-25T00:00:00"/>
        <d v="2016-07-08T00:00:00"/>
        <d v="2016-02-12T00:00:00"/>
        <d v="2016-08-05T00:00:00"/>
        <d v="2016-05-09T00:00:00"/>
        <d v="2016-11-04T00:00:00"/>
        <d v="1998-07-29T00:00:00"/>
        <d v="1935-12-28T00:00:00"/>
        <d v="1938-05-14T00:00:00"/>
        <d v="1936-10-20T00:00:00"/>
        <d v="1935-11-08T00:00:00"/>
        <d v="1961-02-01T00:00:00"/>
        <d v="1941-05-01T00:00:00"/>
        <d v="1931-04-23T00:00:00"/>
        <d v="1946-12-20T00:00:00"/>
        <d v="1939-10-17T00:00:00"/>
        <d v="1947-05-02T00:00:00"/>
        <d v="1948-11-11T00:00:00"/>
        <d v="1948-10-20T00:00:00"/>
        <d v="1984-06-29T00:00:00"/>
        <d v="2000-03-22T00:00:00"/>
        <d v="2001-11-02T00:00:00"/>
        <d v="2003-02-28T00:00:00"/>
        <d v="2008-04-18T00:00:00"/>
        <d v="2008-08-01T00:00:00"/>
        <d v="2010-08-03T00:00:00"/>
        <d v="2012-08-13T00:00:00"/>
        <d v="2014-08-04T00:00:00"/>
        <d v="2008-06-08T00:00:00"/>
        <d v="2013-05-21T00:00:00"/>
        <d v="2010-04-02T00:00:00"/>
        <d v="1993-08-20T00:00:00"/>
        <d v="1996-02-09T00:00:00"/>
        <d v="1997-06-27T00:00:00"/>
        <d v="2003-12-25T00:00:00"/>
        <d v="2016-02-18T00:00:00"/>
        <d v="2013-12-06T00:00:00"/>
        <d v="2011-04-17T00:00:00"/>
        <d v="2012-04-03T00:00:00"/>
        <d v="2007-08-22T00:00:00"/>
        <d v="2013-11-12T00:00:00"/>
        <d v="2016-09-13T00:00:00"/>
        <d v="2006-06-04T00:00:00"/>
        <d v="2015-03-20T00:00:00"/>
        <d v="2005-01-19T00:00:00"/>
        <d v="2013-08-07T00:00:00"/>
        <d v="2015-03-04T00:00:00"/>
        <d v="2012-03-07T00:00:00"/>
        <d v="2001-05-11T00:00:00"/>
        <d v="2012-09-28T00:00:00"/>
        <d v="2015-06-22T00:00:00"/>
        <d v="2015-04-22T00:00:00"/>
        <d v="2014-03-19T00:00:00"/>
        <d v="2013-10-09T00:00:00"/>
        <d v="2013-01-18T00:00:00"/>
        <d v="2009-05-21T00:00:00"/>
        <d v="2002-02-04T00:00:00"/>
        <d v="2000-10-28T00:00:00"/>
        <d v="1999-11-16T00:00:00"/>
        <d v="1996-11-16T00:00:00"/>
        <d v="1994-11-23T00:00:00"/>
        <d v="2012-08-03T00:00:00"/>
        <d v="2010-12-22T00:00:00"/>
        <d v="1988-06-14T00:00:00"/>
        <d v="1986-06-06T00:00:00"/>
        <d v="1985-10-04T00:00:00"/>
        <d v="2006-05-25T00:00:00"/>
        <d v="1982-03-16T00:00:00"/>
        <d v="2011-08-11T00:00:00"/>
        <d v="1977-01-18T00:00:00"/>
        <d v="2012-02-17T00:00:00"/>
        <d v="2011-05-25T00:00:00"/>
        <d v="2000-11-03T00:00:00"/>
        <d v="2003-06-27T00:00:00"/>
        <d v="2009-01-23T00:00:00"/>
        <d v="2012-01-20T00:00:00"/>
        <d v="1994-10-28T00:00:00"/>
        <d v="1992-10-09T00:00:00"/>
        <d v="2015-10-04T00:00:00"/>
        <d v="1971-11-13T00:00:00"/>
        <d v="1987-12-11T00:00:00"/>
        <d v="1997-12-10T00:00:00"/>
        <d v="2001-06-29T00:00:00"/>
        <d v="2002-12-25T00:00:00"/>
        <d v="2004-06-18T00:00:00"/>
        <d v="2012-10-08T00:00:00"/>
        <d v="2012-06-18T00:00:00"/>
        <d v="2016-05-14T00:00:00"/>
        <d v="2014-11-17T00:00:00"/>
        <d v="2013-05-19T00:00:00"/>
        <d v="1998-03-06T00:00:00"/>
        <d v="1990-09-21T00:00:00"/>
        <d v="2008-07-11T00:00:00"/>
        <d v="1994-09-16T00:00:00"/>
        <d v="2016-01-23T00:00:00"/>
        <d v="1992-07-10T00:00:00"/>
        <d v="1991-08-09T00:00:00"/>
        <d v="1990-09-14T00:00:00"/>
        <d v="1989-09-08T00:00:00"/>
        <d v="1989-04-07T00:00:00"/>
        <d v="1988-02-26T00:00:00"/>
        <d v="2009-01-16T00:00:00"/>
        <d v="1957-12-25T00:00:00"/>
        <d v="1948-01-06T00:00:00"/>
        <d v="1960-04-06T00:00:00"/>
        <d v="1992-08-03T00:00:00"/>
        <d v="1968-08-03T00:00:00"/>
        <d v="1968-10-02T00:00:00"/>
        <d v="1970-06-23T00:00:00"/>
        <d v="1976-06-30T00:00:00"/>
        <d v="1986-12-05T00:00:00"/>
        <d v="1988-07-13T00:00:00"/>
        <d v="2000-08-01T00:00:00"/>
        <d v="2008-12-12T00:00:00"/>
        <d v="2009-12-11T00:00:00"/>
        <d v="2014-11-11T00:00:00"/>
        <d v="2016-09-02T00:00:00"/>
        <d v="2011-11-03T00:00:00"/>
        <d v="2008-10-24T00:00:00"/>
        <d v="2004-12-08T00:00:00"/>
        <d v="1994-12-09T00:00:00"/>
        <d v="1993-10-08T00:00:00"/>
        <d v="1992-11-06T00:00:00"/>
        <d v="1987-09-25T00:00:00"/>
        <d v="1980-05-16T00:00:00"/>
        <d v="1969-06-18T00:00:00"/>
        <d v="1998-10-30T00:00:00"/>
        <d v="1978-06-28T00:00:00"/>
        <d v="1972-12-13T00:00:00"/>
        <d v="1971-12-29T00:00:00"/>
        <d v="1961-12-19T00:00:00"/>
        <d v="1963-06-20T00:00:00"/>
        <d v="2016-07-07T00:00:00"/>
        <d v="2013-04-23T00:00:00"/>
        <d v="2009-04-07T00:00:00"/>
        <d v="1987-07-17T00:00:00"/>
        <d v="1994-10-19T00:00:00"/>
        <d v="1997-04-04T00:00:00"/>
        <d v="1976-02-08T00:00:00"/>
        <d v="1973-10-02T00:00:00"/>
        <d v="1977-06-21T00:00:00"/>
        <d v="1982-12-18T00:00:00"/>
        <d v="1986-10-17T00:00:00"/>
        <d v="1988-08-12T00:00:00"/>
        <d v="1993-09-17T00:00:00"/>
        <d v="2016-11-29T00:00:00"/>
        <d v="2013-12-17T00:00:00"/>
        <d v="2010-02-19T00:00:00"/>
        <d v="2001-09-28T00:00:00"/>
        <d v="1988-05-20T00:00:00"/>
        <d v="2016-02-04T00:00:00"/>
        <d v="1984-12-14T00:00:00"/>
        <d v="2016-05-15T00:00:00"/>
        <d v="2005-05-14T00:00:00"/>
        <d v="2016-06-20T00:00:00"/>
        <d v="2016-07-09T00:00:00"/>
        <d v="2016-07-11T00:00:00"/>
        <d v="2016-03-14T00:00:00"/>
        <d v="1997-12-25T00:00:00"/>
        <d v="2009-05-20T00:00:00"/>
        <d v="2012-12-11T00:00:00"/>
        <d v="2015-12-07T00:00:00"/>
        <d v="1989-02-17T00:00:00"/>
        <d v="1991-07-19T00:00:00"/>
        <d v="1960-10-23T00:00:00"/>
        <d v="2016-09-08T00:00:00"/>
        <d v="1998-02-06T00:00:00"/>
        <d v="2001-10-05T00:00:00"/>
        <d v="2003-03-07T00:00:00"/>
        <d v="2004-07-07T00:00:00"/>
        <d v="2013-03-20T00:00:00"/>
        <d v="2015-06-15T00:00:00"/>
        <d v="2016-09-25T00:00:00"/>
        <d v="2001-07-27T00:00:00"/>
        <d v="2003-12-10T00:00:00"/>
        <d v="2012-05-11T00:00:00"/>
        <d v="2009-02-23T00:00:00"/>
        <d v="2013-06-10T00:00:00"/>
        <d v="2016-10-16T00:00:00"/>
        <d v="2012-12-21T00:00:00"/>
        <d v="2000-09-08T00:00:00"/>
        <d v="2016-11-14T00:00:00"/>
        <d v="2003-11-26T00:00:00"/>
        <d v="2016-11-15T00:00:00"/>
        <d v="2016-12-10T00:00:00"/>
        <d v="2016-12-21T00:00:00"/>
        <d v="2014-08-29T00:00:00"/>
        <d v="2014-05-08T00:00:00"/>
        <d v="1987-10-02T00:00:00"/>
        <d v="1991-07-12T00:00:00"/>
        <d v="2015-12-04T00:00:00"/>
        <d v="2006-08-25T00:00:00"/>
        <d v="1995-10-13T00:00:00"/>
        <d v="2002-07-19T00:00:00"/>
        <d v="2012-12-19T00:00:00"/>
        <d v="2015-08-02T00:00:00"/>
        <d v="2012-05-30T00:00:00"/>
        <d v="1985-12-13T00:00:00"/>
        <d v="1989-09-22T00:00:00"/>
        <d v="1991-05-24T00:00:00"/>
        <d v="1997-08-22T00:00:00"/>
        <d v="2003-09-12T00:00:00"/>
        <d v="2008-10-10T00:00:00"/>
        <d v="2010-05-12T00:00:00"/>
        <d v="2014-12-12T00:00:00"/>
        <d v="2008-11-17T00:00:00"/>
        <d v="2013-03-08T00:00:00"/>
        <d v="2011-12-12T00:00:00"/>
        <d v="2014-10-13T00:00:00"/>
        <d v="2014-08-27T00:00:00"/>
        <d v="2003-12-26T00:00:00"/>
        <d v="2012-06-29T00:00:00"/>
        <d v="2015-06-24T00:00:00"/>
        <d v="2014-05-30T00:00:00"/>
        <d v="2013-01-17T00:00:00"/>
        <d v="2007-09-27T00:00:00"/>
        <d v="2002-05-19T00:00:00"/>
        <d v="2012-09-01T00:00:00"/>
        <d v="2014-10-04T00:00:00"/>
        <d v="1997-10-10T00:00:00"/>
        <d v="1990-06-15T00:00:00"/>
        <d v="2004-04-16T00:00:00"/>
        <d v="2012-09-06T00:00:00"/>
        <d v="2013-08-30T00:00:00"/>
        <d v="2010-06-16T00:00:00"/>
        <d v="2015-01-27T00:00:00"/>
        <d v="2015-05-19T00:00:00"/>
        <d v="2011-02-14T00:00:00"/>
        <d v="2010-01-27T00:00:00"/>
        <d v="2014-08-19T00:00:00"/>
        <d v="2015-06-29T00:00:00"/>
        <d v="2013-07-16T00:00:00"/>
        <d v="2002-11-29T00:00:00"/>
        <d v="2012-06-24T00:00:00"/>
        <d v="1993-11-12T00:00:00"/>
        <d v="1995-12-29T00:00:00"/>
        <d v="1992-10-02T00:00:00"/>
        <d v="1990-08-01T00:00:00"/>
        <d v="1987-07-31T00:00:00"/>
        <d v="1990-08-10T00:00:00"/>
        <d v="2012-03-16T00:00:00"/>
        <d v="2009-09-18T00:00:00"/>
        <d v="1956-12-13T00:00:00"/>
        <d v="2007-08-03T00:00:00"/>
        <d v="2013-09-27T00:00:00"/>
        <d v="2014-02-07T00:00:00"/>
        <d v="1995-04-07T00:00:00"/>
        <d v="2014-06-13T00:00:00"/>
        <d v="2016-07-22T00:00:00"/>
        <d v="1977-11-03T00:00:00"/>
        <d v="2016-08-12T00:00:00"/>
        <d v="1966-08-24T00:00:00"/>
        <d v="1953-06-04T00:00:00"/>
        <d v="1985-11-22T00:00:00"/>
        <d v="1956-11-24T00:00:00"/>
        <d v="1955-10-27T00:00:00"/>
        <d v="1947-11-11T00:00:00"/>
        <d v="1952-02-07T00:00:00"/>
        <d v="1954-07-28T00:00:00"/>
        <d v="1959-03-18T00:00:00"/>
        <d v="1965-04-09T00:00:00"/>
        <d v="1951-08-14T00:00:00"/>
        <d v="1942-08-20T00:00:00"/>
        <d v="1949-12-21T00:00:00"/>
        <d v="1985-12-20T00:00:00"/>
        <d v="1993-07-09T00:00:00"/>
        <d v="1995-03-10T00:00:00"/>
      </sharedItems>
      <fieldGroup par="15"/>
    </cacheField>
    <cacheField name="Run Time" numFmtId="0">
      <sharedItems containsSemiMixedTypes="0" containsString="0" containsNumber="1" containsInteger="1" minValue="68" maxValue="260"/>
    </cacheField>
    <cacheField name="Genre" numFmtId="0">
      <sharedItems count="24">
        <s v="Animation"/>
        <s v="Adventure"/>
        <s v="Comedy"/>
        <s v="Action"/>
        <s v="Crime"/>
        <s v="Martial Arts"/>
        <s v="Fantasy"/>
        <s v="War"/>
        <s v="Thriller"/>
        <s v="Science Fiction"/>
        <s v="Drama"/>
        <s v="Western"/>
        <s v="Biography"/>
        <s v="Romance"/>
        <s v="Horror"/>
        <s v="Mystery"/>
        <s v="Musical"/>
        <s v="Romantic Comedy"/>
        <s v="Sport"/>
        <s v="History"/>
        <s v="Documentary"/>
        <s v="Awful"/>
        <s v="Disaster"/>
        <s v="Family"/>
      </sharedItems>
    </cacheField>
    <cacheField name="Director" numFmtId="0">
      <sharedItems/>
    </cacheField>
    <cacheField name="Studio" numFmtId="0">
      <sharedItems/>
    </cacheField>
    <cacheField name="Country" numFmtId="0">
      <sharedItems count="20">
        <s v="Australia"/>
        <s v="Brazil"/>
        <s v="Canada"/>
        <s v="China"/>
        <s v="Denmark"/>
        <s v="France"/>
        <s v="Germany"/>
        <s v="Hong Kong"/>
        <s v="Indonesia"/>
        <s v="Italy"/>
        <s v="Japan"/>
        <s v="Netherlands"/>
        <s v="New Zealand"/>
        <s v="NULL"/>
        <s v="Russia"/>
        <s v="South Africa"/>
        <s v="Sweden"/>
        <s v="Thailand"/>
        <s v="United Kingdom"/>
        <s v="United States"/>
      </sharedItems>
    </cacheField>
    <cacheField name="Language" numFmtId="0">
      <sharedItems count="15">
        <s v="English"/>
        <s v="Portugese"/>
        <s v="Mandarin"/>
        <s v="French"/>
        <s v="German"/>
        <s v="Cantonese"/>
        <s v="Indonesian"/>
        <s v="Italian"/>
        <s v="Japanese"/>
        <s v="Russian"/>
        <s v="Swedish"/>
        <s v="Thai"/>
        <s v="Mayan"/>
        <s v="Aramaic"/>
        <s v="Silent"/>
      </sharedItems>
    </cacheField>
    <cacheField name="Certificate" numFmtId="0">
      <sharedItems containsMixedTypes="1" containsNumber="1" containsInteger="1" minValue="12" maxValue="18"/>
    </cacheField>
    <cacheField name="Budget" numFmtId="0">
      <sharedItems containsSemiMixedTypes="0" containsString="0" containsNumber="1" containsInteger="1" minValue="30000" maxValue="378500000"/>
    </cacheField>
    <cacheField name="Box Office" numFmtId="0">
      <sharedItems containsSemiMixedTypes="0" containsString="0" containsNumber="1" containsInteger="1" minValue="30000"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 name="Profit" numFmtId="0" formula="'Box Office'-Budget" databaseField="0"/>
    <cacheField name="Years (Release Date)" numFmtId="0" databaseField="0">
      <fieldGroup base="2">
        <rangePr groupBy="years" startDate="1921-01-21T00:00:00" endDate="2016-12-22T00:00:00"/>
        <groupItems count="98">
          <s v="&lt;21-01-1921"/>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gt;22-12-2016"/>
        </groupItems>
      </fieldGroup>
    </cacheField>
  </cacheFields>
  <extLst>
    <ext xmlns:x14="http://schemas.microsoft.com/office/spreadsheetml/2009/9/main" uri="{725AE2AE-9491-48be-B2B4-4EB974FC3084}">
      <x14:pivotCacheDefinition pivotCacheId="1870611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6">
  <r>
    <n v="345"/>
    <x v="0"/>
    <x v="0"/>
    <n v="108"/>
    <x v="0"/>
    <s v="George Miller"/>
    <s v="Village Roadshow Pictures"/>
    <x v="0"/>
    <x v="0"/>
    <s v="U"/>
    <n v="100000000"/>
    <n v="384300000"/>
    <n v="1"/>
    <n v="1"/>
  </r>
  <r>
    <n v="441"/>
    <x v="1"/>
    <x v="1"/>
    <n v="112"/>
    <x v="1"/>
    <s v="John Cornell"/>
    <s v="Paramount Pictures"/>
    <x v="0"/>
    <x v="0"/>
    <s v="PG"/>
    <n v="14000000"/>
    <n v="239600000"/>
    <n v="0"/>
    <n v="0"/>
  </r>
  <r>
    <n v="454"/>
    <x v="2"/>
    <x v="2"/>
    <n v="98"/>
    <x v="2"/>
    <s v="Peter Faiman"/>
    <s v="Rimfire Films"/>
    <x v="0"/>
    <x v="0"/>
    <n v="15"/>
    <n v="8800000"/>
    <n v="328000000"/>
    <n v="1"/>
    <n v="0"/>
  </r>
  <r>
    <n v="1490"/>
    <x v="3"/>
    <x v="3"/>
    <n v="93"/>
    <x v="3"/>
    <s v="George Miller"/>
    <s v="Kennedy Miller"/>
    <x v="0"/>
    <x v="0"/>
    <n v="18"/>
    <n v="400000"/>
    <n v="100000000"/>
    <n v="0"/>
    <n v="0"/>
  </r>
  <r>
    <n v="1491"/>
    <x v="4"/>
    <x v="4"/>
    <n v="96"/>
    <x v="3"/>
    <s v="George Miller"/>
    <s v="Kennedy Miller"/>
    <x v="0"/>
    <x v="0"/>
    <n v="18"/>
    <n v="4500000"/>
    <n v="23700000"/>
    <n v="0"/>
    <n v="0"/>
  </r>
  <r>
    <n v="1492"/>
    <x v="5"/>
    <x v="5"/>
    <n v="107"/>
    <x v="3"/>
    <s v="George Miller"/>
    <s v="Kennedy Miller"/>
    <x v="0"/>
    <x v="0"/>
    <n v="15"/>
    <n v="10000000"/>
    <n v="36200000"/>
    <n v="0"/>
    <n v="0"/>
  </r>
  <r>
    <n v="1493"/>
    <x v="6"/>
    <x v="6"/>
    <n v="120"/>
    <x v="3"/>
    <s v="George Miller"/>
    <s v="Kennedy Miller"/>
    <x v="0"/>
    <x v="0"/>
    <n v="15"/>
    <n v="150000000"/>
    <n v="378400000"/>
    <n v="10"/>
    <n v="6"/>
  </r>
  <r>
    <n v="1141"/>
    <x v="7"/>
    <x v="7"/>
    <n v="130"/>
    <x v="4"/>
    <s v="Fernando Meirelles"/>
    <s v="O2 Filmes"/>
    <x v="1"/>
    <x v="1"/>
    <n v="18"/>
    <n v="3300000"/>
    <n v="30600000"/>
    <n v="4"/>
    <n v="0"/>
  </r>
  <r>
    <n v="357"/>
    <x v="8"/>
    <x v="8"/>
    <n v="95"/>
    <x v="2"/>
    <s v="Joel Zwick"/>
    <s v="Gold Circle Films"/>
    <x v="2"/>
    <x v="0"/>
    <s v="PG"/>
    <n v="5000000"/>
    <n v="368700000"/>
    <n v="1"/>
    <n v="0"/>
  </r>
  <r>
    <n v="488"/>
    <x v="9"/>
    <x v="9"/>
    <n v="98"/>
    <x v="2"/>
    <s v="Bob Clark"/>
    <s v="Astral Media"/>
    <x v="2"/>
    <x v="0"/>
    <n v="18"/>
    <n v="25000000"/>
    <n v="105000000"/>
    <n v="0"/>
    <n v="0"/>
  </r>
  <r>
    <n v="205"/>
    <x v="10"/>
    <x v="10"/>
    <n v="99"/>
    <x v="5"/>
    <s v="Zhang Yimou"/>
    <s v="Beijing New Picture Film Co."/>
    <x v="3"/>
    <x v="2"/>
    <s v="12A"/>
    <n v="31000000"/>
    <n v="177394432"/>
    <n v="1"/>
    <n v="0"/>
  </r>
  <r>
    <n v="213"/>
    <x v="11"/>
    <x v="11"/>
    <n v="120"/>
    <x v="5"/>
    <s v="Ang Lee"/>
    <s v="EDKO Films"/>
    <x v="3"/>
    <x v="2"/>
    <n v="12"/>
    <n v="17000000"/>
    <n v="213525736"/>
    <n v="10"/>
    <n v="4"/>
  </r>
  <r>
    <n v="226"/>
    <x v="12"/>
    <x v="12"/>
    <n v="119"/>
    <x v="5"/>
    <s v="Zhang Yimou"/>
    <s v="EDKO Films"/>
    <x v="3"/>
    <x v="2"/>
    <n v="15"/>
    <n v="12000000"/>
    <n v="92863945"/>
    <n v="1"/>
    <n v="0"/>
  </r>
  <r>
    <n v="1138"/>
    <x v="13"/>
    <x v="13"/>
    <n v="94"/>
    <x v="6"/>
    <s v="Stephen Chow"/>
    <s v="China Film Group"/>
    <x v="3"/>
    <x v="2"/>
    <n v="15"/>
    <n v="60720000"/>
    <n v="553800000"/>
    <n v="0"/>
    <n v="0"/>
  </r>
  <r>
    <n v="1229"/>
    <x v="14"/>
    <x v="14"/>
    <n v="122"/>
    <x v="1"/>
    <s v="Hark Tsui"/>
    <s v="Film Workshop"/>
    <x v="3"/>
    <x v="2"/>
    <n v="12"/>
    <n v="20000000"/>
    <n v="51700000"/>
    <n v="0"/>
    <n v="0"/>
  </r>
  <r>
    <n v="1230"/>
    <x v="15"/>
    <x v="15"/>
    <n v="125"/>
    <x v="5"/>
    <s v="Hark Tsui"/>
    <s v="Film Workshop"/>
    <x v="3"/>
    <x v="2"/>
    <n v="15"/>
    <n v="35000000"/>
    <n v="100000000"/>
    <n v="0"/>
    <n v="0"/>
  </r>
  <r>
    <n v="1237"/>
    <x v="16"/>
    <x v="16"/>
    <n v="146"/>
    <x v="7"/>
    <s v="John Woo"/>
    <s v="China Film Group"/>
    <x v="3"/>
    <x v="2"/>
    <n v="15"/>
    <n v="80000000"/>
    <n v="124000000"/>
    <n v="0"/>
    <n v="0"/>
  </r>
  <r>
    <n v="1238"/>
    <x v="17"/>
    <x v="17"/>
    <n v="142"/>
    <x v="7"/>
    <s v="John Woo"/>
    <s v="China Film Group"/>
    <x v="3"/>
    <x v="2"/>
    <n v="15"/>
    <n v="80000000"/>
    <n v="124300000"/>
    <n v="0"/>
    <n v="0"/>
  </r>
  <r>
    <n v="1474"/>
    <x v="18"/>
    <x v="18"/>
    <n v="90"/>
    <x v="8"/>
    <s v="Nicolas Winding Refn"/>
    <s v="Gaumont"/>
    <x v="4"/>
    <x v="0"/>
    <n v="18"/>
    <n v="4800000"/>
    <n v="10300000"/>
    <n v="0"/>
    <n v="0"/>
  </r>
  <r>
    <n v="72"/>
    <x v="19"/>
    <x v="19"/>
    <n v="127"/>
    <x v="9"/>
    <s v="Luc Besson"/>
    <s v="Gaumont"/>
    <x v="5"/>
    <x v="0"/>
    <s v="PG"/>
    <n v="90000000"/>
    <n v="263920180"/>
    <n v="1"/>
    <n v="0"/>
  </r>
  <r>
    <n v="207"/>
    <x v="20"/>
    <x v="20"/>
    <n v="110"/>
    <x v="8"/>
    <s v="Luc Besson"/>
    <s v="Gaumont"/>
    <x v="5"/>
    <x v="0"/>
    <n v="18"/>
    <n v="16000000"/>
    <n v="45284974"/>
    <n v="0"/>
    <n v="0"/>
  </r>
  <r>
    <n v="231"/>
    <x v="21"/>
    <x v="21"/>
    <n v="123"/>
    <x v="2"/>
    <s v="Jean-Pierre Jeunet"/>
    <s v="UGC"/>
    <x v="5"/>
    <x v="3"/>
    <n v="15"/>
    <n v="10000000"/>
    <n v="173921954"/>
    <n v="5"/>
    <n v="0"/>
  </r>
  <r>
    <n v="1205"/>
    <x v="22"/>
    <x v="22"/>
    <n v="98"/>
    <x v="3"/>
    <s v="Chris Nahon"/>
    <s v="StudioCanal"/>
    <x v="5"/>
    <x v="0"/>
    <n v="18"/>
    <n v="25000000"/>
    <n v="64400000"/>
    <n v="0"/>
    <n v="0"/>
  </r>
  <r>
    <n v="1207"/>
    <x v="23"/>
    <x v="23"/>
    <n v="102"/>
    <x v="5"/>
    <s v="Louis Leterrier"/>
    <s v="EuropaCorp"/>
    <x v="5"/>
    <x v="0"/>
    <n v="18"/>
    <n v="45000000"/>
    <n v="50900000"/>
    <n v="0"/>
    <n v="0"/>
  </r>
  <r>
    <n v="1220"/>
    <x v="24"/>
    <x v="24"/>
    <n v="92"/>
    <x v="3"/>
    <s v="Louis Leterrier"/>
    <s v="EuropaCorp"/>
    <x v="5"/>
    <x v="0"/>
    <n v="15"/>
    <n v="24000000"/>
    <n v="43900000"/>
    <n v="0"/>
    <n v="0"/>
  </r>
  <r>
    <n v="1221"/>
    <x v="25"/>
    <x v="25"/>
    <n v="88"/>
    <x v="3"/>
    <s v="Louis Leterrier"/>
    <s v="EuropaCorp"/>
    <x v="5"/>
    <x v="0"/>
    <n v="15"/>
    <n v="32000000"/>
    <n v="85160000"/>
    <n v="0"/>
    <n v="0"/>
  </r>
  <r>
    <n v="1301"/>
    <x v="26"/>
    <x v="26"/>
    <n v="86"/>
    <x v="3"/>
    <s v="Pierre Morel"/>
    <s v="EuropaCorp"/>
    <x v="5"/>
    <x v="3"/>
    <n v="15"/>
    <n v="12000000"/>
    <n v="12000000"/>
    <n v="0"/>
    <n v="0"/>
  </r>
  <r>
    <n v="1302"/>
    <x v="27"/>
    <x v="27"/>
    <n v="106"/>
    <x v="3"/>
    <s v="Patrick Alessandrin"/>
    <s v="EuropaCorp"/>
    <x v="5"/>
    <x v="3"/>
    <n v="15"/>
    <n v="13600000"/>
    <n v="14100000"/>
    <n v="0"/>
    <n v="0"/>
  </r>
  <r>
    <n v="1303"/>
    <x v="28"/>
    <x v="28"/>
    <n v="90"/>
    <x v="8"/>
    <s v="Pierre Morel"/>
    <s v="EuropaCorp"/>
    <x v="5"/>
    <x v="0"/>
    <n v="18"/>
    <n v="22000000"/>
    <n v="226800000"/>
    <n v="0"/>
    <n v="0"/>
  </r>
  <r>
    <n v="1304"/>
    <x v="29"/>
    <x v="29"/>
    <n v="92"/>
    <x v="8"/>
    <s v="Pierre Morel"/>
    <s v="EuropaCorp"/>
    <x v="5"/>
    <x v="0"/>
    <n v="15"/>
    <n v="52000000"/>
    <n v="52800000"/>
    <n v="0"/>
    <n v="0"/>
  </r>
  <r>
    <n v="1309"/>
    <x v="30"/>
    <x v="30"/>
    <n v="155"/>
    <x v="4"/>
    <s v="Jacques Audiard"/>
    <s v="Why Not Productions"/>
    <x v="5"/>
    <x v="3"/>
    <n v="18"/>
    <n v="13000000"/>
    <n v="17900000"/>
    <n v="0"/>
    <n v="0"/>
  </r>
  <r>
    <n v="1331"/>
    <x v="31"/>
    <x v="31"/>
    <n v="104"/>
    <x v="1"/>
    <s v="Michael J. Bassett"/>
    <s v="Davis Entertainment"/>
    <x v="5"/>
    <x v="0"/>
    <n v="15"/>
    <n v="40000000"/>
    <n v="19400000"/>
    <n v="0"/>
    <n v="0"/>
  </r>
  <r>
    <n v="1365"/>
    <x v="32"/>
    <x v="32"/>
    <n v="117"/>
    <x v="8"/>
    <s v="McG"/>
    <s v="EuropaCorp"/>
    <x v="5"/>
    <x v="0"/>
    <s v="12A"/>
    <n v="28000000"/>
    <n v="52600000"/>
    <n v="0"/>
    <n v="0"/>
  </r>
  <r>
    <n v="223"/>
    <x v="33"/>
    <x v="33"/>
    <n v="155"/>
    <x v="7"/>
    <s v="Oliver Hirschbiegel"/>
    <s v="Newmarket Capital Group"/>
    <x v="6"/>
    <x v="4"/>
    <n v="15"/>
    <n v="13500000"/>
    <n v="72649179"/>
    <n v="1"/>
    <n v="0"/>
  </r>
  <r>
    <n v="227"/>
    <x v="34"/>
    <x v="34"/>
    <n v="149"/>
    <x v="7"/>
    <s v="Wolfgang Peterson"/>
    <s v="Bavaria Film"/>
    <x v="6"/>
    <x v="4"/>
    <n v="15"/>
    <n v="12000000"/>
    <n v="84970337"/>
    <n v="6"/>
    <n v="0"/>
  </r>
  <r>
    <n v="255"/>
    <x v="35"/>
    <x v="35"/>
    <n v="137"/>
    <x v="10"/>
    <s v="Florian Henckel von Donnersmarck"/>
    <s v="Bayerischer Rundfunk"/>
    <x v="6"/>
    <x v="4"/>
    <n v="15"/>
    <n v="2000000"/>
    <n v="77356942"/>
    <n v="1"/>
    <n v="1"/>
  </r>
  <r>
    <n v="1462"/>
    <x v="36"/>
    <x v="36"/>
    <n v="110"/>
    <x v="4"/>
    <s v="Paul McGuigan"/>
    <s v="Metro-Goldwyn-Mayer"/>
    <x v="6"/>
    <x v="0"/>
    <n v="18"/>
    <n v="27000000"/>
    <n v="56300000"/>
    <n v="0"/>
    <n v="0"/>
  </r>
  <r>
    <n v="1675"/>
    <x v="37"/>
    <x v="37"/>
    <n v="93"/>
    <x v="6"/>
    <s v="Wolfgang Peterson"/>
    <s v="Bavaria Film"/>
    <x v="6"/>
    <x v="0"/>
    <s v="U"/>
    <n v="27000000"/>
    <n v="100000000"/>
    <n v="0"/>
    <n v="0"/>
  </r>
  <r>
    <n v="238"/>
    <x v="38"/>
    <x v="38"/>
    <n v="106"/>
    <x v="5"/>
    <s v="Stanley Tong"/>
    <s v="Golden Harvest"/>
    <x v="7"/>
    <x v="5"/>
    <n v="15"/>
    <n v="7500000"/>
    <n v="32392047"/>
    <n v="0"/>
    <n v="0"/>
  </r>
  <r>
    <n v="1167"/>
    <x v="39"/>
    <x v="39"/>
    <n v="110"/>
    <x v="5"/>
    <s v="Lo Wei"/>
    <s v="Golden Harvest"/>
    <x v="7"/>
    <x v="5"/>
    <n v="18"/>
    <n v="100000"/>
    <n v="2800000"/>
    <n v="0"/>
    <n v="0"/>
  </r>
  <r>
    <n v="1168"/>
    <x v="40"/>
    <x v="40"/>
    <n v="108"/>
    <x v="5"/>
    <s v="Lo Wei"/>
    <s v="Golden Harvest"/>
    <x v="7"/>
    <x v="2"/>
    <n v="18"/>
    <n v="100000"/>
    <n v="3400000"/>
    <n v="0"/>
    <n v="0"/>
  </r>
  <r>
    <n v="1169"/>
    <x v="41"/>
    <x v="41"/>
    <n v="100"/>
    <x v="5"/>
    <s v="Bruce Lee"/>
    <s v="Golden Harvest"/>
    <x v="7"/>
    <x v="2"/>
    <n v="18"/>
    <n v="130000"/>
    <n v="5200000"/>
    <n v="0"/>
    <n v="0"/>
  </r>
  <r>
    <n v="1170"/>
    <x v="42"/>
    <x v="42"/>
    <n v="85"/>
    <x v="5"/>
    <s v="Robert Clouse"/>
    <s v="Golden Harvest"/>
    <x v="7"/>
    <x v="5"/>
    <n v="18"/>
    <n v="850000"/>
    <n v="850000"/>
    <n v="0"/>
    <n v="0"/>
  </r>
  <r>
    <n v="1171"/>
    <x v="43"/>
    <x v="43"/>
    <n v="102"/>
    <x v="5"/>
    <s v="Robert Clouse"/>
    <s v="Warner Bros. Pictures"/>
    <x v="7"/>
    <x v="0"/>
    <n v="18"/>
    <n v="850000"/>
    <n v="22000000"/>
    <n v="0"/>
    <n v="0"/>
  </r>
  <r>
    <n v="1195"/>
    <x v="44"/>
    <x v="44"/>
    <n v="95"/>
    <x v="5"/>
    <s v="Stanley Tong"/>
    <s v="Golden Harvest"/>
    <x v="7"/>
    <x v="5"/>
    <n v="15"/>
    <n v="900000"/>
    <n v="16250000"/>
    <n v="0"/>
    <n v="0"/>
  </r>
  <r>
    <n v="1197"/>
    <x v="45"/>
    <x v="45"/>
    <n v="104"/>
    <x v="5"/>
    <s v="Hark Tsui"/>
    <s v="Golden Harvest"/>
    <x v="7"/>
    <x v="5"/>
    <n v="12"/>
    <n v="10000000"/>
    <n v="11000000"/>
    <n v="0"/>
    <n v="0"/>
  </r>
  <r>
    <n v="1209"/>
    <x v="46"/>
    <x v="46"/>
    <n v="127"/>
    <x v="7"/>
    <s v="Peter Chan"/>
    <s v="China Film Group"/>
    <x v="7"/>
    <x v="2"/>
    <n v="15"/>
    <n v="40000000"/>
    <n v="40000000"/>
    <n v="0"/>
    <n v="0"/>
  </r>
  <r>
    <n v="1210"/>
    <x v="47"/>
    <x v="47"/>
    <n v="116"/>
    <x v="5"/>
    <s v="Peter Chan"/>
    <s v="We Pictures"/>
    <x v="7"/>
    <x v="2"/>
    <n v="15"/>
    <n v="20000000"/>
    <n v="29100000"/>
    <n v="0"/>
    <n v="0"/>
  </r>
  <r>
    <n v="1228"/>
    <x v="48"/>
    <x v="48"/>
    <n v="153"/>
    <x v="5"/>
    <s v="Hark Tsui"/>
    <s v="Film Workshop"/>
    <x v="7"/>
    <x v="2"/>
    <n v="15"/>
    <n v="18000000"/>
    <n v="18000000"/>
    <n v="0"/>
    <n v="0"/>
  </r>
  <r>
    <n v="1232"/>
    <x v="49"/>
    <x v="49"/>
    <n v="128"/>
    <x v="3"/>
    <s v="John Woo"/>
    <s v="Golden Princess Film Production Limited"/>
    <x v="7"/>
    <x v="5"/>
    <n v="18"/>
    <n v="4500000"/>
    <n v="4500000"/>
    <n v="0"/>
    <n v="0"/>
  </r>
  <r>
    <n v="1247"/>
    <x v="50"/>
    <x v="50"/>
    <n v="108"/>
    <x v="5"/>
    <s v="Wilson Yip"/>
    <s v="China Film Group"/>
    <x v="7"/>
    <x v="5"/>
    <n v="15"/>
    <n v="11715000"/>
    <n v="21900000"/>
    <n v="0"/>
    <n v="0"/>
  </r>
  <r>
    <n v="1248"/>
    <x v="51"/>
    <x v="51"/>
    <n v="109"/>
    <x v="5"/>
    <s v="Wilson Yip"/>
    <s v="China Film Group"/>
    <x v="7"/>
    <x v="5"/>
    <n v="15"/>
    <n v="12900000"/>
    <n v="49700000"/>
    <n v="0"/>
    <n v="0"/>
  </r>
  <r>
    <n v="1249"/>
    <x v="52"/>
    <x v="52"/>
    <n v="105"/>
    <x v="5"/>
    <s v="Wilson Yip"/>
    <s v="Dreams Salon Entertainment"/>
    <x v="7"/>
    <x v="5"/>
    <s v="12A"/>
    <n v="36000000"/>
    <n v="156844000"/>
    <n v="0"/>
    <n v="0"/>
  </r>
  <r>
    <n v="1250"/>
    <x v="53"/>
    <x v="53"/>
    <n v="90"/>
    <x v="5"/>
    <s v="Woo-ping Yuen"/>
    <s v="Golden Harvest"/>
    <x v="7"/>
    <x v="5"/>
    <n v="12"/>
    <n v="11000000"/>
    <n v="15000000"/>
    <n v="0"/>
    <n v="0"/>
  </r>
  <r>
    <n v="1310"/>
    <x v="54"/>
    <x v="54"/>
    <n v="98"/>
    <x v="5"/>
    <s v="Stephen Chow"/>
    <s v="China Film Group"/>
    <x v="7"/>
    <x v="5"/>
    <n v="15"/>
    <n v="20000000"/>
    <n v="102000000"/>
    <n v="0"/>
    <n v="0"/>
  </r>
  <r>
    <n v="1239"/>
    <x v="55"/>
    <x v="55"/>
    <n v="101"/>
    <x v="5"/>
    <s v="Gareth Evans"/>
    <s v="PT. Merantau Films"/>
    <x v="8"/>
    <x v="6"/>
    <n v="18"/>
    <n v="1100000"/>
    <n v="9140000"/>
    <n v="0"/>
    <n v="0"/>
  </r>
  <r>
    <n v="1241"/>
    <x v="56"/>
    <x v="56"/>
    <n v="150"/>
    <x v="5"/>
    <s v="Gareth Evans"/>
    <s v="PT. Merantau Films"/>
    <x v="8"/>
    <x v="6"/>
    <n v="18"/>
    <n v="4500000"/>
    <n v="6600000"/>
    <n v="0"/>
    <n v="0"/>
  </r>
  <r>
    <n v="633"/>
    <x v="57"/>
    <x v="57"/>
    <n v="177"/>
    <x v="11"/>
    <s v="Sergio Leone"/>
    <s v="Constantin Film"/>
    <x v="9"/>
    <x v="7"/>
    <n v="18"/>
    <n v="1200000"/>
    <n v="25100000"/>
    <n v="0"/>
    <n v="0"/>
  </r>
  <r>
    <n v="650"/>
    <x v="58"/>
    <x v="58"/>
    <n v="99"/>
    <x v="11"/>
    <s v="Sergio Leone"/>
    <s v="Constantin Film"/>
    <x v="9"/>
    <x v="7"/>
    <n v="15"/>
    <n v="225000"/>
    <n v="14500000"/>
    <n v="0"/>
    <n v="0"/>
  </r>
  <r>
    <n v="1377"/>
    <x v="59"/>
    <x v="59"/>
    <n v="132"/>
    <x v="11"/>
    <s v="Sergio Leone"/>
    <s v="Constantin Film"/>
    <x v="9"/>
    <x v="7"/>
    <n v="15"/>
    <n v="600000"/>
    <n v="15000000"/>
    <n v="0"/>
    <n v="0"/>
  </r>
  <r>
    <n v="1378"/>
    <x v="60"/>
    <x v="60"/>
    <n v="165"/>
    <x v="11"/>
    <s v="Sergio Leone"/>
    <s v="Paramount Pictures"/>
    <x v="9"/>
    <x v="7"/>
    <n v="15"/>
    <n v="5000000"/>
    <n v="5321500"/>
    <n v="0"/>
    <n v="0"/>
  </r>
  <r>
    <n v="260"/>
    <x v="61"/>
    <x v="61"/>
    <n v="207"/>
    <x v="3"/>
    <s v="Akira Kurosawa"/>
    <s v="Toho Company"/>
    <x v="10"/>
    <x v="8"/>
    <s v="PG"/>
    <n v="2000000"/>
    <n v="4500000"/>
    <n v="2"/>
    <n v="0"/>
  </r>
  <r>
    <n v="262"/>
    <x v="62"/>
    <x v="62"/>
    <n v="180"/>
    <x v="10"/>
    <s v="Akira Kurosawa"/>
    <s v="Toho Company"/>
    <x v="10"/>
    <x v="8"/>
    <s v="PG"/>
    <n v="7500000"/>
    <n v="26000000"/>
    <n v="2"/>
    <n v="0"/>
  </r>
  <r>
    <n v="263"/>
    <x v="63"/>
    <x v="63"/>
    <n v="162"/>
    <x v="10"/>
    <s v="Akira Kurosawa"/>
    <s v="Greenwich Film Productions"/>
    <x v="10"/>
    <x v="8"/>
    <n v="15"/>
    <n v="12000000"/>
    <n v="15000000"/>
    <n v="4"/>
    <n v="1"/>
  </r>
  <r>
    <n v="598"/>
    <x v="64"/>
    <x v="64"/>
    <n v="144"/>
    <x v="7"/>
    <s v="Richard Fleischer"/>
    <s v="20th Century Fox"/>
    <x v="10"/>
    <x v="0"/>
    <s v="U"/>
    <n v="25500000"/>
    <n v="29500000"/>
    <n v="5"/>
    <n v="1"/>
  </r>
  <r>
    <n v="1253"/>
    <x v="65"/>
    <x v="65"/>
    <n v="88"/>
    <x v="10"/>
    <s v="Akira Kurosawa"/>
    <s v="Daiei Film"/>
    <x v="10"/>
    <x v="8"/>
    <s v="PG"/>
    <n v="250000"/>
    <n v="250000"/>
    <n v="1"/>
    <n v="0"/>
  </r>
  <r>
    <n v="1269"/>
    <x v="66"/>
    <x v="66"/>
    <n v="128"/>
    <x v="4"/>
    <s v="Takashi Miike"/>
    <s v="Omega Project"/>
    <x v="10"/>
    <x v="8"/>
    <n v="18"/>
    <n v="1400000"/>
    <n v="1400000"/>
    <n v="0"/>
    <n v="0"/>
  </r>
  <r>
    <n v="1270"/>
    <x v="67"/>
    <x v="67"/>
    <n v="125"/>
    <x v="3"/>
    <s v="Takashi Miike"/>
    <s v="Toho Company"/>
    <x v="10"/>
    <x v="8"/>
    <n v="18"/>
    <n v="6000000"/>
    <n v="17100000"/>
    <n v="0"/>
    <n v="0"/>
  </r>
  <r>
    <n v="1281"/>
    <x v="68"/>
    <x v="68"/>
    <n v="113"/>
    <x v="3"/>
    <s v="Kinji Fukasaku"/>
    <s v="AM Associates"/>
    <x v="10"/>
    <x v="8"/>
    <n v="18"/>
    <n v="4500000"/>
    <n v="25000000"/>
    <n v="0"/>
    <n v="0"/>
  </r>
  <r>
    <n v="1287"/>
    <x v="69"/>
    <x v="69"/>
    <n v="137"/>
    <x v="10"/>
    <s v="Yojiro Takita"/>
    <s v="TV Tokyo"/>
    <x v="10"/>
    <x v="8"/>
    <n v="15"/>
    <n v="4000000"/>
    <n v="4000000"/>
    <n v="0"/>
    <n v="0"/>
  </r>
  <r>
    <n v="1289"/>
    <x v="70"/>
    <x v="70"/>
    <n v="129"/>
    <x v="10"/>
    <s v="Yoji Yamada"/>
    <s v="Eisei Gekijo"/>
    <x v="10"/>
    <x v="8"/>
    <n v="12"/>
    <n v="5000000"/>
    <n v="5000000"/>
    <n v="1"/>
    <n v="0"/>
  </r>
  <r>
    <n v="1298"/>
    <x v="71"/>
    <x v="71"/>
    <n v="96"/>
    <x v="3"/>
    <s v="Ishiro Honda"/>
    <s v="Toho Company"/>
    <x v="10"/>
    <x v="8"/>
    <s v="PG"/>
    <n v="175000"/>
    <n v="175000"/>
    <n v="0"/>
    <n v="0"/>
  </r>
  <r>
    <n v="1299"/>
    <x v="72"/>
    <x v="72"/>
    <n v="97"/>
    <x v="3"/>
    <s v="Ishiro Honda"/>
    <s v="Toho Company"/>
    <x v="10"/>
    <x v="8"/>
    <s v="PG"/>
    <n v="200000"/>
    <n v="200000"/>
    <n v="0"/>
    <n v="0"/>
  </r>
  <r>
    <n v="1359"/>
    <x v="73"/>
    <x v="73"/>
    <n v="89"/>
    <x v="6"/>
    <s v="Richard Fleischer"/>
    <s v="Dino De Laurentiis Corporation"/>
    <x v="11"/>
    <x v="0"/>
    <n v="15"/>
    <n v="17900000"/>
    <n v="6900000"/>
    <n v="0"/>
    <n v="0"/>
  </r>
  <r>
    <n v="3"/>
    <x v="74"/>
    <x v="74"/>
    <n v="187"/>
    <x v="1"/>
    <s v="Peter Jackson"/>
    <s v="WingNut Films"/>
    <x v="12"/>
    <x v="0"/>
    <s v="12A"/>
    <n v="207000000"/>
    <n v="550500000"/>
    <n v="4"/>
    <n v="3"/>
  </r>
  <r>
    <n v="59"/>
    <x v="75"/>
    <x v="75"/>
    <n v="178"/>
    <x v="6"/>
    <s v="Peter Jackson"/>
    <s v="WingNut Films"/>
    <x v="12"/>
    <x v="0"/>
    <s v="PG"/>
    <n v="93000000"/>
    <n v="871530324"/>
    <n v="13"/>
    <n v="4"/>
  </r>
  <r>
    <n v="73"/>
    <x v="76"/>
    <x v="76"/>
    <n v="201"/>
    <x v="6"/>
    <s v="Peter Jackson"/>
    <s v="WingNut Films"/>
    <x v="12"/>
    <x v="0"/>
    <s v="12A"/>
    <n v="94000000"/>
    <n v="1119929521"/>
    <n v="11"/>
    <n v="11"/>
  </r>
  <r>
    <n v="74"/>
    <x v="77"/>
    <x v="77"/>
    <n v="179"/>
    <x v="6"/>
    <s v="Peter Jackson"/>
    <s v="WingNut Films"/>
    <x v="12"/>
    <x v="0"/>
    <s v="12A"/>
    <n v="94000000"/>
    <n v="926047111"/>
    <n v="6"/>
    <n v="2"/>
  </r>
  <r>
    <n v="265"/>
    <x v="78"/>
    <x v="78"/>
    <n v="102"/>
    <x v="10"/>
    <s v="Lee Tamahori"/>
    <s v="Communicado Productions"/>
    <x v="12"/>
    <x v="0"/>
    <n v="18"/>
    <n v="1000000"/>
    <n v="1608570"/>
    <n v="0"/>
    <n v="0"/>
  </r>
  <r>
    <n v="271"/>
    <x v="79"/>
    <x v="79"/>
    <n v="174"/>
    <x v="6"/>
    <s v="Peter Jackson"/>
    <s v="New Line Cinema"/>
    <x v="12"/>
    <x v="0"/>
    <s v="12A"/>
    <n v="250000000"/>
    <n v="955100000"/>
    <n v="1"/>
    <n v="0"/>
  </r>
  <r>
    <n v="283"/>
    <x v="80"/>
    <x v="80"/>
    <n v="161"/>
    <x v="6"/>
    <s v="Peter Jackson"/>
    <s v="WingNut Films"/>
    <x v="12"/>
    <x v="0"/>
    <s v="12A"/>
    <n v="225000000"/>
    <n v="958400000"/>
    <n v="3"/>
    <n v="0"/>
  </r>
  <r>
    <n v="293"/>
    <x v="81"/>
    <x v="81"/>
    <n v="169"/>
    <x v="6"/>
    <s v="Peter Jackson"/>
    <s v="WingNut Films"/>
    <x v="12"/>
    <x v="0"/>
    <s v="12A"/>
    <n v="200000000"/>
    <n v="1021000000"/>
    <n v="3"/>
    <n v="0"/>
  </r>
  <r>
    <n v="1399"/>
    <x v="82"/>
    <x v="82"/>
    <n v="122"/>
    <x v="4"/>
    <s v="Joel Coen"/>
    <s v="Miramax Films"/>
    <x v="13"/>
    <x v="0"/>
    <n v="15"/>
    <n v="25000000"/>
    <n v="171600000"/>
    <n v="8"/>
    <n v="4"/>
  </r>
  <r>
    <n v="253"/>
    <x v="83"/>
    <x v="83"/>
    <n v="114"/>
    <x v="6"/>
    <s v="Timur Bekmambetov"/>
    <s v="Channel One Russia"/>
    <x v="14"/>
    <x v="9"/>
    <n v="15"/>
    <n v="4200000"/>
    <n v="33899078"/>
    <n v="0"/>
    <n v="0"/>
  </r>
  <r>
    <n v="1395"/>
    <x v="84"/>
    <x v="84"/>
    <n v="131"/>
    <x v="6"/>
    <s v="Timur Bekmambetov"/>
    <s v="Channel One Russia"/>
    <x v="14"/>
    <x v="9"/>
    <n v="15"/>
    <n v="4200000"/>
    <n v="38860000"/>
    <n v="0"/>
    <n v="0"/>
  </r>
  <r>
    <n v="1322"/>
    <x v="85"/>
    <x v="85"/>
    <n v="96"/>
    <x v="8"/>
    <s v="Stephen Campanelli"/>
    <s v="Azari Media"/>
    <x v="15"/>
    <x v="0"/>
    <n v="15"/>
    <n v="20000000"/>
    <n v="20000000"/>
    <n v="0"/>
    <n v="0"/>
  </r>
  <r>
    <n v="1323"/>
    <x v="86"/>
    <x v="86"/>
    <n v="112"/>
    <x v="9"/>
    <s v="Neill Blomkamp"/>
    <s v="WingNut Films"/>
    <x v="15"/>
    <x v="0"/>
    <n v="15"/>
    <n v="30000000"/>
    <n v="210800000"/>
    <n v="4"/>
    <n v="0"/>
  </r>
  <r>
    <n v="1575"/>
    <x v="87"/>
    <x v="87"/>
    <n v="153"/>
    <x v="8"/>
    <s v="Niels Arden Oplev"/>
    <s v="Yellow Bird"/>
    <x v="16"/>
    <x v="10"/>
    <n v="18"/>
    <n v="13000000"/>
    <n v="104395000"/>
    <n v="0"/>
    <n v="0"/>
  </r>
  <r>
    <n v="1579"/>
    <x v="88"/>
    <x v="88"/>
    <n v="147"/>
    <x v="8"/>
    <s v="Daniel Alfredson"/>
    <s v="Yellow Bird"/>
    <x v="16"/>
    <x v="10"/>
    <n v="15"/>
    <n v="5300000"/>
    <n v="43500000"/>
    <n v="0"/>
    <n v="0"/>
  </r>
  <r>
    <n v="1582"/>
    <x v="89"/>
    <x v="89"/>
    <n v="96"/>
    <x v="10"/>
    <s v="Ingmar Bergman"/>
    <s v="Svensk Filmindustri"/>
    <x v="16"/>
    <x v="10"/>
    <s v="PG"/>
    <n v="150000"/>
    <n v="150000"/>
    <n v="0"/>
    <n v="0"/>
  </r>
  <r>
    <n v="1242"/>
    <x v="90"/>
    <x v="90"/>
    <n v="108"/>
    <x v="5"/>
    <s v="Prachya Pinkaew"/>
    <s v="Baa-Ram-Ewe"/>
    <x v="17"/>
    <x v="11"/>
    <n v="18"/>
    <n v="1100000"/>
    <n v="20112926"/>
    <n v="0"/>
    <n v="0"/>
  </r>
  <r>
    <n v="1243"/>
    <x v="91"/>
    <x v="91"/>
    <n v="98"/>
    <x v="5"/>
    <s v="Tony Jaa"/>
    <s v="Sahamongkol Film International"/>
    <x v="17"/>
    <x v="11"/>
    <n v="15"/>
    <n v="8000000"/>
    <n v="9000000"/>
    <n v="0"/>
    <n v="0"/>
  </r>
  <r>
    <n v="1245"/>
    <x v="92"/>
    <x v="92"/>
    <n v="110"/>
    <x v="5"/>
    <s v="Prachya Pinkaew"/>
    <s v="Baa-Ram-Ewe"/>
    <x v="17"/>
    <x v="11"/>
    <n v="18"/>
    <n v="5000000"/>
    <n v="27200000"/>
    <n v="0"/>
    <n v="0"/>
  </r>
  <r>
    <n v="1246"/>
    <x v="93"/>
    <x v="93"/>
    <n v="103"/>
    <x v="5"/>
    <s v="Prachya Pinkaew"/>
    <s v="Baa-Ram-Ewe"/>
    <x v="17"/>
    <x v="11"/>
    <n v="15"/>
    <n v="15000000"/>
    <n v="15000000"/>
    <n v="0"/>
    <n v="0"/>
  </r>
  <r>
    <n v="11"/>
    <x v="94"/>
    <x v="94"/>
    <n v="138"/>
    <x v="6"/>
    <s v="David Yates"/>
    <s v="Heyday Films"/>
    <x v="18"/>
    <x v="0"/>
    <s v="12A"/>
    <n v="150000000"/>
    <n v="939885929"/>
    <n v="0"/>
    <n v="0"/>
  </r>
  <r>
    <n v="18"/>
    <x v="95"/>
    <x v="95"/>
    <n v="156"/>
    <x v="6"/>
    <s v="Mike Newell"/>
    <s v="Heyday Films"/>
    <x v="18"/>
    <x v="0"/>
    <s v="12A"/>
    <n v="150000000"/>
    <n v="896911078"/>
    <n v="1"/>
    <n v="0"/>
  </r>
  <r>
    <n v="22"/>
    <x v="96"/>
    <x v="96"/>
    <n v="133"/>
    <x v="8"/>
    <s v="Lee Tamahori"/>
    <s v="Eon Productions"/>
    <x v="18"/>
    <x v="0"/>
    <s v="12A"/>
    <n v="142000000"/>
    <n v="431971116"/>
    <n v="0"/>
    <n v="0"/>
  </r>
  <r>
    <n v="31"/>
    <x v="97"/>
    <x v="97"/>
    <n v="128"/>
    <x v="8"/>
    <s v="Michael Apted"/>
    <s v="Eon Productions"/>
    <x v="18"/>
    <x v="0"/>
    <n v="12"/>
    <n v="135000000"/>
    <n v="361832400"/>
    <n v="0"/>
    <n v="0"/>
  </r>
  <r>
    <n v="35"/>
    <x v="98"/>
    <x v="98"/>
    <n v="141"/>
    <x v="6"/>
    <s v="Alfonso Cuaron"/>
    <s v="Heyday Films"/>
    <x v="18"/>
    <x v="0"/>
    <s v="PG"/>
    <n v="130000000"/>
    <n v="796688549"/>
    <n v="2"/>
    <n v="0"/>
  </r>
  <r>
    <n v="38"/>
    <x v="99"/>
    <x v="99"/>
    <n v="152"/>
    <x v="6"/>
    <s v="Chris Columbus"/>
    <s v="Heyday Films"/>
    <x v="18"/>
    <x v="0"/>
    <s v="PG"/>
    <n v="125000000"/>
    <n v="974800000"/>
    <n v="3"/>
    <n v="0"/>
  </r>
  <r>
    <n v="51"/>
    <x v="100"/>
    <x v="100"/>
    <n v="119"/>
    <x v="8"/>
    <s v="Roger Spottiswoode"/>
    <s v="Eon Productions"/>
    <x v="18"/>
    <x v="0"/>
    <n v="12"/>
    <n v="110000000"/>
    <n v="333011068"/>
    <n v="0"/>
    <n v="0"/>
  </r>
  <r>
    <n v="61"/>
    <x v="101"/>
    <x v="101"/>
    <n v="144"/>
    <x v="8"/>
    <s v="Martin Campbell"/>
    <s v="Eon Productions"/>
    <x v="18"/>
    <x v="0"/>
    <s v="12A"/>
    <n v="150000000"/>
    <n v="599000000"/>
    <n v="0"/>
    <n v="0"/>
  </r>
  <r>
    <n v="65"/>
    <x v="102"/>
    <x v="102"/>
    <n v="155"/>
    <x v="6"/>
    <s v="Chris Columbus"/>
    <s v="Heyday Films"/>
    <x v="18"/>
    <x v="0"/>
    <s v="PG"/>
    <n v="100000000"/>
    <n v="878979634"/>
    <n v="0"/>
    <n v="0"/>
  </r>
  <r>
    <n v="120"/>
    <x v="103"/>
    <x v="103"/>
    <n v="130"/>
    <x v="8"/>
    <s v="Martin Campbell"/>
    <s v="Eon Productions"/>
    <x v="18"/>
    <x v="0"/>
    <n v="12"/>
    <n v="58000000"/>
    <n v="352194034"/>
    <n v="0"/>
    <n v="0"/>
  </r>
  <r>
    <n v="156"/>
    <x v="104"/>
    <x v="104"/>
    <n v="133"/>
    <x v="8"/>
    <s v="John Glen"/>
    <s v="Eon Productions"/>
    <x v="18"/>
    <x v="0"/>
    <n v="15"/>
    <n v="32000000"/>
    <n v="156000000"/>
    <n v="0"/>
    <n v="0"/>
  </r>
  <r>
    <n v="157"/>
    <x v="105"/>
    <x v="105"/>
    <n v="131"/>
    <x v="8"/>
    <s v="John Glen"/>
    <s v="Eon Productions"/>
    <x v="18"/>
    <x v="0"/>
    <s v="PG"/>
    <n v="40000000"/>
    <n v="191200000"/>
    <n v="0"/>
    <n v="0"/>
  </r>
  <r>
    <n v="167"/>
    <x v="106"/>
    <x v="106"/>
    <n v="126"/>
    <x v="8"/>
    <s v="Lewis Gilbert"/>
    <s v="Eon Productions"/>
    <x v="18"/>
    <x v="0"/>
    <s v="PG"/>
    <n v="34000000"/>
    <n v="210300000"/>
    <n v="1"/>
    <n v="0"/>
  </r>
  <r>
    <n v="178"/>
    <x v="107"/>
    <x v="107"/>
    <n v="127"/>
    <x v="8"/>
    <s v="John Glen"/>
    <s v="Eon Productions"/>
    <x v="18"/>
    <x v="0"/>
    <s v="PG"/>
    <n v="28000000"/>
    <n v="194900000"/>
    <n v="1"/>
    <n v="0"/>
  </r>
  <r>
    <n v="194"/>
    <x v="108"/>
    <x v="108"/>
    <n v="188"/>
    <x v="12"/>
    <s v="Richard Attenborough"/>
    <s v="Goldcrest Films"/>
    <x v="18"/>
    <x v="0"/>
    <s v="PG"/>
    <n v="22000000"/>
    <n v="52767889"/>
    <n v="11"/>
    <n v="8"/>
  </r>
  <r>
    <n v="202"/>
    <x v="109"/>
    <x v="109"/>
    <n v="84"/>
    <x v="2"/>
    <s v="Larry Charles"/>
    <s v="Dune Entertainment"/>
    <x v="18"/>
    <x v="0"/>
    <n v="15"/>
    <n v="18000000"/>
    <n v="261600000"/>
    <n v="1"/>
    <n v="0"/>
  </r>
  <r>
    <n v="206"/>
    <x v="110"/>
    <x v="110"/>
    <n v="121"/>
    <x v="2"/>
    <s v="Edgar Wright"/>
    <s v="Big Talk Productions"/>
    <x v="18"/>
    <x v="0"/>
    <n v="15"/>
    <n v="12000000"/>
    <n v="80700000"/>
    <n v="0"/>
    <n v="0"/>
  </r>
  <r>
    <n v="216"/>
    <x v="111"/>
    <x v="111"/>
    <n v="136"/>
    <x v="13"/>
    <s v="Ang Lee"/>
    <s v="Columbia Pictures"/>
    <x v="18"/>
    <x v="0"/>
    <s v="U"/>
    <n v="16000000"/>
    <n v="134993774"/>
    <n v="7"/>
    <n v="1"/>
  </r>
  <r>
    <n v="219"/>
    <x v="112"/>
    <x v="112"/>
    <n v="113"/>
    <x v="14"/>
    <s v="Danny Boyle"/>
    <s v="British Film Council"/>
    <x v="18"/>
    <x v="0"/>
    <n v="18"/>
    <n v="8000000"/>
    <n v="82719885"/>
    <n v="0"/>
    <n v="0"/>
  </r>
  <r>
    <n v="220"/>
    <x v="113"/>
    <x v="113"/>
    <n v="115"/>
    <x v="10"/>
    <s v="Danny Boyle"/>
    <s v="20th Century Fox"/>
    <x v="18"/>
    <x v="0"/>
    <n v="15"/>
    <n v="50000000"/>
    <n v="144000000"/>
    <n v="0"/>
    <n v="0"/>
  </r>
  <r>
    <n v="221"/>
    <x v="114"/>
    <x v="114"/>
    <n v="93"/>
    <x v="10"/>
    <s v="Danny Boyle"/>
    <s v="Channel Four Films"/>
    <x v="18"/>
    <x v="0"/>
    <n v="18"/>
    <n v="3100000"/>
    <n v="72000000"/>
    <n v="1"/>
    <n v="0"/>
  </r>
  <r>
    <n v="222"/>
    <x v="115"/>
    <x v="115"/>
    <n v="125"/>
    <x v="8"/>
    <s v="Lewis Gilbert"/>
    <s v="Eon Productions"/>
    <x v="18"/>
    <x v="0"/>
    <s v="PG"/>
    <n v="14000000"/>
    <n v="185400000"/>
    <n v="3"/>
    <n v="0"/>
  </r>
  <r>
    <n v="228"/>
    <x v="101"/>
    <x v="116"/>
    <n v="131"/>
    <x v="8"/>
    <s v="Ken Hughes"/>
    <s v="Columbia Pictures"/>
    <x v="18"/>
    <x v="0"/>
    <s v="U"/>
    <n v="12000000"/>
    <n v="41700000"/>
    <n v="1"/>
    <n v="0"/>
  </r>
  <r>
    <n v="233"/>
    <x v="116"/>
    <x v="117"/>
    <n v="130"/>
    <x v="8"/>
    <s v="Terence Young"/>
    <s v="Eon Productions"/>
    <x v="18"/>
    <x v="0"/>
    <s v="PG"/>
    <n v="9000000"/>
    <n v="141200000"/>
    <n v="1"/>
    <n v="1"/>
  </r>
  <r>
    <n v="236"/>
    <x v="117"/>
    <x v="118"/>
    <n v="140"/>
    <x v="8"/>
    <s v="Peter R. Hunt"/>
    <s v="Eon Productions"/>
    <x v="18"/>
    <x v="0"/>
    <s v="PG"/>
    <n v="7000000"/>
    <n v="64600000"/>
    <n v="0"/>
    <n v="0"/>
  </r>
  <r>
    <n v="239"/>
    <x v="118"/>
    <x v="119"/>
    <n v="120"/>
    <x v="8"/>
    <s v="Guy Hamilton"/>
    <s v="Eon Productions"/>
    <x v="18"/>
    <x v="0"/>
    <s v="PG"/>
    <n v="7200000"/>
    <n v="116000000"/>
    <n v="1"/>
    <n v="0"/>
  </r>
  <r>
    <n v="241"/>
    <x v="119"/>
    <x v="120"/>
    <n v="121"/>
    <x v="8"/>
    <s v="Guy Hamilton"/>
    <s v="Eon Productions"/>
    <x v="18"/>
    <x v="0"/>
    <s v="PG"/>
    <n v="7000000"/>
    <n v="126400000"/>
    <n v="1"/>
    <n v="0"/>
  </r>
  <r>
    <n v="242"/>
    <x v="120"/>
    <x v="121"/>
    <n v="125"/>
    <x v="8"/>
    <s v="Guy Hamilton"/>
    <s v="Eon Productions"/>
    <x v="18"/>
    <x v="0"/>
    <s v="PG"/>
    <n v="7000000"/>
    <n v="98500000"/>
    <n v="0"/>
    <n v="0"/>
  </r>
  <r>
    <n v="251"/>
    <x v="121"/>
    <x v="122"/>
    <n v="99"/>
    <x v="2"/>
    <s v="Edgar Wright"/>
    <s v="Big Talk Productions"/>
    <x v="18"/>
    <x v="0"/>
    <n v="15"/>
    <n v="6000000"/>
    <n v="30000000"/>
    <n v="0"/>
    <n v="0"/>
  </r>
  <r>
    <n v="252"/>
    <x v="122"/>
    <x v="123"/>
    <n v="117"/>
    <x v="13"/>
    <s v="Mike Newell"/>
    <s v="Channel Four Films"/>
    <x v="18"/>
    <x v="0"/>
    <n v="15"/>
    <n v="4500000"/>
    <n v="257700832"/>
    <n v="2"/>
    <n v="0"/>
  </r>
  <r>
    <n v="256"/>
    <x v="123"/>
    <x v="124"/>
    <n v="115"/>
    <x v="8"/>
    <s v="Terence Young"/>
    <s v="Eon Productions"/>
    <x v="18"/>
    <x v="0"/>
    <s v="PG"/>
    <n v="2000000"/>
    <n v="78900000"/>
    <n v="0"/>
    <n v="0"/>
  </r>
  <r>
    <n v="258"/>
    <x v="124"/>
    <x v="125"/>
    <n v="109"/>
    <x v="8"/>
    <s v="Terence Young"/>
    <s v="Eon Productions"/>
    <x v="18"/>
    <x v="0"/>
    <s v="PG"/>
    <n v="1100000"/>
    <n v="59500000"/>
    <n v="0"/>
    <n v="0"/>
  </r>
  <r>
    <n v="264"/>
    <x v="125"/>
    <x v="126"/>
    <n v="107"/>
    <x v="9"/>
    <s v="Danny Boyle"/>
    <s v="DNA Films"/>
    <x v="18"/>
    <x v="0"/>
    <n v="15"/>
    <n v="40000000"/>
    <n v="32017803"/>
    <n v="0"/>
    <n v="0"/>
  </r>
  <r>
    <n v="266"/>
    <x v="126"/>
    <x v="127"/>
    <n v="85"/>
    <x v="0"/>
    <s v="David Bowers"/>
    <s v="Aardman Animations"/>
    <x v="18"/>
    <x v="0"/>
    <s v="PG"/>
    <n v="149000000"/>
    <n v="178120010"/>
    <n v="0"/>
    <n v="0"/>
  </r>
  <r>
    <n v="291"/>
    <x v="127"/>
    <x v="128"/>
    <n v="143"/>
    <x v="8"/>
    <s v="Sam Mendes"/>
    <s v="Eon Productions"/>
    <x v="18"/>
    <x v="0"/>
    <s v="12A"/>
    <n v="150000000"/>
    <n v="1109000000"/>
    <n v="5"/>
    <n v="2"/>
  </r>
  <r>
    <n v="300"/>
    <x v="128"/>
    <x v="129"/>
    <n v="130"/>
    <x v="6"/>
    <s v="David Yates"/>
    <s v="Heyday Films"/>
    <x v="18"/>
    <x v="0"/>
    <s v="12A"/>
    <n v="250000000"/>
    <n v="1342000000"/>
    <n v="3"/>
    <n v="0"/>
  </r>
  <r>
    <n v="311"/>
    <x v="129"/>
    <x v="130"/>
    <n v="108"/>
    <x v="6"/>
    <s v="Tim Burton"/>
    <s v="Walt Disney Pictures"/>
    <x v="18"/>
    <x v="0"/>
    <s v="PG"/>
    <n v="150000000"/>
    <n v="1025000000"/>
    <n v="3"/>
    <n v="2"/>
  </r>
  <r>
    <n v="312"/>
    <x v="130"/>
    <x v="131"/>
    <n v="146"/>
    <x v="6"/>
    <s v="David Yates"/>
    <s v="Heyday Films"/>
    <x v="18"/>
    <x v="0"/>
    <s v="12A"/>
    <n v="250000000"/>
    <n v="960300000"/>
    <n v="2"/>
    <n v="0"/>
  </r>
  <r>
    <n v="321"/>
    <x v="131"/>
    <x v="132"/>
    <n v="153"/>
    <x v="6"/>
    <s v="David Yates"/>
    <s v="Heyday Films"/>
    <x v="18"/>
    <x v="0"/>
    <s v="12A"/>
    <n v="250000000"/>
    <n v="934400000"/>
    <n v="1"/>
    <n v="0"/>
  </r>
  <r>
    <n v="327"/>
    <x v="132"/>
    <x v="133"/>
    <n v="128"/>
    <x v="15"/>
    <s v="Guy Ritchie"/>
    <s v="Silver Pictures"/>
    <x v="18"/>
    <x v="0"/>
    <s v="12A"/>
    <n v="90000000"/>
    <n v="524000000"/>
    <n v="2"/>
    <n v="0"/>
  </r>
  <r>
    <n v="334"/>
    <x v="133"/>
    <x v="134"/>
    <n v="109"/>
    <x v="16"/>
    <s v="Phyllida Lloyd"/>
    <s v="Playtone Entertainment"/>
    <x v="18"/>
    <x v="0"/>
    <s v="PG"/>
    <n v="52000000"/>
    <n v="609800000"/>
    <n v="0"/>
    <n v="0"/>
  </r>
  <r>
    <n v="336"/>
    <x v="134"/>
    <x v="135"/>
    <n v="106"/>
    <x v="8"/>
    <s v="Marc Forster"/>
    <s v="Eon Productions"/>
    <x v="18"/>
    <x v="0"/>
    <s v="12A"/>
    <n v="200000000"/>
    <n v="586100000"/>
    <n v="0"/>
    <n v="0"/>
  </r>
  <r>
    <n v="339"/>
    <x v="135"/>
    <x v="136"/>
    <n v="150"/>
    <x v="6"/>
    <s v="Andrew Adamson"/>
    <s v="Walt Disney Pictures"/>
    <x v="18"/>
    <x v="0"/>
    <s v="PG"/>
    <n v="225000000"/>
    <n v="419700000"/>
    <n v="0"/>
    <n v="0"/>
  </r>
  <r>
    <n v="346"/>
    <x v="136"/>
    <x v="137"/>
    <n v="145"/>
    <x v="6"/>
    <s v="Andrew Adamson"/>
    <s v="Walden Media"/>
    <x v="18"/>
    <x v="0"/>
    <s v="PG"/>
    <n v="180000000"/>
    <n v="745000000"/>
    <n v="3"/>
    <n v="1"/>
  </r>
  <r>
    <n v="369"/>
    <x v="137"/>
    <x v="138"/>
    <n v="124"/>
    <x v="17"/>
    <s v="Roger Michell"/>
    <s v="Polygram Filmed Entertainment"/>
    <x v="18"/>
    <x v="0"/>
    <n v="15"/>
    <n v="43000000"/>
    <n v="363889678"/>
    <n v="0"/>
    <n v="0"/>
  </r>
  <r>
    <n v="376"/>
    <x v="138"/>
    <x v="139"/>
    <n v="123"/>
    <x v="17"/>
    <s v="John Madden"/>
    <s v="The Bedford Falls Company"/>
    <x v="18"/>
    <x v="0"/>
    <n v="15"/>
    <n v="25000000"/>
    <n v="289300000"/>
    <n v="13"/>
    <n v="7"/>
  </r>
  <r>
    <n v="382"/>
    <x v="139"/>
    <x v="140"/>
    <n v="91"/>
    <x v="2"/>
    <s v="Peter Cattaneo"/>
    <s v="Channel Four Films"/>
    <x v="18"/>
    <x v="0"/>
    <n v="15"/>
    <n v="3500000"/>
    <n v="258000000"/>
    <n v="4"/>
    <n v="1"/>
  </r>
  <r>
    <n v="494"/>
    <x v="140"/>
    <x v="141"/>
    <n v="127"/>
    <x v="3"/>
    <s v="Richard Lester"/>
    <s v="Dovemead"/>
    <x v="18"/>
    <x v="0"/>
    <s v="PG"/>
    <n v="54000000"/>
    <n v="190400000"/>
    <n v="0"/>
    <n v="0"/>
  </r>
  <r>
    <n v="498"/>
    <x v="141"/>
    <x v="142"/>
    <n v="124"/>
    <x v="18"/>
    <s v="Hugh Hudson"/>
    <s v="Goldcrest Films"/>
    <x v="18"/>
    <x v="0"/>
    <s v="U"/>
    <n v="5500000"/>
    <n v="59000000"/>
    <n v="7"/>
    <n v="4"/>
  </r>
  <r>
    <n v="500"/>
    <x v="142"/>
    <x v="143"/>
    <n v="113"/>
    <x v="6"/>
    <s v="Terry Gilliam"/>
    <s v="Handmade Films"/>
    <x v="18"/>
    <x v="0"/>
    <s v="PG"/>
    <n v="5000000"/>
    <n v="42365581"/>
    <n v="0"/>
    <n v="0"/>
  </r>
  <r>
    <n v="524"/>
    <x v="143"/>
    <x v="144"/>
    <n v="98"/>
    <x v="2"/>
    <s v="Blake Edwards"/>
    <s v="Sellers-Edwards Productions"/>
    <x v="18"/>
    <x v="0"/>
    <s v="PG"/>
    <n v="12000000"/>
    <n v="49500000"/>
    <n v="0"/>
    <n v="0"/>
  </r>
  <r>
    <n v="531"/>
    <x v="144"/>
    <x v="145"/>
    <n v="176"/>
    <x v="7"/>
    <s v="Richard Attenborough"/>
    <s v="Joseph E. Levine Productions"/>
    <x v="18"/>
    <x v="0"/>
    <n v="15"/>
    <n v="25000000"/>
    <n v="50750000"/>
    <n v="0"/>
    <n v="0"/>
  </r>
  <r>
    <n v="544"/>
    <x v="145"/>
    <x v="146"/>
    <n v="100"/>
    <x v="16"/>
    <s v="Jim Sharman"/>
    <s v="20th Century Fox"/>
    <x v="18"/>
    <x v="0"/>
    <n v="15"/>
    <n v="1400000"/>
    <n v="140200000"/>
    <n v="0"/>
    <n v="0"/>
  </r>
  <r>
    <n v="548"/>
    <x v="146"/>
    <x v="147"/>
    <n v="114"/>
    <x v="2"/>
    <s v="Blake Edwards"/>
    <s v="United Artists"/>
    <x v="18"/>
    <x v="0"/>
    <s v="U"/>
    <n v="5000000"/>
    <n v="41800000"/>
    <n v="0"/>
    <n v="0"/>
  </r>
  <r>
    <n v="588"/>
    <x v="147"/>
    <x v="148"/>
    <n v="136"/>
    <x v="10"/>
    <s v="Stanley Kubrick"/>
    <s v="Hawk Films"/>
    <x v="18"/>
    <x v="0"/>
    <n v="18"/>
    <n v="2200000"/>
    <n v="26600000"/>
    <n v="4"/>
    <n v="0"/>
  </r>
  <r>
    <n v="589"/>
    <x v="148"/>
    <x v="149"/>
    <n v="117"/>
    <x v="1"/>
    <s v="Robert Stevenson"/>
    <s v="Walt Disney Pictures"/>
    <x v="18"/>
    <x v="0"/>
    <s v="U"/>
    <n v="20000000"/>
    <n v="18530000"/>
    <n v="5"/>
    <n v="1"/>
  </r>
  <r>
    <n v="609"/>
    <x v="149"/>
    <x v="150"/>
    <n v="142"/>
    <x v="9"/>
    <s v="Stanley Kubrick"/>
    <s v="Stanley Kubrick Productions"/>
    <x v="18"/>
    <x v="0"/>
    <s v="U"/>
    <n v="12000000"/>
    <n v="190000000"/>
    <n v="4"/>
    <n v="1"/>
  </r>
  <r>
    <n v="614"/>
    <x v="150"/>
    <x v="151"/>
    <n v="138"/>
    <x v="13"/>
    <s v="Franco Zeffirelli"/>
    <s v="Dino De Laurentiis Corporation"/>
    <x v="18"/>
    <x v="0"/>
    <s v="PG"/>
    <n v="850000"/>
    <n v="38900000"/>
    <n v="4"/>
    <n v="2"/>
  </r>
  <r>
    <n v="615"/>
    <x v="151"/>
    <x v="152"/>
    <n v="153"/>
    <x v="16"/>
    <s v="Carol Reed"/>
    <s v="Columbia Pictures"/>
    <x v="18"/>
    <x v="0"/>
    <s v="U"/>
    <n v="10000000"/>
    <n v="77400000"/>
    <n v="11"/>
    <n v="5"/>
  </r>
  <r>
    <n v="639"/>
    <x v="152"/>
    <x v="153"/>
    <n v="193"/>
    <x v="13"/>
    <s v="David Lean"/>
    <s v="Metro-Goldwyn-Mayer"/>
    <x v="18"/>
    <x v="0"/>
    <n v="15"/>
    <n v="11000000"/>
    <n v="111700000"/>
    <n v="10"/>
    <n v="5"/>
  </r>
  <r>
    <n v="653"/>
    <x v="153"/>
    <x v="154"/>
    <n v="87"/>
    <x v="16"/>
    <s v="Richard Lester"/>
    <s v="United Artists"/>
    <x v="18"/>
    <x v="0"/>
    <s v="U"/>
    <n v="200000"/>
    <n v="12299668"/>
    <n v="2"/>
    <n v="0"/>
  </r>
  <r>
    <n v="664"/>
    <x v="154"/>
    <x v="155"/>
    <n v="222"/>
    <x v="12"/>
    <s v="David Lean"/>
    <s v="Horizon Pictures"/>
    <x v="18"/>
    <x v="0"/>
    <s v="PG"/>
    <n v="15000000"/>
    <n v="70000000"/>
    <n v="10"/>
    <n v="7"/>
  </r>
  <r>
    <n v="675"/>
    <x v="155"/>
    <x v="156"/>
    <n v="158"/>
    <x v="7"/>
    <s v="J. Lee Thompson"/>
    <s v="Columbia Pictures"/>
    <x v="18"/>
    <x v="0"/>
    <s v="PG"/>
    <n v="6000000"/>
    <n v="28900000"/>
    <n v="7"/>
    <n v="1"/>
  </r>
  <r>
    <n v="714"/>
    <x v="156"/>
    <x v="157"/>
    <n v="161"/>
    <x v="7"/>
    <s v="David Lean"/>
    <s v="Horizon Pictures"/>
    <x v="18"/>
    <x v="0"/>
    <s v="U"/>
    <n v="2800000"/>
    <n v="30600000"/>
    <n v="8"/>
    <n v="7"/>
  </r>
  <r>
    <n v="766"/>
    <x v="157"/>
    <x v="158"/>
    <n v="106"/>
    <x v="1"/>
    <s v="Richard Thorpe"/>
    <s v="Metro-Goldwyn-Mayer"/>
    <x v="18"/>
    <x v="0"/>
    <s v="U"/>
    <n v="3842000"/>
    <n v="10878000"/>
    <n v="3"/>
    <n v="0"/>
  </r>
  <r>
    <n v="769"/>
    <x v="158"/>
    <x v="159"/>
    <n v="119"/>
    <x v="10"/>
    <s v="John Huston"/>
    <s v="Romulus Films"/>
    <x v="18"/>
    <x v="0"/>
    <s v="PG"/>
    <n v="1500000"/>
    <n v="5000000"/>
    <n v="7"/>
    <n v="2"/>
  </r>
  <r>
    <n v="899"/>
    <x v="159"/>
    <x v="160"/>
    <n v="114"/>
    <x v="10"/>
    <s v="Sam Wood"/>
    <s v="Metro-Goldwyn-Mayer"/>
    <x v="18"/>
    <x v="0"/>
    <s v="U"/>
    <n v="1051000"/>
    <n v="3252000"/>
    <n v="7"/>
    <n v="1"/>
  </r>
  <r>
    <n v="1125"/>
    <x v="160"/>
    <x v="161"/>
    <n v="148"/>
    <x v="8"/>
    <s v="Sam Mendes"/>
    <s v="Eon Productions"/>
    <x v="18"/>
    <x v="0"/>
    <s v="12A"/>
    <n v="245000000"/>
    <n v="880700000"/>
    <n v="1"/>
    <n v="1"/>
  </r>
  <r>
    <n v="1150"/>
    <x v="161"/>
    <x v="162"/>
    <n v="152"/>
    <x v="10"/>
    <s v="Stanley Kubrick"/>
    <s v="Seven Arts Productions"/>
    <x v="18"/>
    <x v="0"/>
    <n v="15"/>
    <n v="2000000"/>
    <n v="9250000"/>
    <n v="1"/>
    <n v="0"/>
  </r>
  <r>
    <n v="1151"/>
    <x v="162"/>
    <x v="163"/>
    <n v="86"/>
    <x v="8"/>
    <s v="Alfred Hitchcock"/>
    <s v="Gaumont"/>
    <x v="18"/>
    <x v="0"/>
    <s v="U"/>
    <n v="100000"/>
    <n v="100000"/>
    <n v="0"/>
    <n v="0"/>
  </r>
  <r>
    <n v="1154"/>
    <x v="163"/>
    <x v="164"/>
    <n v="139"/>
    <x v="10"/>
    <s v="Julien Duvivier"/>
    <s v="London Film Productions"/>
    <x v="18"/>
    <x v="0"/>
    <s v="PG"/>
    <n v="1000000"/>
    <n v="1000000"/>
    <n v="0"/>
    <n v="0"/>
  </r>
  <r>
    <n v="1159"/>
    <x v="164"/>
    <x v="165"/>
    <n v="86"/>
    <x v="13"/>
    <s v="David Lean"/>
    <s v="Cineguild"/>
    <x v="18"/>
    <x v="0"/>
    <s v="PG"/>
    <n v="1000000"/>
    <n v="1000000"/>
    <n v="3"/>
    <n v="0"/>
  </r>
  <r>
    <n v="1161"/>
    <x v="165"/>
    <x v="166"/>
    <n v="94"/>
    <x v="4"/>
    <s v="Compton Bennett"/>
    <s v="Ortus Films"/>
    <x v="18"/>
    <x v="0"/>
    <s v="PG"/>
    <n v="100000"/>
    <n v="2000000"/>
    <n v="1"/>
    <n v="1"/>
  </r>
  <r>
    <n v="1162"/>
    <x v="166"/>
    <x v="167"/>
    <n v="113"/>
    <x v="10"/>
    <s v="David Lean"/>
    <s v="Cineguild"/>
    <x v="18"/>
    <x v="0"/>
    <s v="PG"/>
    <n v="500000"/>
    <n v="2000000"/>
    <n v="5"/>
    <n v="2"/>
  </r>
  <r>
    <n v="1164"/>
    <x v="167"/>
    <x v="168"/>
    <n v="155"/>
    <x v="10"/>
    <s v="Laurence Olivier"/>
    <s v="Two Cities Films"/>
    <x v="18"/>
    <x v="0"/>
    <s v="U"/>
    <n v="750000"/>
    <n v="3250000"/>
    <n v="7"/>
    <n v="4"/>
  </r>
  <r>
    <n v="1172"/>
    <x v="168"/>
    <x v="169"/>
    <n v="92"/>
    <x v="2"/>
    <s v="Terry Gilliam"/>
    <s v="Python (Monty) Pictures"/>
    <x v="18"/>
    <x v="0"/>
    <n v="15"/>
    <n v="400000"/>
    <n v="5000000"/>
    <n v="0"/>
    <n v="0"/>
  </r>
  <r>
    <n v="1173"/>
    <x v="169"/>
    <x v="170"/>
    <n v="93"/>
    <x v="2"/>
    <s v="Terry Jones"/>
    <s v="Python (Monty) Pictures"/>
    <x v="18"/>
    <x v="0"/>
    <n v="15"/>
    <n v="4000000"/>
    <n v="20000000"/>
    <n v="0"/>
    <n v="0"/>
  </r>
  <r>
    <n v="1219"/>
    <x v="170"/>
    <x v="171"/>
    <n v="118"/>
    <x v="1"/>
    <s v="Desmond Davis"/>
    <s v="Metro-Goldwyn-Mayer"/>
    <x v="18"/>
    <x v="0"/>
    <n v="12"/>
    <n v="15000000"/>
    <n v="41000000"/>
    <n v="0"/>
    <n v="0"/>
  </r>
  <r>
    <n v="1311"/>
    <x v="171"/>
    <x v="172"/>
    <n v="102"/>
    <x v="10"/>
    <s v="Shane Meadows"/>
    <s v="FilmFour Productions"/>
    <x v="18"/>
    <x v="0"/>
    <n v="18"/>
    <n v="3000000"/>
    <n v="10000000"/>
    <n v="0"/>
    <n v="0"/>
  </r>
  <r>
    <n v="1314"/>
    <x v="172"/>
    <x v="173"/>
    <n v="90"/>
    <x v="8"/>
    <s v="Shane Meadows"/>
    <s v="FilmFour Productions"/>
    <x v="18"/>
    <x v="0"/>
    <n v="18"/>
    <n v="1000000"/>
    <n v="1000000"/>
    <n v="0"/>
    <n v="0"/>
  </r>
  <r>
    <n v="1315"/>
    <x v="173"/>
    <x v="174"/>
    <n v="92"/>
    <x v="2"/>
    <s v="Steve Bendelack"/>
    <s v="FilmFour Productions"/>
    <x v="18"/>
    <x v="0"/>
    <n v="15"/>
    <n v="6000000"/>
    <n v="6000000"/>
    <n v="0"/>
    <n v="0"/>
  </r>
  <r>
    <n v="1316"/>
    <x v="174"/>
    <x v="175"/>
    <n v="93"/>
    <x v="4"/>
    <s v="Ben Wheatley"/>
    <s v="Baby Cow Productions"/>
    <x v="18"/>
    <x v="0"/>
    <n v="15"/>
    <n v="30000"/>
    <n v="30000"/>
    <n v="0"/>
    <n v="0"/>
  </r>
  <r>
    <n v="1317"/>
    <x v="175"/>
    <x v="176"/>
    <n v="95"/>
    <x v="8"/>
    <s v="Ben Wheatley"/>
    <s v="FilmFour Productions"/>
    <x v="18"/>
    <x v="0"/>
    <n v="18"/>
    <n v="800000"/>
    <n v="462206"/>
    <n v="0"/>
    <n v="0"/>
  </r>
  <r>
    <n v="1319"/>
    <x v="176"/>
    <x v="177"/>
    <n v="91"/>
    <x v="8"/>
    <s v="Ben Wheatley"/>
    <s v="FilmFour Productions"/>
    <x v="18"/>
    <x v="0"/>
    <n v="15"/>
    <n v="500000"/>
    <n v="500000"/>
    <n v="0"/>
    <n v="0"/>
  </r>
  <r>
    <n v="1320"/>
    <x v="177"/>
    <x v="178"/>
    <n v="119"/>
    <x v="9"/>
    <s v="Ben Wheatley"/>
    <s v="FilmFour Productions"/>
    <x v="18"/>
    <x v="0"/>
    <n v="15"/>
    <n v="8000000"/>
    <n v="3900000"/>
    <n v="0"/>
    <n v="0"/>
  </r>
  <r>
    <n v="1326"/>
    <x v="178"/>
    <x v="179"/>
    <n v="120"/>
    <x v="10"/>
    <s v="Danny Boyle"/>
    <s v="FilmFour Productions"/>
    <x v="18"/>
    <x v="0"/>
    <n v="15"/>
    <n v="15000000"/>
    <n v="377900000"/>
    <n v="10"/>
    <n v="8"/>
  </r>
  <r>
    <n v="1327"/>
    <x v="179"/>
    <x v="180"/>
    <n v="124"/>
    <x v="2"/>
    <s v="John Madden"/>
    <s v="Blueprint Pictures"/>
    <x v="18"/>
    <x v="0"/>
    <s v="12A"/>
    <n v="10000000"/>
    <n v="136800000"/>
    <n v="0"/>
    <n v="0"/>
  </r>
  <r>
    <n v="1328"/>
    <x v="180"/>
    <x v="181"/>
    <n v="122"/>
    <x v="2"/>
    <s v="John Madden"/>
    <s v="Blueprint Pictures"/>
    <x v="18"/>
    <x v="0"/>
    <s v="PG"/>
    <n v="10000000"/>
    <n v="86000000"/>
    <n v="0"/>
    <n v="0"/>
  </r>
  <r>
    <n v="1330"/>
    <x v="181"/>
    <x v="182"/>
    <n v="121"/>
    <x v="19"/>
    <s v="Jonathan English"/>
    <s v="Mythic International Entertainment"/>
    <x v="18"/>
    <x v="0"/>
    <n v="15"/>
    <n v="25000000"/>
    <n v="25000000"/>
    <n v="0"/>
    <n v="0"/>
  </r>
  <r>
    <n v="1333"/>
    <x v="182"/>
    <x v="183"/>
    <n v="92"/>
    <x v="4"/>
    <s v="Danny Boyle"/>
    <s v="FilmFour Productions"/>
    <x v="18"/>
    <x v="0"/>
    <n v="18"/>
    <n v="2500000"/>
    <n v="19800000"/>
    <n v="0"/>
    <n v="0"/>
  </r>
  <r>
    <n v="1334"/>
    <x v="183"/>
    <x v="184"/>
    <n v="103"/>
    <x v="2"/>
    <s v="Danny Boyle"/>
    <s v="Channel Four Films"/>
    <x v="18"/>
    <x v="0"/>
    <n v="15"/>
    <n v="12000000"/>
    <n v="4366722"/>
    <n v="0"/>
    <n v="0"/>
  </r>
  <r>
    <n v="1335"/>
    <x v="184"/>
    <x v="185"/>
    <n v="100"/>
    <x v="14"/>
    <s v="Juan Carlos Fresnadillo"/>
    <s v="DNA Films"/>
    <x v="18"/>
    <x v="0"/>
    <n v="18"/>
    <n v="15000000"/>
    <n v="64200000"/>
    <n v="0"/>
    <n v="0"/>
  </r>
  <r>
    <n v="1336"/>
    <x v="185"/>
    <x v="186"/>
    <n v="93"/>
    <x v="12"/>
    <s v="Danny Boyle"/>
    <s v="FilmFour Productions"/>
    <x v="18"/>
    <x v="0"/>
    <n v="15"/>
    <n v="18000000"/>
    <n v="60700000"/>
    <n v="6"/>
    <n v="0"/>
  </r>
  <r>
    <n v="1337"/>
    <x v="186"/>
    <x v="187"/>
    <n v="101"/>
    <x v="4"/>
    <s v="Danny Boyle"/>
    <s v="Pathe"/>
    <x v="18"/>
    <x v="0"/>
    <n v="15"/>
    <n v="20000000"/>
    <n v="24300000"/>
    <n v="0"/>
    <n v="0"/>
  </r>
  <r>
    <n v="1371"/>
    <x v="187"/>
    <x v="188"/>
    <n v="129"/>
    <x v="3"/>
    <s v="Matthew Vaughn"/>
    <s v="Shangri-La Entertainment"/>
    <x v="18"/>
    <x v="0"/>
    <n v="15"/>
    <n v="94000000"/>
    <n v="414400000"/>
    <n v="0"/>
    <n v="0"/>
  </r>
  <r>
    <n v="1372"/>
    <x v="188"/>
    <x v="189"/>
    <n v="117"/>
    <x v="3"/>
    <s v="Matthew Vaughn"/>
    <s v="Plan B Entertainment"/>
    <x v="18"/>
    <x v="0"/>
    <n v="15"/>
    <n v="30000000"/>
    <n v="96200000"/>
    <n v="0"/>
    <n v="0"/>
  </r>
  <r>
    <n v="1373"/>
    <x v="189"/>
    <x v="190"/>
    <n v="127"/>
    <x v="6"/>
    <s v="Matthew Vaughn"/>
    <s v="Marv Films"/>
    <x v="18"/>
    <x v="0"/>
    <s v="PG"/>
    <n v="88500000"/>
    <n v="135600000"/>
    <n v="0"/>
    <n v="0"/>
  </r>
  <r>
    <n v="1374"/>
    <x v="190"/>
    <x v="173"/>
    <n v="105"/>
    <x v="4"/>
    <s v="Matthew Vaughn"/>
    <s v="Marv Films"/>
    <x v="18"/>
    <x v="0"/>
    <n v="15"/>
    <n v="6500000"/>
    <n v="11900000"/>
    <n v="0"/>
    <n v="0"/>
  </r>
  <r>
    <n v="1375"/>
    <x v="191"/>
    <x v="191"/>
    <n v="121"/>
    <x v="3"/>
    <s v="Len Wiseman"/>
    <s v="Lakeshore Entertainment"/>
    <x v="18"/>
    <x v="0"/>
    <n v="15"/>
    <n v="22000000"/>
    <n v="95700000"/>
    <n v="0"/>
    <n v="0"/>
  </r>
  <r>
    <n v="1376"/>
    <x v="192"/>
    <x v="192"/>
    <n v="106"/>
    <x v="3"/>
    <s v="Len Wiseman"/>
    <s v="Lakeshore Entertainment"/>
    <x v="18"/>
    <x v="0"/>
    <n v="18"/>
    <n v="45000000"/>
    <n v="111300000"/>
    <n v="0"/>
    <n v="0"/>
  </r>
  <r>
    <n v="1404"/>
    <x v="193"/>
    <x v="193"/>
    <n v="109"/>
    <x v="9"/>
    <s v="Peter Hyams"/>
    <s v="The Ladd Company"/>
    <x v="18"/>
    <x v="0"/>
    <n v="15"/>
    <n v="16000000"/>
    <n v="20000000"/>
    <n v="1"/>
    <n v="0"/>
  </r>
  <r>
    <n v="1415"/>
    <x v="194"/>
    <x v="194"/>
    <n v="116"/>
    <x v="7"/>
    <s v="Stanley Kubrick"/>
    <s v="Stanley Kubrick Productions"/>
    <x v="18"/>
    <x v="0"/>
    <n v="15"/>
    <n v="30000000"/>
    <n v="46400000"/>
    <n v="1"/>
    <n v="0"/>
  </r>
  <r>
    <n v="1416"/>
    <x v="195"/>
    <x v="195"/>
    <n v="159"/>
    <x v="10"/>
    <s v="Stanley Kubrick"/>
    <s v="Stanley Kubrick Productions"/>
    <x v="18"/>
    <x v="0"/>
    <n v="18"/>
    <n v="65000000"/>
    <n v="162100000"/>
    <n v="0"/>
    <n v="0"/>
  </r>
  <r>
    <n v="1417"/>
    <x v="196"/>
    <x v="196"/>
    <n v="146"/>
    <x v="14"/>
    <s v="Stanley Kubrick"/>
    <s v="Hawk Films"/>
    <x v="18"/>
    <x v="0"/>
    <n v="18"/>
    <n v="19000000"/>
    <n v="44400000"/>
    <n v="0"/>
    <n v="0"/>
  </r>
  <r>
    <n v="1418"/>
    <x v="197"/>
    <x v="197"/>
    <n v="94"/>
    <x v="2"/>
    <s v="Stanley Kubrick"/>
    <s v="Hawk Films"/>
    <x v="18"/>
    <x v="0"/>
    <s v="PG"/>
    <n v="1800000"/>
    <n v="9400000"/>
    <n v="4"/>
    <n v="0"/>
  </r>
  <r>
    <n v="1427"/>
    <x v="198"/>
    <x v="198"/>
    <n v="131"/>
    <x v="4"/>
    <s v="Sidney Lumet"/>
    <s v="EMI Films"/>
    <x v="18"/>
    <x v="0"/>
    <s v="PG"/>
    <n v="2500000"/>
    <n v="30000000"/>
    <n v="6"/>
    <n v="1"/>
  </r>
  <r>
    <n v="1429"/>
    <x v="199"/>
    <x v="199"/>
    <n v="114"/>
    <x v="9"/>
    <s v="Mike Hodges"/>
    <s v="Dino De Laurentiis Corporation"/>
    <x v="18"/>
    <x v="0"/>
    <s v="PG"/>
    <n v="20000000"/>
    <n v="27100000"/>
    <n v="0"/>
    <n v="0"/>
  </r>
  <r>
    <n v="1433"/>
    <x v="200"/>
    <x v="200"/>
    <n v="155"/>
    <x v="7"/>
    <s v="Brian G. Hutton"/>
    <s v="Metro-Goldwyn-Mayer"/>
    <x v="18"/>
    <x v="0"/>
    <s v="PG"/>
    <n v="7700000"/>
    <n v="21000000"/>
    <n v="0"/>
    <n v="0"/>
  </r>
  <r>
    <n v="1456"/>
    <x v="201"/>
    <x v="201"/>
    <n v="133"/>
    <x v="7"/>
    <s v="Sam Peckinpah"/>
    <s v="EMI Films"/>
    <x v="18"/>
    <x v="0"/>
    <n v="18"/>
    <n v="6000000"/>
    <n v="6000000"/>
    <n v="0"/>
    <n v="0"/>
  </r>
  <r>
    <n v="1461"/>
    <x v="202"/>
    <x v="202"/>
    <n v="139"/>
    <x v="19"/>
    <s v="Cy Endfield"/>
    <s v="Paramount Pictures"/>
    <x v="18"/>
    <x v="0"/>
    <s v="PG"/>
    <n v="3500000"/>
    <n v="8000000"/>
    <n v="0"/>
    <n v="0"/>
  </r>
  <r>
    <n v="1472"/>
    <x v="203"/>
    <x v="203"/>
    <n v="92"/>
    <x v="4"/>
    <s v="Nicolas Winding Refn"/>
    <s v="Vertigo Films"/>
    <x v="18"/>
    <x v="0"/>
    <n v="18"/>
    <n v="230000"/>
    <n v="2300000"/>
    <n v="0"/>
    <n v="0"/>
  </r>
  <r>
    <n v="1485"/>
    <x v="204"/>
    <x v="204"/>
    <n v="126"/>
    <x v="1"/>
    <s v="Martin Scorsese"/>
    <s v="Paramount Pictures"/>
    <x v="18"/>
    <x v="0"/>
    <s v="U"/>
    <n v="170000000"/>
    <n v="185800000"/>
    <n v="11"/>
    <n v="5"/>
  </r>
  <r>
    <n v="1488"/>
    <x v="205"/>
    <x v="205"/>
    <n v="101"/>
    <x v="6"/>
    <s v="Jim Henson"/>
    <s v="Henson Associates"/>
    <x v="18"/>
    <x v="0"/>
    <s v="U"/>
    <n v="25000000"/>
    <n v="12900000"/>
    <n v="0"/>
    <n v="0"/>
  </r>
  <r>
    <n v="1505"/>
    <x v="206"/>
    <x v="206"/>
    <n v="112"/>
    <x v="2"/>
    <s v="Edgar Wright"/>
    <s v="Big Talk Productions"/>
    <x v="18"/>
    <x v="0"/>
    <s v="12A"/>
    <n v="90000000"/>
    <n v="47700000"/>
    <n v="0"/>
    <n v="0"/>
  </r>
  <r>
    <n v="1535"/>
    <x v="207"/>
    <x v="207"/>
    <n v="133"/>
    <x v="6"/>
    <s v="David Yates"/>
    <s v="Heyday Films"/>
    <x v="18"/>
    <x v="0"/>
    <s v="12A"/>
    <n v="180000000"/>
    <n v="615800000"/>
    <n v="0"/>
    <n v="0"/>
  </r>
  <r>
    <n v="1542"/>
    <x v="208"/>
    <x v="208"/>
    <n v="108"/>
    <x v="9"/>
    <s v="Alex Garland"/>
    <s v="FilmFour Productions"/>
    <x v="18"/>
    <x v="0"/>
    <n v="15"/>
    <n v="15000000"/>
    <n v="36900000"/>
    <n v="2"/>
    <n v="1"/>
  </r>
  <r>
    <n v="1543"/>
    <x v="163"/>
    <x v="209"/>
    <n v="130"/>
    <x v="13"/>
    <s v="Joe Wright"/>
    <s v="StudioCanal"/>
    <x v="18"/>
    <x v="0"/>
    <s v="12A"/>
    <n v="31000000"/>
    <n v="69000000"/>
    <n v="4"/>
    <n v="1"/>
  </r>
  <r>
    <n v="1546"/>
    <x v="209"/>
    <x v="210"/>
    <n v="121"/>
    <x v="13"/>
    <s v="Lasse Hallstrom"/>
    <s v="Miramax Films"/>
    <x v="18"/>
    <x v="0"/>
    <n v="12"/>
    <n v="25000000"/>
    <n v="152699000"/>
    <n v="5"/>
    <n v="0"/>
  </r>
  <r>
    <n v="1547"/>
    <x v="210"/>
    <x v="211"/>
    <n v="162"/>
    <x v="13"/>
    <s v="Anthony Minghella"/>
    <s v="Miramax Films"/>
    <x v="18"/>
    <x v="0"/>
    <n v="15"/>
    <n v="27000000"/>
    <n v="232000000"/>
    <n v="12"/>
    <n v="9"/>
  </r>
  <r>
    <n v="1557"/>
    <x v="211"/>
    <x v="212"/>
    <n v="106"/>
    <x v="4"/>
    <s v="Guy Ritchie"/>
    <s v="Handmade Films"/>
    <x v="18"/>
    <x v="0"/>
    <n v="18"/>
    <n v="1350000"/>
    <n v="28100000"/>
    <n v="0"/>
    <n v="0"/>
  </r>
  <r>
    <n v="1558"/>
    <x v="212"/>
    <x v="213"/>
    <n v="102"/>
    <x v="4"/>
    <s v="Guy Ritchie"/>
    <s v="Columbia Pictures"/>
    <x v="18"/>
    <x v="0"/>
    <n v="18"/>
    <n v="10000000"/>
    <n v="83600000"/>
    <n v="0"/>
    <n v="0"/>
  </r>
  <r>
    <n v="1560"/>
    <x v="213"/>
    <x v="214"/>
    <n v="114"/>
    <x v="4"/>
    <s v="Guy Ritchie"/>
    <s v="Warner Bros. Pictures"/>
    <x v="18"/>
    <x v="0"/>
    <n v="15"/>
    <n v="13000000"/>
    <n v="25739000"/>
    <n v="0"/>
    <n v="0"/>
  </r>
  <r>
    <n v="1561"/>
    <x v="214"/>
    <x v="215"/>
    <n v="129"/>
    <x v="3"/>
    <s v="Guy Ritchie"/>
    <s v="Village Roadshow Pictures"/>
    <x v="18"/>
    <x v="0"/>
    <s v="12A"/>
    <n v="125000000"/>
    <n v="545400000"/>
    <n v="0"/>
    <n v="0"/>
  </r>
  <r>
    <n v="1572"/>
    <x v="215"/>
    <x v="216"/>
    <n v="118"/>
    <x v="8"/>
    <s v="Ridley Scott"/>
    <s v="Scott Free Productions"/>
    <x v="18"/>
    <x v="0"/>
    <n v="18"/>
    <n v="25000000"/>
    <n v="71000000"/>
    <n v="0"/>
    <n v="0"/>
  </r>
  <r>
    <n v="1599"/>
    <x v="216"/>
    <x v="217"/>
    <n v="123"/>
    <x v="12"/>
    <s v="James Marsh"/>
    <s v="Universal Pictures"/>
    <x v="18"/>
    <x v="0"/>
    <s v="12A"/>
    <n v="15000000"/>
    <n v="123700000"/>
    <n v="5"/>
    <n v="1"/>
  </r>
  <r>
    <n v="1605"/>
    <x v="217"/>
    <x v="218"/>
    <n v="94"/>
    <x v="20"/>
    <s v="James Marsh"/>
    <s v="BBC Films"/>
    <x v="18"/>
    <x v="0"/>
    <n v="12"/>
    <n v="1900000"/>
    <n v="5300000"/>
    <n v="1"/>
    <n v="1"/>
  </r>
  <r>
    <n v="1606"/>
    <x v="218"/>
    <x v="219"/>
    <n v="119"/>
    <x v="12"/>
    <s v="Tom Hooper"/>
    <s v="UK Film Council"/>
    <x v="18"/>
    <x v="0"/>
    <n v="15"/>
    <n v="15000000"/>
    <n v="64200000"/>
    <n v="4"/>
    <n v="1"/>
  </r>
  <r>
    <n v="1609"/>
    <x v="219"/>
    <x v="220"/>
    <n v="115"/>
    <x v="10"/>
    <s v="Justin Chadwick"/>
    <s v="BBC Films"/>
    <x v="18"/>
    <x v="0"/>
    <s v="12A"/>
    <n v="35000000"/>
    <n v="77700000"/>
    <n v="0"/>
    <n v="0"/>
  </r>
  <r>
    <n v="1610"/>
    <x v="220"/>
    <x v="221"/>
    <n v="146"/>
    <x v="12"/>
    <s v="Justin Chadwick"/>
    <s v="Pathe"/>
    <x v="18"/>
    <x v="0"/>
    <s v="12A"/>
    <n v="35000000"/>
    <n v="27300000"/>
    <n v="1"/>
    <n v="0"/>
  </r>
  <r>
    <n v="1612"/>
    <x v="221"/>
    <x v="222"/>
    <n v="158"/>
    <x v="16"/>
    <s v="Tom Hooper"/>
    <s v="UK Film Council"/>
    <x v="18"/>
    <x v="0"/>
    <s v="12A"/>
    <n v="61000000"/>
    <n v="441800000"/>
    <n v="8"/>
    <n v="3"/>
  </r>
  <r>
    <n v="1613"/>
    <x v="222"/>
    <x v="223"/>
    <n v="119"/>
    <x v="12"/>
    <s v="Tom Hooper"/>
    <s v="UK Film Council"/>
    <x v="18"/>
    <x v="0"/>
    <s v="12A"/>
    <n v="15000000"/>
    <n v="414200000"/>
    <n v="12"/>
    <n v="4"/>
  </r>
  <r>
    <n v="1620"/>
    <x v="223"/>
    <x v="224"/>
    <n v="101"/>
    <x v="10"/>
    <s v="Steve McQueen"/>
    <s v="FilmFour Productions"/>
    <x v="18"/>
    <x v="0"/>
    <n v="18"/>
    <n v="6500000"/>
    <n v="17700000"/>
    <n v="0"/>
    <n v="0"/>
  </r>
  <r>
    <n v="1625"/>
    <x v="224"/>
    <x v="225"/>
    <n v="122"/>
    <x v="18"/>
    <s v="Ron Howard"/>
    <s v="Imagine Entertainment"/>
    <x v="18"/>
    <x v="0"/>
    <n v="15"/>
    <n v="38000000"/>
    <n v="98200000"/>
    <n v="0"/>
    <n v="0"/>
  </r>
  <r>
    <n v="1644"/>
    <x v="225"/>
    <x v="226"/>
    <n v="114"/>
    <x v="1"/>
    <s v="Kevin Macdonald"/>
    <s v="FilmFour Productions"/>
    <x v="18"/>
    <x v="0"/>
    <s v="12A"/>
    <n v="25000000"/>
    <n v="35500000"/>
    <n v="0"/>
    <n v="0"/>
  </r>
  <r>
    <n v="1645"/>
    <x v="226"/>
    <x v="227"/>
    <n v="123"/>
    <x v="10"/>
    <s v="Kevin Macdonald"/>
    <s v="FilmFour Productions"/>
    <x v="18"/>
    <x v="0"/>
    <n v="15"/>
    <n v="6000000"/>
    <n v="48400000"/>
    <n v="1"/>
    <n v="1"/>
  </r>
  <r>
    <n v="1646"/>
    <x v="227"/>
    <x v="228"/>
    <n v="97"/>
    <x v="1"/>
    <s v="Neil Marshall"/>
    <s v="UK Film Council"/>
    <x v="18"/>
    <x v="0"/>
    <n v="15"/>
    <n v="12000000"/>
    <n v="6168000"/>
    <n v="0"/>
    <n v="0"/>
  </r>
  <r>
    <n v="1647"/>
    <x v="228"/>
    <x v="229"/>
    <n v="101"/>
    <x v="6"/>
    <s v="Don Chaffey"/>
    <s v="Columbia Pictures"/>
    <x v="18"/>
    <x v="0"/>
    <s v="U"/>
    <n v="1000000"/>
    <n v="2100000"/>
    <n v="0"/>
    <n v="0"/>
  </r>
  <r>
    <n v="1650"/>
    <x v="229"/>
    <x v="230"/>
    <n v="100"/>
    <x v="1"/>
    <s v="Don Chaffey"/>
    <s v="Hammer Film Productions"/>
    <x v="18"/>
    <x v="0"/>
    <s v="PG"/>
    <n v="500000"/>
    <n v="8000000"/>
    <n v="0"/>
    <n v="0"/>
  </r>
  <r>
    <n v="1653"/>
    <x v="230"/>
    <x v="231"/>
    <n v="125"/>
    <x v="3"/>
    <s v="Richard Lester"/>
    <s v="Dovemead"/>
    <x v="18"/>
    <x v="0"/>
    <s v="PG"/>
    <n v="39000000"/>
    <n v="80200000"/>
    <n v="0"/>
    <n v="0"/>
  </r>
  <r>
    <n v="1"/>
    <x v="231"/>
    <x v="232"/>
    <n v="126"/>
    <x v="1"/>
    <s v="Steven Spielberg"/>
    <s v="Amblin Entertainment"/>
    <x v="19"/>
    <x v="0"/>
    <s v="PG"/>
    <n v="63000000"/>
    <n v="1029939903"/>
    <n v="3"/>
    <n v="3"/>
  </r>
  <r>
    <n v="2"/>
    <x v="232"/>
    <x v="233"/>
    <n v="121"/>
    <x v="3"/>
    <s v="Sam Raimi"/>
    <s v="Marvel Entertainment"/>
    <x v="19"/>
    <x v="0"/>
    <s v="12A"/>
    <n v="140000000"/>
    <n v="821708551"/>
    <n v="2"/>
    <n v="0"/>
  </r>
  <r>
    <n v="5"/>
    <x v="233"/>
    <x v="234"/>
    <n v="154"/>
    <x v="3"/>
    <s v="Bryan Singer"/>
    <s v="Legendary Pictures"/>
    <x v="19"/>
    <x v="0"/>
    <s v="12A"/>
    <n v="204000000"/>
    <n v="391081192"/>
    <n v="1"/>
    <n v="0"/>
  </r>
  <r>
    <n v="6"/>
    <x v="234"/>
    <x v="235"/>
    <n v="194"/>
    <x v="13"/>
    <s v="James Cameron"/>
    <s v="20th Century Fox"/>
    <x v="19"/>
    <x v="0"/>
    <n v="12"/>
    <n v="200000000"/>
    <n v="2186772302"/>
    <n v="14"/>
    <n v="11"/>
  </r>
  <r>
    <n v="7"/>
    <x v="235"/>
    <x v="236"/>
    <n v="96"/>
    <x v="2"/>
    <s v="Tom Shadyac"/>
    <s v="Spyglass Entertainment"/>
    <x v="19"/>
    <x v="0"/>
    <s v="PG"/>
    <n v="175000000"/>
    <n v="173418781"/>
    <n v="0"/>
    <n v="0"/>
  </r>
  <r>
    <n v="8"/>
    <x v="236"/>
    <x v="237"/>
    <n v="135"/>
    <x v="1"/>
    <s v="Kevin Reynolds"/>
    <s v="Gordon Company"/>
    <x v="19"/>
    <x v="0"/>
    <n v="12"/>
    <n v="175000000"/>
    <n v="264218220"/>
    <n v="1"/>
    <n v="0"/>
  </r>
  <r>
    <n v="9"/>
    <x v="237"/>
    <x v="238"/>
    <n v="183"/>
    <x v="7"/>
    <s v="Michael Bay"/>
    <s v="Touchstone Pictures"/>
    <x v="19"/>
    <x v="0"/>
    <n v="12"/>
    <n v="140000000"/>
    <n v="449220945"/>
    <n v="4"/>
    <n v="1"/>
  </r>
  <r>
    <n v="10"/>
    <x v="238"/>
    <x v="239"/>
    <n v="144"/>
    <x v="9"/>
    <s v="Michael Bay"/>
    <s v="di Bonaventura Pictures"/>
    <x v="19"/>
    <x v="0"/>
    <s v="12A"/>
    <n v="150000000"/>
    <n v="709709780"/>
    <n v="3"/>
    <n v="0"/>
  </r>
  <r>
    <n v="12"/>
    <x v="239"/>
    <x v="240"/>
    <n v="115"/>
    <x v="6"/>
    <s v="Robert Zemeckis"/>
    <s v="Shangri-La Entertainment"/>
    <x v="19"/>
    <x v="0"/>
    <s v="12A"/>
    <n v="150000000"/>
    <n v="196393745"/>
    <n v="0"/>
    <n v="0"/>
  </r>
  <r>
    <n v="13"/>
    <x v="240"/>
    <x v="241"/>
    <n v="91"/>
    <x v="0"/>
    <s v="Steve Hickner"/>
    <s v="Dreamworks"/>
    <x v="19"/>
    <x v="0"/>
    <s v="U"/>
    <n v="150000000"/>
    <n v="287594577"/>
    <n v="0"/>
    <n v="0"/>
  </r>
  <r>
    <n v="14"/>
    <x v="241"/>
    <x v="242"/>
    <n v="168"/>
    <x v="1"/>
    <s v="Gore Verbinski"/>
    <s v="Walt Disney Pictures"/>
    <x v="19"/>
    <x v="0"/>
    <s v="12A"/>
    <n v="300000000"/>
    <n v="963420425"/>
    <n v="2"/>
    <n v="0"/>
  </r>
  <r>
    <n v="15"/>
    <x v="242"/>
    <x v="243"/>
    <n v="100"/>
    <x v="14"/>
    <s v="Francis Lawrence"/>
    <s v="Village Roadshow Pictures"/>
    <x v="19"/>
    <x v="0"/>
    <n v="15"/>
    <n v="150000000"/>
    <n v="585349010"/>
    <n v="0"/>
    <n v="0"/>
  </r>
  <r>
    <n v="16"/>
    <x v="243"/>
    <x v="236"/>
    <n v="111"/>
    <x v="0"/>
    <s v="Brad Bird"/>
    <s v="Walt Disney Pictures"/>
    <x v="19"/>
    <x v="0"/>
    <s v="U"/>
    <n v="150000000"/>
    <n v="623722818"/>
    <n v="5"/>
    <n v="1"/>
  </r>
  <r>
    <n v="17"/>
    <x v="244"/>
    <x v="244"/>
    <n v="162"/>
    <x v="1"/>
    <s v="Wolfgang Peterson"/>
    <s v="Helena Productions"/>
    <x v="19"/>
    <x v="0"/>
    <n v="15"/>
    <n v="175000000"/>
    <n v="497409852"/>
    <n v="1"/>
    <n v="0"/>
  </r>
  <r>
    <n v="19"/>
    <x v="245"/>
    <x v="245"/>
    <n v="141"/>
    <x v="3"/>
    <s v="Christopher Nolan"/>
    <s v="Legendary Pictures"/>
    <x v="19"/>
    <x v="0"/>
    <s v="12A"/>
    <n v="150000000"/>
    <n v="374218673"/>
    <n v="1"/>
    <n v="0"/>
  </r>
  <r>
    <n v="20"/>
    <x v="246"/>
    <x v="246"/>
    <n v="115"/>
    <x v="6"/>
    <s v="Tim Burton"/>
    <s v="Village Roadshow Pictures"/>
    <x v="19"/>
    <x v="0"/>
    <s v="PG"/>
    <n v="150000000"/>
    <n v="474968763"/>
    <n v="1"/>
    <n v="0"/>
  </r>
  <r>
    <n v="21"/>
    <x v="247"/>
    <x v="247"/>
    <n v="151"/>
    <x v="1"/>
    <s v="Gore Verbinski"/>
    <s v="Walt Disney Pictures"/>
    <x v="19"/>
    <x v="0"/>
    <s v="12A"/>
    <n v="225000000"/>
    <n v="1066179725"/>
    <n v="4"/>
    <n v="1"/>
  </r>
  <r>
    <n v="23"/>
    <x v="248"/>
    <x v="248"/>
    <n v="127"/>
    <x v="3"/>
    <s v="Richard Donner"/>
    <s v="Silver Pictures"/>
    <x v="19"/>
    <x v="0"/>
    <n v="15"/>
    <n v="100000000"/>
    <n v="285444603"/>
    <n v="0"/>
    <n v="0"/>
  </r>
  <r>
    <n v="24"/>
    <x v="249"/>
    <x v="249"/>
    <n v="151"/>
    <x v="9"/>
    <s v="Michael Bay"/>
    <s v="Touchstone Pictures"/>
    <x v="19"/>
    <x v="0"/>
    <n v="12"/>
    <n v="140000000"/>
    <n v="553709788"/>
    <n v="4"/>
    <n v="0"/>
  </r>
  <r>
    <n v="25"/>
    <x v="250"/>
    <x v="250"/>
    <n v="89"/>
    <x v="9"/>
    <s v="Barry Sonnenfeld"/>
    <s v="Amblin Entertainment"/>
    <x v="19"/>
    <x v="0"/>
    <s v="PG"/>
    <n v="140000000"/>
    <n v="441818803"/>
    <n v="0"/>
    <n v="0"/>
  </r>
  <r>
    <n v="26"/>
    <x v="251"/>
    <x v="251"/>
    <n v="139"/>
    <x v="3"/>
    <s v="Sam Raimi"/>
    <s v="Marvel Entertainment"/>
    <x v="19"/>
    <x v="0"/>
    <s v="12A"/>
    <n v="258000000"/>
    <n v="890871626"/>
    <n v="0"/>
    <n v="0"/>
  </r>
  <r>
    <n v="27"/>
    <x v="252"/>
    <x v="252"/>
    <n v="127"/>
    <x v="3"/>
    <s v="Sam Raimi"/>
    <s v="Marvel Entertainment"/>
    <x v="19"/>
    <x v="0"/>
    <s v="12A"/>
    <n v="200000000"/>
    <n v="783766341"/>
    <n v="3"/>
    <n v="1"/>
  </r>
  <r>
    <n v="28"/>
    <x v="253"/>
    <x v="253"/>
    <n v="121"/>
    <x v="3"/>
    <s v="Rob Cohen"/>
    <s v="Original Film"/>
    <x v="19"/>
    <x v="0"/>
    <s v="12A"/>
    <n v="135000000"/>
    <n v="76932872"/>
    <n v="0"/>
    <n v="0"/>
  </r>
  <r>
    <n v="29"/>
    <x v="254"/>
    <x v="254"/>
    <n v="106"/>
    <x v="0"/>
    <s v="Hironobu Sakaguchi"/>
    <s v="Square Pictures"/>
    <x v="19"/>
    <x v="0"/>
    <s v="PG"/>
    <n v="137000000"/>
    <n v="85131830"/>
    <n v="0"/>
    <n v="0"/>
  </r>
  <r>
    <n v="30"/>
    <x v="255"/>
    <x v="255"/>
    <n v="134"/>
    <x v="8"/>
    <s v="Michael Mann"/>
    <s v="Universal Pictures"/>
    <x v="19"/>
    <x v="0"/>
    <n v="15"/>
    <n v="135000000"/>
    <n v="163794509"/>
    <n v="0"/>
    <n v="0"/>
  </r>
  <r>
    <n v="32"/>
    <x v="256"/>
    <x v="256"/>
    <n v="138"/>
    <x v="1"/>
    <s v="Peter Weir"/>
    <s v="20th Century Fox"/>
    <x v="19"/>
    <x v="0"/>
    <s v="12A"/>
    <n v="150000000"/>
    <n v="212011111"/>
    <n v="10"/>
    <n v="2"/>
  </r>
  <r>
    <n v="33"/>
    <x v="257"/>
    <x v="257"/>
    <n v="116"/>
    <x v="9"/>
    <s v="Steven Spielberg"/>
    <s v="Amblin Entertainment"/>
    <x v="19"/>
    <x v="0"/>
    <s v="12A"/>
    <n v="132000000"/>
    <n v="591745540"/>
    <n v="3"/>
    <n v="0"/>
  </r>
  <r>
    <n v="34"/>
    <x v="258"/>
    <x v="258"/>
    <n v="115"/>
    <x v="8"/>
    <s v="Paul Greengrass"/>
    <s v="The Kennedy Marshall Company"/>
    <x v="19"/>
    <x v="0"/>
    <s v="12A"/>
    <n v="110000000"/>
    <n v="442824138"/>
    <n v="3"/>
    <n v="3"/>
  </r>
  <r>
    <n v="36"/>
    <x v="259"/>
    <x v="259"/>
    <n v="138"/>
    <x v="9"/>
    <s v="Lilly (Andy) Wachowski"/>
    <s v="Village Roadshow Pictures"/>
    <x v="19"/>
    <x v="0"/>
    <n v="15"/>
    <n v="150000000"/>
    <n v="742128461"/>
    <n v="0"/>
    <n v="0"/>
  </r>
  <r>
    <n v="37"/>
    <x v="260"/>
    <x v="260"/>
    <n v="146"/>
    <x v="15"/>
    <s v="Ron Howard"/>
    <s v="Imagine Entertainment"/>
    <x v="19"/>
    <x v="0"/>
    <s v="12A"/>
    <n v="125000000"/>
    <n v="758239851"/>
    <n v="0"/>
    <n v="0"/>
  </r>
  <r>
    <n v="39"/>
    <x v="261"/>
    <x v="261"/>
    <n v="124"/>
    <x v="8"/>
    <s v="Roland Emmerich"/>
    <s v="Centropolis Entertainment"/>
    <x v="19"/>
    <x v="0"/>
    <s v="12A"/>
    <n v="125000000"/>
    <n v="542772402"/>
    <n v="0"/>
    <n v="0"/>
  </r>
  <r>
    <n v="40"/>
    <x v="262"/>
    <x v="262"/>
    <n v="135"/>
    <x v="1"/>
    <s v="Gore Verbinski"/>
    <s v="Walt Disney Pictures"/>
    <x v="19"/>
    <x v="0"/>
    <n v="12"/>
    <n v="140000000"/>
    <n v="654264015"/>
    <n v="5"/>
    <n v="0"/>
  </r>
  <r>
    <n v="41"/>
    <x v="263"/>
    <x v="263"/>
    <n v="154"/>
    <x v="1"/>
    <s v="Edward Zwick"/>
    <s v="Radar Pictures"/>
    <x v="19"/>
    <x v="0"/>
    <n v="15"/>
    <n v="140000000"/>
    <n v="456758981"/>
    <n v="4"/>
    <n v="0"/>
  </r>
  <r>
    <n v="42"/>
    <x v="264"/>
    <x v="264"/>
    <n v="130"/>
    <x v="1"/>
    <s v="Wolfgang Peterson"/>
    <s v="Warner Bros. Pictures"/>
    <x v="19"/>
    <x v="0"/>
    <n v="12"/>
    <n v="120000000"/>
    <n v="328718434"/>
    <n v="2"/>
    <n v="0"/>
  </r>
  <r>
    <n v="43"/>
    <x v="265"/>
    <x v="265"/>
    <n v="125"/>
    <x v="8"/>
    <s v="J. J. Abrams"/>
    <s v="Cruise Wagner Productions"/>
    <x v="19"/>
    <x v="0"/>
    <s v="12A"/>
    <n v="150000000"/>
    <n v="397850012"/>
    <n v="0"/>
    <n v="0"/>
  </r>
  <r>
    <n v="44"/>
    <x v="266"/>
    <x v="266"/>
    <n v="123"/>
    <x v="8"/>
    <s v="John Woo"/>
    <s v="Cruise Wagner Productions"/>
    <x v="19"/>
    <x v="0"/>
    <n v="15"/>
    <n v="125000000"/>
    <n v="546388105"/>
    <n v="0"/>
    <n v="0"/>
  </r>
  <r>
    <n v="45"/>
    <x v="267"/>
    <x v="7"/>
    <n v="134"/>
    <x v="7"/>
    <s v="John Woo"/>
    <s v="Lion Rock Productions"/>
    <x v="19"/>
    <x v="0"/>
    <n v="15"/>
    <n v="115000000"/>
    <n v="77628265"/>
    <n v="0"/>
    <n v="0"/>
  </r>
  <r>
    <n v="46"/>
    <x v="268"/>
    <x v="267"/>
    <n v="142"/>
    <x v="9"/>
    <s v="George Lucas"/>
    <s v="Lucasfilm"/>
    <x v="19"/>
    <x v="0"/>
    <s v="PG"/>
    <n v="115000000"/>
    <n v="649400000"/>
    <n v="1"/>
    <n v="0"/>
  </r>
  <r>
    <n v="47"/>
    <x v="269"/>
    <x v="268"/>
    <n v="92"/>
    <x v="0"/>
    <s v="Pete Docter"/>
    <s v="Pixar Animation Studios"/>
    <x v="19"/>
    <x v="0"/>
    <s v="U"/>
    <n v="115000000"/>
    <n v="562800000"/>
    <n v="4"/>
    <n v="1"/>
  </r>
  <r>
    <n v="48"/>
    <x v="270"/>
    <x v="269"/>
    <n v="133"/>
    <x v="9"/>
    <s v="George Lucas"/>
    <s v="Lucasfilm"/>
    <x v="19"/>
    <x v="0"/>
    <s v="U"/>
    <n v="115000000"/>
    <n v="1027000000"/>
    <n v="3"/>
    <n v="0"/>
  </r>
  <r>
    <n v="49"/>
    <x v="271"/>
    <x v="270"/>
    <n v="140"/>
    <x v="9"/>
    <s v="George Lucas"/>
    <s v="Lucasfilm"/>
    <x v="19"/>
    <x v="0"/>
    <s v="12A"/>
    <n v="113000000"/>
    <n v="848800000"/>
    <n v="1"/>
    <n v="0"/>
  </r>
  <r>
    <n v="50"/>
    <x v="272"/>
    <x v="271"/>
    <n v="129"/>
    <x v="9"/>
    <s v="Lilly (Andy) Wachowski"/>
    <s v="Village Roadshow Pictures"/>
    <x v="19"/>
    <x v="0"/>
    <n v="15"/>
    <n v="150000000"/>
    <n v="427343298"/>
    <n v="0"/>
    <n v="0"/>
  </r>
  <r>
    <n v="52"/>
    <x v="273"/>
    <x v="272"/>
    <n v="117"/>
    <x v="4"/>
    <s v="Steven Soderbergh"/>
    <s v="Jerry Weintraub Productions"/>
    <x v="19"/>
    <x v="0"/>
    <n v="12"/>
    <n v="85000000"/>
    <n v="450717150"/>
    <n v="0"/>
    <n v="0"/>
  </r>
  <r>
    <n v="53"/>
    <x v="274"/>
    <x v="273"/>
    <n v="130"/>
    <x v="3"/>
    <s v="Len Wiseman"/>
    <s v="Cheyenne Enterprises"/>
    <x v="19"/>
    <x v="0"/>
    <n v="15"/>
    <n v="110000000"/>
    <n v="383500000"/>
    <n v="0"/>
    <n v="0"/>
  </r>
  <r>
    <n v="54"/>
    <x v="275"/>
    <x v="274"/>
    <n v="120"/>
    <x v="1"/>
    <s v="Frank Coraci"/>
    <s v="Walden Media"/>
    <x v="19"/>
    <x v="0"/>
    <s v="PG"/>
    <n v="110000000"/>
    <n v="72178895"/>
    <n v="0"/>
    <n v="0"/>
  </r>
  <r>
    <n v="55"/>
    <x v="276"/>
    <x v="275"/>
    <n v="144"/>
    <x v="1"/>
    <s v="Ridley Scott"/>
    <s v="Scott Free Productions"/>
    <x v="19"/>
    <x v="0"/>
    <n v="15"/>
    <n v="130000000"/>
    <n v="211398413"/>
    <n v="0"/>
    <n v="0"/>
  </r>
  <r>
    <n v="56"/>
    <x v="277"/>
    <x v="276"/>
    <n v="120"/>
    <x v="3"/>
    <s v="Doug Liman"/>
    <s v="Regency Enterprises"/>
    <x v="19"/>
    <x v="0"/>
    <n v="15"/>
    <n v="110000000"/>
    <n v="478336279"/>
    <n v="0"/>
    <n v="0"/>
  </r>
  <r>
    <n v="57"/>
    <x v="278"/>
    <x v="277"/>
    <n v="170"/>
    <x v="12"/>
    <s v="Martin Scorsese"/>
    <s v="Forward Pass"/>
    <x v="19"/>
    <x v="0"/>
    <s v="12A"/>
    <n v="110000000"/>
    <n v="214608827"/>
    <n v="11"/>
    <n v="5"/>
  </r>
  <r>
    <n v="58"/>
    <x v="279"/>
    <x v="278"/>
    <n v="157"/>
    <x v="12"/>
    <s v="Michael Mann"/>
    <s v="Peters Entertainment"/>
    <x v="19"/>
    <x v="0"/>
    <n v="15"/>
    <n v="107000000"/>
    <n v="87713825"/>
    <n v="0"/>
    <n v="0"/>
  </r>
  <r>
    <n v="60"/>
    <x v="280"/>
    <x v="279"/>
    <n v="115"/>
    <x v="9"/>
    <s v="Alex Proyas"/>
    <s v="Davis Entertainment"/>
    <x v="19"/>
    <x v="0"/>
    <s v="12A"/>
    <n v="120000000"/>
    <n v="347234916"/>
    <n v="1"/>
    <n v="0"/>
  </r>
  <r>
    <n v="62"/>
    <x v="281"/>
    <x v="280"/>
    <n v="145"/>
    <x v="9"/>
    <s v="Steven Spielberg"/>
    <s v="Amblin Entertainment"/>
    <x v="19"/>
    <x v="0"/>
    <n v="12"/>
    <n v="102000000"/>
    <n v="358300000"/>
    <n v="1"/>
    <n v="0"/>
  </r>
  <r>
    <n v="63"/>
    <x v="282"/>
    <x v="281"/>
    <n v="136"/>
    <x v="9"/>
    <s v="James Cameron"/>
    <s v="Carolco Pictures"/>
    <x v="19"/>
    <x v="0"/>
    <n v="15"/>
    <n v="100000000"/>
    <n v="516816151"/>
    <n v="4"/>
    <n v="6"/>
  </r>
  <r>
    <n v="64"/>
    <x v="283"/>
    <x v="282"/>
    <n v="104"/>
    <x v="3"/>
    <s v="Jean-Christophe Comar"/>
    <s v="Village Roadshow Pictures"/>
    <x v="19"/>
    <x v="0"/>
    <s v="12A"/>
    <n v="100000000"/>
    <n v="82102379"/>
    <n v="0"/>
    <n v="0"/>
  </r>
  <r>
    <n v="66"/>
    <x v="284"/>
    <x v="240"/>
    <n v="158"/>
    <x v="12"/>
    <s v="Ridley Scott"/>
    <s v="Imagine Entertainment"/>
    <x v="19"/>
    <x v="0"/>
    <n v="18"/>
    <n v="100000000"/>
    <n v="266465037"/>
    <n v="2"/>
    <n v="0"/>
  </r>
  <r>
    <n v="67"/>
    <x v="285"/>
    <x v="283"/>
    <n v="143"/>
    <x v="1"/>
    <s v="Edward Zwick"/>
    <s v="The Bedford Falls Company"/>
    <x v="19"/>
    <x v="0"/>
    <n v="15"/>
    <n v="100000000"/>
    <n v="171407179"/>
    <n v="5"/>
    <n v="0"/>
  </r>
  <r>
    <n v="68"/>
    <x v="286"/>
    <x v="284"/>
    <n v="155"/>
    <x v="1"/>
    <s v="Ridley Scott"/>
    <s v="Scott Free Productions"/>
    <x v="19"/>
    <x v="0"/>
    <n v="15"/>
    <n v="103000000"/>
    <n v="457600000"/>
    <n v="12"/>
    <n v="5"/>
  </r>
  <r>
    <n v="69"/>
    <x v="287"/>
    <x v="285"/>
    <n v="141"/>
    <x v="8"/>
    <s v="James Cameron"/>
    <s v="Lightstorm Entertainment"/>
    <x v="19"/>
    <x v="0"/>
    <n v="15"/>
    <n v="100000000"/>
    <n v="378882411"/>
    <n v="1"/>
    <n v="0"/>
  </r>
  <r>
    <n v="70"/>
    <x v="288"/>
    <x v="286"/>
    <n v="160"/>
    <x v="10"/>
    <s v="Martin Scorsese"/>
    <s v="Touchstone Pictures"/>
    <x v="19"/>
    <x v="0"/>
    <n v="18"/>
    <n v="97000000"/>
    <n v="193772504"/>
    <n v="10"/>
    <n v="0"/>
  </r>
  <r>
    <n v="71"/>
    <x v="289"/>
    <x v="287"/>
    <n v="144"/>
    <x v="7"/>
    <s v="Ridley Scott"/>
    <s v="Revolution Studios"/>
    <x v="19"/>
    <x v="0"/>
    <n v="15"/>
    <n v="92000000"/>
    <n v="172989651"/>
    <n v="4"/>
    <n v="2"/>
  </r>
  <r>
    <n v="75"/>
    <x v="290"/>
    <x v="190"/>
    <n v="91"/>
    <x v="5"/>
    <s v="Brett Ratner"/>
    <s v="Roger Birnbaum Productions"/>
    <x v="19"/>
    <x v="0"/>
    <s v="12A"/>
    <n v="140000000"/>
    <n v="258022233"/>
    <n v="0"/>
    <n v="0"/>
  </r>
  <r>
    <n v="76"/>
    <x v="291"/>
    <x v="254"/>
    <n v="90"/>
    <x v="5"/>
    <s v="Brett Ratner"/>
    <s v="New Line Cinema"/>
    <x v="19"/>
    <x v="0"/>
    <n v="12"/>
    <n v="90000000"/>
    <n v="347425832"/>
    <n v="0"/>
    <n v="0"/>
  </r>
  <r>
    <n v="77"/>
    <x v="292"/>
    <x v="288"/>
    <n v="98"/>
    <x v="9"/>
    <s v="Barry Sonnenfeld"/>
    <s v="Amblin Entertainment"/>
    <x v="19"/>
    <x v="0"/>
    <s v="PG"/>
    <n v="90000000"/>
    <n v="589390539"/>
    <n v="3"/>
    <n v="1"/>
  </r>
  <r>
    <n v="78"/>
    <x v="293"/>
    <x v="289"/>
    <n v="151"/>
    <x v="8"/>
    <s v="Martin Scorsese"/>
    <s v="Warner Bros. Pictures"/>
    <x v="19"/>
    <x v="0"/>
    <n v="18"/>
    <n v="90000000"/>
    <n v="289847354"/>
    <n v="5"/>
    <n v="4"/>
  </r>
  <r>
    <n v="79"/>
    <x v="294"/>
    <x v="290"/>
    <n v="131"/>
    <x v="3"/>
    <s v="John McTiernan"/>
    <s v="Cinergi Pictures"/>
    <x v="19"/>
    <x v="0"/>
    <n v="15"/>
    <n v="90000000"/>
    <n v="366101666"/>
    <n v="0"/>
    <n v="0"/>
  </r>
  <r>
    <n v="80"/>
    <x v="295"/>
    <x v="291"/>
    <n v="144"/>
    <x v="10"/>
    <s v="Ron Howard"/>
    <s v="Imagine Entertainment"/>
    <x v="19"/>
    <x v="0"/>
    <s v="12A"/>
    <n v="88000000"/>
    <n v="108539911"/>
    <n v="3"/>
    <n v="0"/>
  </r>
  <r>
    <n v="81"/>
    <x v="296"/>
    <x v="292"/>
    <n v="108"/>
    <x v="8"/>
    <s v="Paul Greengrass"/>
    <s v="The Kennedy Marshall Company"/>
    <x v="19"/>
    <x v="0"/>
    <s v="12A"/>
    <n v="75000000"/>
    <n v="288500000"/>
    <n v="0"/>
    <n v="0"/>
  </r>
  <r>
    <n v="82"/>
    <x v="297"/>
    <x v="293"/>
    <n v="130"/>
    <x v="3"/>
    <s v="John McTiernan"/>
    <s v="Columbia Pictures"/>
    <x v="19"/>
    <x v="0"/>
    <n v="15"/>
    <n v="85000000"/>
    <n v="137298489"/>
    <n v="0"/>
    <n v="0"/>
  </r>
  <r>
    <n v="83"/>
    <x v="298"/>
    <x v="294"/>
    <n v="143"/>
    <x v="10"/>
    <s v="Robert Zemeckis"/>
    <s v="ImageMovers"/>
    <x v="19"/>
    <x v="0"/>
    <n v="12"/>
    <n v="85000000"/>
    <n v="427230516"/>
    <n v="2"/>
    <n v="0"/>
  </r>
  <r>
    <n v="84"/>
    <x v="299"/>
    <x v="295"/>
    <n v="125"/>
    <x v="4"/>
    <s v="Steven Soderbergh"/>
    <s v="Jerry Weintraub Productions"/>
    <x v="19"/>
    <x v="0"/>
    <s v="12A"/>
    <n v="110000000"/>
    <n v="362744280"/>
    <n v="0"/>
    <n v="0"/>
  </r>
  <r>
    <n v="85"/>
    <x v="300"/>
    <x v="296"/>
    <n v="107"/>
    <x v="2"/>
    <s v="Frank Coraci"/>
    <s v="Revolution Studios"/>
    <x v="19"/>
    <x v="0"/>
    <s v="12A"/>
    <n v="82500000"/>
    <n v="237681299"/>
    <n v="1"/>
    <n v="0"/>
  </r>
  <r>
    <n v="86"/>
    <x v="301"/>
    <x v="297"/>
    <n v="101"/>
    <x v="2"/>
    <s v="Tom Shadyac"/>
    <s v="Spyglass Entertainment"/>
    <x v="19"/>
    <x v="0"/>
    <s v="12A"/>
    <n v="81000000"/>
    <n v="484592874"/>
    <n v="0"/>
    <n v="0"/>
  </r>
  <r>
    <n v="87"/>
    <x v="302"/>
    <x v="298"/>
    <n v="110"/>
    <x v="8"/>
    <s v="Brian De Palma"/>
    <s v="Cruise Wagner Productions"/>
    <x v="19"/>
    <x v="0"/>
    <s v="PG"/>
    <n v="80000000"/>
    <n v="457696359"/>
    <n v="0"/>
    <n v="0"/>
  </r>
  <r>
    <n v="88"/>
    <x v="303"/>
    <x v="299"/>
    <n v="121"/>
    <x v="9"/>
    <s v="Mimi Leder"/>
    <s v="Dreamworks"/>
    <x v="19"/>
    <x v="0"/>
    <n v="12"/>
    <n v="80000000"/>
    <n v="349464664"/>
    <n v="0"/>
    <n v="0"/>
  </r>
  <r>
    <n v="89"/>
    <x v="304"/>
    <x v="300"/>
    <n v="117"/>
    <x v="4"/>
    <s v="Sam Mendes"/>
    <s v="The Zanuck Company"/>
    <x v="19"/>
    <x v="0"/>
    <n v="15"/>
    <n v="80000000"/>
    <n v="181000000"/>
    <n v="6"/>
    <n v="1"/>
  </r>
  <r>
    <n v="90"/>
    <x v="305"/>
    <x v="301"/>
    <n v="135"/>
    <x v="10"/>
    <s v="Ron Howard"/>
    <s v="Imagine Entertainment"/>
    <x v="19"/>
    <x v="0"/>
    <n v="12"/>
    <n v="58000000"/>
    <n v="313542341"/>
    <n v="8"/>
    <n v="4"/>
  </r>
  <r>
    <n v="91"/>
    <x v="306"/>
    <x v="302"/>
    <n v="109"/>
    <x v="9"/>
    <s v="Alfonso Cuaron"/>
    <s v="Strike Entertainment"/>
    <x v="19"/>
    <x v="0"/>
    <n v="15"/>
    <n v="76000000"/>
    <n v="69900000"/>
    <n v="3"/>
    <n v="0"/>
  </r>
  <r>
    <n v="92"/>
    <x v="307"/>
    <x v="303"/>
    <n v="163"/>
    <x v="10"/>
    <s v="Steven Spielberg"/>
    <s v="Amblin Entertainment"/>
    <x v="19"/>
    <x v="0"/>
    <n v="15"/>
    <n v="77000000"/>
    <n v="130358911"/>
    <n v="5"/>
    <n v="0"/>
  </r>
  <r>
    <n v="93"/>
    <x v="308"/>
    <x v="304"/>
    <n v="145"/>
    <x v="9"/>
    <s v="Roland Emmerich"/>
    <s v="Centropolis Entertainment"/>
    <x v="19"/>
    <x v="0"/>
    <n v="12"/>
    <n v="75000000"/>
    <n v="817400891"/>
    <n v="2"/>
    <n v="1"/>
  </r>
  <r>
    <n v="94"/>
    <x v="309"/>
    <x v="305"/>
    <n v="104"/>
    <x v="3"/>
    <s v="Bryan Singer"/>
    <s v="20th Century Fox"/>
    <x v="19"/>
    <x v="0"/>
    <n v="12"/>
    <n v="75000000"/>
    <n v="296339527"/>
    <n v="0"/>
    <n v="0"/>
  </r>
  <r>
    <n v="95"/>
    <x v="310"/>
    <x v="306"/>
    <n v="134"/>
    <x v="3"/>
    <s v="Bryan Singer"/>
    <s v="20th Century Fox"/>
    <x v="19"/>
    <x v="0"/>
    <s v="12A"/>
    <n v="110000000"/>
    <n v="407711549"/>
    <n v="0"/>
    <n v="0"/>
  </r>
  <r>
    <n v="96"/>
    <x v="311"/>
    <x v="307"/>
    <n v="136"/>
    <x v="8"/>
    <s v="Michael Bay"/>
    <s v="Hollywood Pictures"/>
    <x v="19"/>
    <x v="0"/>
    <n v="15"/>
    <n v="75000000"/>
    <n v="335100000"/>
    <n v="1"/>
    <n v="0"/>
  </r>
  <r>
    <n v="97"/>
    <x v="312"/>
    <x v="308"/>
    <n v="121"/>
    <x v="8"/>
    <s v="Francis Lawrence"/>
    <s v="Village Roadshow Pictures"/>
    <x v="19"/>
    <x v="0"/>
    <n v="15"/>
    <n v="100000000"/>
    <n v="230884728"/>
    <n v="0"/>
    <n v="0"/>
  </r>
  <r>
    <n v="98"/>
    <x v="313"/>
    <x v="309"/>
    <n v="106"/>
    <x v="10"/>
    <s v="M. Night Shyamalan"/>
    <s v="Touchstone Pictures"/>
    <x v="19"/>
    <x v="0"/>
    <n v="12"/>
    <n v="75000000"/>
    <n v="248118121"/>
    <n v="0"/>
    <n v="0"/>
  </r>
  <r>
    <n v="99"/>
    <x v="314"/>
    <x v="310"/>
    <n v="108"/>
    <x v="2"/>
    <s v="Adam McKay"/>
    <s v="Apatow Productions"/>
    <x v="19"/>
    <x v="0"/>
    <s v="12A"/>
    <n v="72500000"/>
    <n v="162966177"/>
    <n v="0"/>
    <n v="0"/>
  </r>
  <r>
    <n v="100"/>
    <x v="315"/>
    <x v="311"/>
    <n v="87"/>
    <x v="0"/>
    <s v="David Silverman"/>
    <s v="Gracie Films"/>
    <x v="19"/>
    <x v="0"/>
    <s v="PG"/>
    <n v="72000000"/>
    <n v="527000000"/>
    <n v="0"/>
    <n v="0"/>
  </r>
  <r>
    <n v="101"/>
    <x v="316"/>
    <x v="312"/>
    <n v="177"/>
    <x v="19"/>
    <s v="Mel Gibson"/>
    <s v="Icon Productions"/>
    <x v="19"/>
    <x v="0"/>
    <n v="15"/>
    <n v="72000000"/>
    <n v="210409945"/>
    <n v="10"/>
    <n v="5"/>
  </r>
  <r>
    <n v="102"/>
    <x v="317"/>
    <x v="313"/>
    <n v="125"/>
    <x v="7"/>
    <s v="Sam Mendes"/>
    <s v="Universal Pictures"/>
    <x v="19"/>
    <x v="0"/>
    <n v="15"/>
    <n v="72000000"/>
    <n v="96889998"/>
    <n v="0"/>
    <n v="0"/>
  </r>
  <r>
    <n v="103"/>
    <x v="318"/>
    <x v="314"/>
    <n v="108"/>
    <x v="8"/>
    <s v="M. Night Shyamalan"/>
    <s v="Touchstone Pictures"/>
    <x v="19"/>
    <x v="0"/>
    <s v="12A"/>
    <n v="60000000"/>
    <n v="256697520"/>
    <n v="1"/>
    <n v="0"/>
  </r>
  <r>
    <n v="104"/>
    <x v="319"/>
    <x v="315"/>
    <n v="93"/>
    <x v="0"/>
    <s v="Chris Miller"/>
    <s v="Dreamworks"/>
    <x v="19"/>
    <x v="0"/>
    <s v="U"/>
    <n v="160000000"/>
    <n v="799000000"/>
    <n v="0"/>
    <n v="0"/>
  </r>
  <r>
    <n v="105"/>
    <x v="320"/>
    <x v="12"/>
    <n v="93"/>
    <x v="0"/>
    <s v="Andrew Adamson"/>
    <s v="Dreamworks"/>
    <x v="19"/>
    <x v="0"/>
    <s v="U"/>
    <n v="150000000"/>
    <n v="919838758"/>
    <n v="2"/>
    <n v="0"/>
  </r>
  <r>
    <n v="106"/>
    <x v="321"/>
    <x v="316"/>
    <n v="140"/>
    <x v="9"/>
    <s v="James Cameron"/>
    <s v="Lightstorm Entertainment"/>
    <x v="19"/>
    <x v="0"/>
    <n v="15"/>
    <n v="70000000"/>
    <n v="90000098"/>
    <n v="4"/>
    <n v="1"/>
  </r>
  <r>
    <n v="107"/>
    <x v="322"/>
    <x v="317"/>
    <n v="103"/>
    <x v="9"/>
    <s v="Jonathan Frakes"/>
    <s v="Paramount Pictures"/>
    <x v="19"/>
    <x v="0"/>
    <s v="PG"/>
    <n v="58000000"/>
    <n v="112587658"/>
    <n v="0"/>
    <n v="0"/>
  </r>
  <r>
    <n v="108"/>
    <x v="323"/>
    <x v="318"/>
    <n v="103"/>
    <x v="2"/>
    <s v="Robert Zemeckis"/>
    <s v="Touchstone Pictures"/>
    <x v="19"/>
    <x v="0"/>
    <s v="PG"/>
    <n v="70000000"/>
    <n v="329800000"/>
    <n v="6"/>
    <n v="4"/>
  </r>
  <r>
    <n v="109"/>
    <x v="324"/>
    <x v="319"/>
    <n v="105"/>
    <x v="14"/>
    <s v="Tim Burton"/>
    <s v="Mandalay Pictures"/>
    <x v="19"/>
    <x v="0"/>
    <n v="15"/>
    <n v="100000000"/>
    <n v="206071502"/>
    <n v="3"/>
    <n v="1"/>
  </r>
  <r>
    <n v="110"/>
    <x v="325"/>
    <x v="320"/>
    <n v="124"/>
    <x v="3"/>
    <s v="Rob Cohen"/>
    <s v="Revolution Studios"/>
    <x v="19"/>
    <x v="0"/>
    <n v="15"/>
    <n v="70000000"/>
    <n v="277448382"/>
    <n v="0"/>
    <n v="0"/>
  </r>
  <r>
    <n v="111"/>
    <x v="326"/>
    <x v="321"/>
    <n v="124"/>
    <x v="3"/>
    <s v="Renny Harlin"/>
    <s v="Silver Pictures"/>
    <x v="19"/>
    <x v="0"/>
    <n v="15"/>
    <n v="70000000"/>
    <n v="240031094"/>
    <n v="0"/>
    <n v="0"/>
  </r>
  <r>
    <n v="112"/>
    <x v="327"/>
    <x v="322"/>
    <n v="120"/>
    <x v="3"/>
    <s v="Renny Harlin"/>
    <s v="New Line Cinema"/>
    <x v="19"/>
    <x v="0"/>
    <n v="18"/>
    <n v="65000000"/>
    <n v="89456761"/>
    <n v="0"/>
    <n v="0"/>
  </r>
  <r>
    <n v="113"/>
    <x v="328"/>
    <x v="323"/>
    <n v="140"/>
    <x v="19"/>
    <s v="Ron Howard"/>
    <s v="Imagine Entertainment"/>
    <x v="19"/>
    <x v="0"/>
    <s v="PG"/>
    <n v="52000000"/>
    <n v="355237933"/>
    <n v="9"/>
    <n v="2"/>
  </r>
  <r>
    <n v="114"/>
    <x v="329"/>
    <x v="324"/>
    <n v="170"/>
    <x v="7"/>
    <s v="Steven Spielberg"/>
    <s v="Amblin Entertainment"/>
    <x v="19"/>
    <x v="0"/>
    <n v="15"/>
    <n v="70000000"/>
    <n v="481840909"/>
    <n v="11"/>
    <n v="5"/>
  </r>
  <r>
    <n v="115"/>
    <x v="330"/>
    <x v="325"/>
    <n v="139"/>
    <x v="8"/>
    <s v="David Fincher"/>
    <s v="Fox 2000 Pictures"/>
    <x v="19"/>
    <x v="0"/>
    <n v="18"/>
    <n v="63000000"/>
    <n v="100900000"/>
    <n v="1"/>
    <n v="0"/>
  </r>
  <r>
    <n v="116"/>
    <x v="331"/>
    <x v="326"/>
    <n v="136"/>
    <x v="9"/>
    <s v="Lilly (Andy) Wachowski"/>
    <s v="Village Roadshow Pictures"/>
    <x v="19"/>
    <x v="0"/>
    <n v="15"/>
    <n v="65000000"/>
    <n v="463500000"/>
    <n v="4"/>
    <n v="4"/>
  </r>
  <r>
    <n v="117"/>
    <x v="332"/>
    <x v="327"/>
    <n v="113"/>
    <x v="9"/>
    <s v="Paul Verhoeven"/>
    <s v="Carolco Pictures"/>
    <x v="19"/>
    <x v="0"/>
    <n v="18"/>
    <n v="60000000"/>
    <n v="261300000"/>
    <n v="2"/>
    <n v="1"/>
  </r>
  <r>
    <n v="118"/>
    <x v="333"/>
    <x v="328"/>
    <n v="113"/>
    <x v="3"/>
    <s v="Renny Harlin"/>
    <s v="Carolco Pictures"/>
    <x v="19"/>
    <x v="0"/>
    <n v="15"/>
    <n v="65000000"/>
    <n v="255325036"/>
    <n v="3"/>
    <n v="0"/>
  </r>
  <r>
    <n v="119"/>
    <x v="334"/>
    <x v="329"/>
    <n v="141"/>
    <x v="8"/>
    <s v="Phillip Noyce"/>
    <s v="Paramount Pictures"/>
    <x v="19"/>
    <x v="0"/>
    <n v="12"/>
    <n v="62000000"/>
    <n v="215887717"/>
    <n v="2"/>
    <n v="0"/>
  </r>
  <r>
    <n v="121"/>
    <x v="335"/>
    <x v="310"/>
    <n v="122"/>
    <x v="4"/>
    <s v="Brian De Palma"/>
    <s v="Millennium Films"/>
    <x v="19"/>
    <x v="0"/>
    <n v="15"/>
    <n v="50000000"/>
    <n v="49332692"/>
    <n v="1"/>
    <n v="0"/>
  </r>
  <r>
    <n v="122"/>
    <x v="336"/>
    <x v="330"/>
    <n v="103"/>
    <x v="10"/>
    <s v="Peter Weir"/>
    <s v="Scott Rudin Productions"/>
    <x v="19"/>
    <x v="0"/>
    <s v="PG"/>
    <n v="60000000"/>
    <n v="264118201"/>
    <n v="3"/>
    <n v="0"/>
  </r>
  <r>
    <n v="123"/>
    <x v="337"/>
    <x v="331"/>
    <n v="96"/>
    <x v="9"/>
    <s v="Paul Anderson"/>
    <s v="Paramount Pictures"/>
    <x v="19"/>
    <x v="0"/>
    <n v="18"/>
    <n v="60000000"/>
    <n v="47073851"/>
    <n v="0"/>
    <n v="0"/>
  </r>
  <r>
    <n v="124"/>
    <x v="338"/>
    <x v="332"/>
    <n v="118"/>
    <x v="8"/>
    <s v="Doug Liman"/>
    <s v="The Kennedy Marshall Company"/>
    <x v="19"/>
    <x v="0"/>
    <s v="12A"/>
    <n v="60000000"/>
    <n v="214034224"/>
    <n v="0"/>
    <n v="0"/>
  </r>
  <r>
    <n v="125"/>
    <x v="339"/>
    <x v="333"/>
    <n v="122"/>
    <x v="3"/>
    <s v="Guillermo del Toro"/>
    <s v="Revolution Studios"/>
    <x v="19"/>
    <x v="0"/>
    <s v="12A"/>
    <n v="66000000"/>
    <n v="99318987"/>
    <n v="0"/>
    <n v="0"/>
  </r>
  <r>
    <n v="126"/>
    <x v="340"/>
    <x v="334"/>
    <n v="101"/>
    <x v="2"/>
    <s v="Todd Phillips"/>
    <s v="Weed Road Pictures"/>
    <x v="19"/>
    <x v="0"/>
    <n v="15"/>
    <n v="60000000"/>
    <n v="170268750"/>
    <n v="0"/>
    <n v="0"/>
  </r>
  <r>
    <n v="127"/>
    <x v="341"/>
    <x v="335"/>
    <n v="100"/>
    <x v="2"/>
    <s v="Joel Coen"/>
    <s v="Imagine Entertainment"/>
    <x v="19"/>
    <x v="0"/>
    <s v="12A"/>
    <n v="60000000"/>
    <n v="120217409"/>
    <n v="0"/>
    <n v="0"/>
  </r>
  <r>
    <n v="128"/>
    <x v="342"/>
    <x v="336"/>
    <n v="117"/>
    <x v="1"/>
    <s v="Zack Snyder"/>
    <s v="Legendary Pictures"/>
    <x v="19"/>
    <x v="0"/>
    <n v="15"/>
    <n v="65000000"/>
    <n v="456000000"/>
    <n v="0"/>
    <n v="0"/>
  </r>
  <r>
    <n v="129"/>
    <x v="343"/>
    <x v="337"/>
    <n v="116"/>
    <x v="9"/>
    <s v="Stuart Baird"/>
    <s v="Paramount Pictures"/>
    <x v="19"/>
    <x v="0"/>
    <s v="12A"/>
    <n v="60000000"/>
    <n v="67312826"/>
    <n v="0"/>
    <n v="0"/>
  </r>
  <r>
    <n v="130"/>
    <x v="344"/>
    <x v="338"/>
    <n v="143"/>
    <x v="1"/>
    <s v="Richard Donner"/>
    <s v="Dovemead"/>
    <x v="19"/>
    <x v="0"/>
    <s v="PG"/>
    <n v="55000000"/>
    <n v="300218018"/>
    <n v="3"/>
    <n v="0"/>
  </r>
  <r>
    <n v="131"/>
    <x v="345"/>
    <x v="339"/>
    <n v="116"/>
    <x v="8"/>
    <s v="Tony Scott"/>
    <s v="Hollywood Pictures"/>
    <x v="19"/>
    <x v="0"/>
    <n v="15"/>
    <n v="53000000"/>
    <n v="157387195"/>
    <n v="3"/>
    <n v="0"/>
  </r>
  <r>
    <n v="132"/>
    <x v="346"/>
    <x v="340"/>
    <n v="126"/>
    <x v="8"/>
    <s v="Tony Scott"/>
    <s v="Touchstone Pictures"/>
    <x v="19"/>
    <x v="0"/>
    <s v="12A"/>
    <n v="75000000"/>
    <n v="180557550"/>
    <n v="0"/>
    <n v="0"/>
  </r>
  <r>
    <n v="133"/>
    <x v="347"/>
    <x v="341"/>
    <n v="146"/>
    <x v="8"/>
    <s v="Tony Scott"/>
    <s v="Regency Enterprises"/>
    <x v="19"/>
    <x v="0"/>
    <n v="18"/>
    <n v="70000000"/>
    <n v="130293714"/>
    <n v="0"/>
    <n v="0"/>
  </r>
  <r>
    <n v="134"/>
    <x v="348"/>
    <x v="342"/>
    <n v="132"/>
    <x v="8"/>
    <s v="Tony Scott"/>
    <s v="Touchstone Pictures"/>
    <x v="19"/>
    <x v="0"/>
    <n v="15"/>
    <n v="90000000"/>
    <n v="250649836"/>
    <n v="0"/>
    <n v="0"/>
  </r>
  <r>
    <n v="135"/>
    <x v="349"/>
    <x v="343"/>
    <n v="111"/>
    <x v="5"/>
    <s v="Quentin Tarantino"/>
    <s v="A Band Apart"/>
    <x v="19"/>
    <x v="0"/>
    <n v="18"/>
    <n v="30000000"/>
    <n v="180900000"/>
    <n v="0"/>
    <n v="0"/>
  </r>
  <r>
    <n v="136"/>
    <x v="350"/>
    <x v="344"/>
    <n v="115"/>
    <x v="9"/>
    <s v="David Fincher"/>
    <s v="Brandywine Productions"/>
    <x v="19"/>
    <x v="0"/>
    <n v="18"/>
    <n v="55000000"/>
    <n v="159800000"/>
    <n v="1"/>
    <n v="0"/>
  </r>
  <r>
    <n v="137"/>
    <x v="351"/>
    <x v="345"/>
    <n v="110"/>
    <x v="5"/>
    <s v="Tom Dey"/>
    <s v="Touchstone Pictures"/>
    <x v="19"/>
    <x v="0"/>
    <n v="12"/>
    <n v="55000000"/>
    <n v="99274467"/>
    <n v="0"/>
    <n v="0"/>
  </r>
  <r>
    <n v="138"/>
    <x v="352"/>
    <x v="346"/>
    <n v="136"/>
    <x v="5"/>
    <s v="Quentin Tarantino"/>
    <s v="A Band Apart"/>
    <x v="19"/>
    <x v="0"/>
    <n v="18"/>
    <n v="30000000"/>
    <n v="152159461"/>
    <n v="0"/>
    <n v="0"/>
  </r>
  <r>
    <n v="139"/>
    <x v="353"/>
    <x v="347"/>
    <n v="116"/>
    <x v="3"/>
    <s v="Guillermo del Toro"/>
    <s v="New Line Cinema"/>
    <x v="19"/>
    <x v="0"/>
    <n v="18"/>
    <n v="50000000"/>
    <n v="155010032"/>
    <n v="0"/>
    <n v="0"/>
  </r>
  <r>
    <n v="140"/>
    <x v="354"/>
    <x v="348"/>
    <n v="132"/>
    <x v="7"/>
    <s v="Clint Eastwood"/>
    <s v="Paramount Pictures"/>
    <x v="19"/>
    <x v="0"/>
    <n v="15"/>
    <n v="55000000"/>
    <n v="65900249"/>
    <n v="2"/>
    <n v="0"/>
  </r>
  <r>
    <n v="141"/>
    <x v="355"/>
    <x v="114"/>
    <n v="178"/>
    <x v="4"/>
    <s v="Martin Scorsese"/>
    <s v="Universal Pictures"/>
    <x v="19"/>
    <x v="0"/>
    <n v="18"/>
    <n v="50000000"/>
    <n v="116112375"/>
    <n v="1"/>
    <n v="0"/>
  </r>
  <r>
    <n v="142"/>
    <x v="356"/>
    <x v="349"/>
    <n v="155"/>
    <x v="1"/>
    <s v="Kevin Reynolds"/>
    <s v="Morgan Creek Productions"/>
    <x v="19"/>
    <x v="0"/>
    <s v="PG"/>
    <n v="48000000"/>
    <n v="390493908"/>
    <n v="1"/>
    <n v="0"/>
  </r>
  <r>
    <n v="143"/>
    <x v="357"/>
    <x v="350"/>
    <n v="90"/>
    <x v="0"/>
    <s v="Andrew Adamson"/>
    <s v="Pacific Data Images"/>
    <x v="19"/>
    <x v="0"/>
    <s v="U"/>
    <n v="60000000"/>
    <n v="484409218"/>
    <n v="2"/>
    <n v="1"/>
  </r>
  <r>
    <n v="144"/>
    <x v="358"/>
    <x v="351"/>
    <n v="114"/>
    <x v="5"/>
    <s v="David Dobkin"/>
    <s v="Touchstone Pictures"/>
    <x v="19"/>
    <x v="0"/>
    <s v="12A"/>
    <n v="50000000"/>
    <n v="88323487"/>
    <n v="0"/>
    <n v="0"/>
  </r>
  <r>
    <n v="145"/>
    <x v="359"/>
    <x v="352"/>
    <n v="127"/>
    <x v="1"/>
    <s v="Steven Spielberg"/>
    <s v="Lucasfilm"/>
    <x v="19"/>
    <x v="0"/>
    <s v="PG"/>
    <n v="48000000"/>
    <n v="474200000"/>
    <n v="3"/>
    <n v="1"/>
  </r>
  <r>
    <n v="146"/>
    <x v="360"/>
    <x v="353"/>
    <n v="111"/>
    <x v="9"/>
    <s v="Jonathan Frakes"/>
    <s v="Paramount Pictures"/>
    <x v="19"/>
    <x v="0"/>
    <n v="12"/>
    <n v="45000000"/>
    <n v="146027888"/>
    <n v="1"/>
    <n v="0"/>
  </r>
  <r>
    <n v="147"/>
    <x v="361"/>
    <x v="354"/>
    <n v="120"/>
    <x v="6"/>
    <s v="Stephen Norrington"/>
    <s v="New Line Cinema"/>
    <x v="19"/>
    <x v="0"/>
    <n v="18"/>
    <n v="40000000"/>
    <n v="131183530"/>
    <n v="0"/>
    <n v="0"/>
  </r>
  <r>
    <n v="148"/>
    <x v="362"/>
    <x v="355"/>
    <n v="117"/>
    <x v="8"/>
    <s v="Phillip Noyce"/>
    <s v="Paramount Pictures"/>
    <x v="19"/>
    <x v="0"/>
    <n v="15"/>
    <n v="45000000"/>
    <n v="178051587"/>
    <n v="0"/>
    <n v="0"/>
  </r>
  <r>
    <n v="149"/>
    <x v="363"/>
    <x v="356"/>
    <n v="130"/>
    <x v="8"/>
    <s v="Andrew Davis"/>
    <s v="Warner Bros. Pictures"/>
    <x v="19"/>
    <x v="0"/>
    <n v="12"/>
    <n v="44000000"/>
    <n v="368875760"/>
    <n v="7"/>
    <n v="1"/>
  </r>
  <r>
    <n v="150"/>
    <x v="364"/>
    <x v="348"/>
    <n v="130"/>
    <x v="15"/>
    <s v="Christopher Nolan"/>
    <s v="Touchstone Pictures"/>
    <x v="19"/>
    <x v="0"/>
    <s v="12A"/>
    <n v="40000000"/>
    <n v="109700000"/>
    <n v="2"/>
    <n v="0"/>
  </r>
  <r>
    <n v="151"/>
    <x v="365"/>
    <x v="357"/>
    <n v="112"/>
    <x v="1"/>
    <s v="Michael Mann"/>
    <s v="Morgan Creek Productions"/>
    <x v="19"/>
    <x v="0"/>
    <n v="12"/>
    <n v="40000000"/>
    <n v="75505856"/>
    <n v="1"/>
    <n v="1"/>
  </r>
  <r>
    <n v="152"/>
    <x v="366"/>
    <x v="283"/>
    <n v="138"/>
    <x v="1"/>
    <s v="Mel Gibson"/>
    <s v="Touchstone Pictures"/>
    <x v="19"/>
    <x v="12"/>
    <n v="18"/>
    <n v="40000000"/>
    <n v="120600000"/>
    <n v="3"/>
    <n v="0"/>
  </r>
  <r>
    <n v="153"/>
    <x v="367"/>
    <x v="246"/>
    <n v="119"/>
    <x v="2"/>
    <s v="David Dobkin"/>
    <s v="Tapestry Films"/>
    <x v="19"/>
    <x v="0"/>
    <n v="15"/>
    <n v="40000000"/>
    <n v="285176741"/>
    <n v="0"/>
    <n v="0"/>
  </r>
  <r>
    <n v="154"/>
    <x v="368"/>
    <x v="358"/>
    <n v="118"/>
    <x v="9"/>
    <s v="Robert Zemeckis"/>
    <s v="Amblin Entertainment"/>
    <x v="19"/>
    <x v="0"/>
    <s v="PG"/>
    <n v="40000000"/>
    <n v="244500000"/>
    <n v="0"/>
    <n v="0"/>
  </r>
  <r>
    <n v="155"/>
    <x v="369"/>
    <x v="359"/>
    <n v="108"/>
    <x v="9"/>
    <s v="Robert Zemeckis"/>
    <s v="Amblin Entertainment"/>
    <x v="19"/>
    <x v="0"/>
    <s v="PG"/>
    <n v="40000000"/>
    <n v="331900000"/>
    <n v="1"/>
    <n v="0"/>
  </r>
  <r>
    <n v="158"/>
    <x v="370"/>
    <x v="360"/>
    <n v="124"/>
    <x v="4"/>
    <s v="Frank Miller"/>
    <s v="Dimension Films"/>
    <x v="19"/>
    <x v="0"/>
    <n v="18"/>
    <n v="40000000"/>
    <n v="158800000"/>
    <n v="0"/>
    <n v="0"/>
  </r>
  <r>
    <n v="159"/>
    <x v="371"/>
    <x v="361"/>
    <n v="119"/>
    <x v="9"/>
    <s v="Joss Whedon"/>
    <s v="Universal Pictures"/>
    <x v="19"/>
    <x v="0"/>
    <n v="15"/>
    <n v="39000000"/>
    <n v="38869464"/>
    <n v="0"/>
    <n v="0"/>
  </r>
  <r>
    <n v="160"/>
    <x v="372"/>
    <x v="362"/>
    <n v="118"/>
    <x v="9"/>
    <s v="David Carson"/>
    <s v="Paramount Pictures"/>
    <x v="19"/>
    <x v="0"/>
    <s v="PG"/>
    <n v="35000000"/>
    <n v="118071125"/>
    <n v="0"/>
    <n v="0"/>
  </r>
  <r>
    <n v="161"/>
    <x v="373"/>
    <x v="363"/>
    <n v="134"/>
    <x v="8"/>
    <s v="Irvin Kershner"/>
    <s v="Taliafilm"/>
    <x v="19"/>
    <x v="0"/>
    <s v="PG"/>
    <n v="36000000"/>
    <n v="160000000"/>
    <n v="0"/>
    <n v="0"/>
  </r>
  <r>
    <n v="162"/>
    <x v="374"/>
    <x v="364"/>
    <n v="132"/>
    <x v="9"/>
    <s v="Robert Wise"/>
    <s v="Paramount Pictures"/>
    <x v="19"/>
    <x v="0"/>
    <s v="U"/>
    <n v="46000000"/>
    <n v="139000000"/>
    <n v="3"/>
    <n v="0"/>
  </r>
  <r>
    <n v="163"/>
    <x v="375"/>
    <x v="365"/>
    <n v="97"/>
    <x v="3"/>
    <s v="Brett Ratner"/>
    <s v="Roger Birnbaum Productions"/>
    <x v="19"/>
    <x v="0"/>
    <n v="15"/>
    <n v="33000000"/>
    <n v="244386864"/>
    <n v="0"/>
    <n v="0"/>
  </r>
  <r>
    <n v="164"/>
    <x v="376"/>
    <x v="366"/>
    <n v="118"/>
    <x v="3"/>
    <s v="Richard Donner"/>
    <s v="Silver Pictures"/>
    <x v="19"/>
    <x v="0"/>
    <n v="15"/>
    <n v="35000000"/>
    <n v="321731527"/>
    <n v="0"/>
    <n v="0"/>
  </r>
  <r>
    <n v="165"/>
    <x v="377"/>
    <x v="367"/>
    <n v="132"/>
    <x v="9"/>
    <s v="Richard Marquand"/>
    <s v="Lucasfilm"/>
    <x v="19"/>
    <x v="0"/>
    <s v="U"/>
    <n v="42700000"/>
    <n v="475100000"/>
    <n v="4"/>
    <n v="0"/>
  </r>
  <r>
    <n v="166"/>
    <x v="378"/>
    <x v="368"/>
    <n v="96"/>
    <x v="10"/>
    <s v="David Cronenberg"/>
    <s v="New Line Cinema"/>
    <x v="19"/>
    <x v="0"/>
    <n v="18"/>
    <n v="32000000"/>
    <n v="60740827"/>
    <n v="2"/>
    <n v="0"/>
  </r>
  <r>
    <n v="168"/>
    <x v="379"/>
    <x v="369"/>
    <n v="105"/>
    <x v="4"/>
    <s v="Barry Sonnenfeld"/>
    <s v="Jersey Films"/>
    <x v="19"/>
    <x v="0"/>
    <n v="15"/>
    <n v="30250000"/>
    <n v="115101622"/>
    <n v="0"/>
    <n v="0"/>
  </r>
  <r>
    <n v="169"/>
    <x v="380"/>
    <x v="370"/>
    <n v="159"/>
    <x v="11"/>
    <s v="Andrew Dominik"/>
    <s v="Virtual Studios"/>
    <x v="19"/>
    <x v="0"/>
    <n v="15"/>
    <n v="30000000"/>
    <n v="15000000"/>
    <n v="2"/>
    <n v="0"/>
  </r>
  <r>
    <n v="170"/>
    <x v="381"/>
    <x v="371"/>
    <n v="132"/>
    <x v="18"/>
    <s v="Clint Eastwood"/>
    <s v="Lakeshore Entertainment"/>
    <x v="19"/>
    <x v="0"/>
    <s v="12A"/>
    <n v="30000000"/>
    <n v="216800000"/>
    <n v="7"/>
    <n v="4"/>
  </r>
  <r>
    <n v="171"/>
    <x v="382"/>
    <x v="372"/>
    <n v="127"/>
    <x v="8"/>
    <s v="David Fincher"/>
    <s v="New Line Cinema"/>
    <x v="19"/>
    <x v="0"/>
    <n v="18"/>
    <n v="33000000"/>
    <n v="327300000"/>
    <n v="1"/>
    <n v="0"/>
  </r>
  <r>
    <n v="172"/>
    <x v="383"/>
    <x v="373"/>
    <n v="134"/>
    <x v="8"/>
    <s v="John McTiernan"/>
    <s v="Mace Neufeld Productions"/>
    <x v="19"/>
    <x v="0"/>
    <s v="PG"/>
    <n v="30000000"/>
    <n v="200512643"/>
    <n v="3"/>
    <n v="1"/>
  </r>
  <r>
    <n v="173"/>
    <x v="384"/>
    <x v="374"/>
    <n v="107"/>
    <x v="2"/>
    <s v="Ivan Reitman"/>
    <s v="Black Rhino"/>
    <x v="19"/>
    <x v="0"/>
    <s v="PG"/>
    <n v="30000000"/>
    <n v="295200000"/>
    <n v="2"/>
    <n v="0"/>
  </r>
  <r>
    <n v="174"/>
    <x v="385"/>
    <x v="375"/>
    <n v="106"/>
    <x v="9"/>
    <s v="William Shatner"/>
    <s v="Paramount Pictures"/>
    <x v="19"/>
    <x v="0"/>
    <s v="PG"/>
    <n v="33000000"/>
    <n v="63000000"/>
    <n v="0"/>
    <n v="0"/>
  </r>
  <r>
    <n v="175"/>
    <x v="386"/>
    <x v="376"/>
    <n v="118"/>
    <x v="1"/>
    <s v="Steven Spielberg"/>
    <s v="Lucasfilm"/>
    <x v="19"/>
    <x v="0"/>
    <n v="12"/>
    <n v="28170000"/>
    <n v="333107271"/>
    <n v="2"/>
    <n v="1"/>
  </r>
  <r>
    <n v="176"/>
    <x v="387"/>
    <x v="377"/>
    <n v="116"/>
    <x v="9"/>
    <s v="Ridley Scott"/>
    <s v="The Ladd Company"/>
    <x v="19"/>
    <x v="0"/>
    <n v="15"/>
    <n v="28000000"/>
    <n v="33800000"/>
    <n v="2"/>
    <n v="0"/>
  </r>
  <r>
    <n v="177"/>
    <x v="388"/>
    <x v="378"/>
    <n v="132"/>
    <x v="3"/>
    <s v="John McTiernan"/>
    <s v="Silver Pictures"/>
    <x v="19"/>
    <x v="0"/>
    <n v="15"/>
    <n v="28000000"/>
    <n v="140700000"/>
    <n v="4"/>
    <n v="0"/>
  </r>
  <r>
    <n v="179"/>
    <x v="389"/>
    <x v="379"/>
    <n v="131"/>
    <x v="8"/>
    <s v="John Glen"/>
    <s v="Eon Productions"/>
    <x v="19"/>
    <x v="0"/>
    <s v="PG"/>
    <n v="27500000"/>
    <n v="183700000"/>
    <n v="0"/>
    <n v="0"/>
  </r>
  <r>
    <n v="180"/>
    <x v="390"/>
    <x v="380"/>
    <n v="113"/>
    <x v="9"/>
    <s v="Nicholas Meyer"/>
    <s v="Paramount Pictures"/>
    <x v="19"/>
    <x v="0"/>
    <s v="PG"/>
    <n v="27000000"/>
    <n v="96888996"/>
    <n v="2"/>
    <n v="0"/>
  </r>
  <r>
    <n v="181"/>
    <x v="391"/>
    <x v="381"/>
    <n v="101"/>
    <x v="9"/>
    <s v="Paul Michael Glaser"/>
    <s v="Republic Pictures"/>
    <x v="19"/>
    <x v="0"/>
    <n v="18"/>
    <n v="27000000"/>
    <n v="38122105"/>
    <n v="0"/>
    <n v="0"/>
  </r>
  <r>
    <n v="182"/>
    <x v="392"/>
    <x v="382"/>
    <n v="139"/>
    <x v="11"/>
    <s v="Kevin Costner"/>
    <s v="Touchstone Pictures"/>
    <x v="19"/>
    <x v="0"/>
    <s v="12A"/>
    <n v="22000000"/>
    <n v="68296293"/>
    <n v="0"/>
    <n v="0"/>
  </r>
  <r>
    <n v="183"/>
    <x v="393"/>
    <x v="383"/>
    <n v="111"/>
    <x v="2"/>
    <s v="Ivan Reitman"/>
    <s v="Imagine Entertainment"/>
    <x v="19"/>
    <x v="0"/>
    <n v="15"/>
    <n v="15000000"/>
    <n v="201957688"/>
    <n v="0"/>
    <n v="0"/>
  </r>
  <r>
    <n v="184"/>
    <x v="394"/>
    <x v="384"/>
    <n v="107"/>
    <x v="2"/>
    <s v="Joel Coen"/>
    <s v="Touchstone Pictures"/>
    <x v="19"/>
    <x v="0"/>
    <n v="12"/>
    <n v="26000000"/>
    <n v="71900000"/>
    <n v="2"/>
    <n v="0"/>
  </r>
  <r>
    <n v="185"/>
    <x v="395"/>
    <x v="385"/>
    <n v="146"/>
    <x v="4"/>
    <s v="Martin Scorsese"/>
    <s v="Warner Bros. Pictures"/>
    <x v="19"/>
    <x v="0"/>
    <n v="18"/>
    <n v="25000000"/>
    <n v="46800000"/>
    <n v="6"/>
    <n v="1"/>
  </r>
  <r>
    <n v="186"/>
    <x v="396"/>
    <x v="386"/>
    <n v="126"/>
    <x v="10"/>
    <s v="Mel Gibson"/>
    <s v="Icon Productions"/>
    <x v="19"/>
    <x v="13"/>
    <n v="18"/>
    <n v="30000000"/>
    <n v="611900000"/>
    <n v="3"/>
    <n v="0"/>
  </r>
  <r>
    <n v="187"/>
    <x v="397"/>
    <x v="387"/>
    <n v="119"/>
    <x v="4"/>
    <s v="Brian De Palma"/>
    <s v="Paramount Pictures"/>
    <x v="19"/>
    <x v="0"/>
    <n v="15"/>
    <n v="25000000"/>
    <n v="106240936"/>
    <n v="4"/>
    <n v="1"/>
  </r>
  <r>
    <n v="188"/>
    <x v="398"/>
    <x v="388"/>
    <n v="197"/>
    <x v="19"/>
    <s v="Steven Spielberg"/>
    <s v="Amblin Entertainment"/>
    <x v="19"/>
    <x v="0"/>
    <n v="15"/>
    <n v="22000000"/>
    <n v="321200000"/>
    <n v="12"/>
    <n v="7"/>
  </r>
  <r>
    <n v="189"/>
    <x v="399"/>
    <x v="389"/>
    <n v="95"/>
    <x v="2"/>
    <s v="Adam McKay"/>
    <s v="Apatow Productions"/>
    <x v="19"/>
    <x v="0"/>
    <s v="12A"/>
    <n v="26000000"/>
    <n v="90600000"/>
    <n v="0"/>
    <n v="0"/>
  </r>
  <r>
    <n v="190"/>
    <x v="400"/>
    <x v="390"/>
    <n v="170"/>
    <x v="4"/>
    <s v="Brian De Palma"/>
    <s v="Universal Pictures"/>
    <x v="19"/>
    <x v="0"/>
    <n v="18"/>
    <n v="25000000"/>
    <n v="65900000"/>
    <n v="0"/>
    <n v="0"/>
  </r>
  <r>
    <n v="191"/>
    <x v="401"/>
    <x v="391"/>
    <n v="122"/>
    <x v="9"/>
    <s v="Leonard Nimoy"/>
    <s v="Paramount Pictures"/>
    <x v="19"/>
    <x v="0"/>
    <s v="PG"/>
    <n v="21000000"/>
    <n v="133000000"/>
    <n v="4"/>
    <n v="0"/>
  </r>
  <r>
    <n v="192"/>
    <x v="74"/>
    <x v="392"/>
    <n v="134"/>
    <x v="1"/>
    <s v="John Guillermin"/>
    <s v="Dino De Laurentiis Corporation"/>
    <x v="19"/>
    <x v="0"/>
    <s v="PG"/>
    <n v="24000000"/>
    <n v="90614445"/>
    <n v="2"/>
    <n v="0"/>
  </r>
  <r>
    <n v="193"/>
    <x v="402"/>
    <x v="393"/>
    <n v="124"/>
    <x v="9"/>
    <s v="Irvin Kershner"/>
    <s v="Lucasfilm"/>
    <x v="19"/>
    <x v="0"/>
    <s v="U"/>
    <n v="33000000"/>
    <n v="538400000"/>
    <n v="4"/>
    <n v="2"/>
  </r>
  <r>
    <n v="195"/>
    <x v="403"/>
    <x v="394"/>
    <n v="107"/>
    <x v="9"/>
    <s v="Kurt Wimmer"/>
    <s v="Dimension Films"/>
    <x v="19"/>
    <x v="0"/>
    <n v="15"/>
    <n v="20000000"/>
    <n v="5345000"/>
    <n v="0"/>
    <n v="0"/>
  </r>
  <r>
    <n v="196"/>
    <x v="404"/>
    <x v="395"/>
    <n v="108"/>
    <x v="14"/>
    <s v="Robert Rodriguez"/>
    <s v="Dimension Films"/>
    <x v="19"/>
    <x v="0"/>
    <n v="18"/>
    <n v="20000000"/>
    <n v="25728961"/>
    <n v="0"/>
    <n v="0"/>
  </r>
  <r>
    <n v="197"/>
    <x v="405"/>
    <x v="171"/>
    <n v="115"/>
    <x v="1"/>
    <s v="Steven Spielberg"/>
    <s v="Lucasfilm"/>
    <x v="19"/>
    <x v="0"/>
    <s v="PG"/>
    <n v="18000000"/>
    <n v="389900000"/>
    <n v="9"/>
    <n v="5"/>
  </r>
  <r>
    <n v="199"/>
    <x v="406"/>
    <x v="73"/>
    <n v="116"/>
    <x v="9"/>
    <s v="Robert Zemeckis"/>
    <s v="Amblin Entertainment"/>
    <x v="19"/>
    <x v="0"/>
    <s v="PG"/>
    <n v="19000000"/>
    <n v="392000000"/>
    <n v="4"/>
    <n v="1"/>
  </r>
  <r>
    <n v="200"/>
    <x v="407"/>
    <x v="396"/>
    <n v="180"/>
    <x v="11"/>
    <s v="Kevin Costner"/>
    <s v="Tig Productions"/>
    <x v="19"/>
    <x v="0"/>
    <n v="15"/>
    <n v="2000000"/>
    <n v="424208848"/>
    <n v="12"/>
    <n v="7"/>
  </r>
  <r>
    <n v="201"/>
    <x v="408"/>
    <x v="397"/>
    <n v="105"/>
    <x v="9"/>
    <s v="Leonard Nimoy"/>
    <s v="Paramount Pictures"/>
    <x v="19"/>
    <x v="0"/>
    <s v="PG"/>
    <n v="16000000"/>
    <n v="87000000"/>
    <n v="0"/>
    <n v="0"/>
  </r>
  <r>
    <n v="203"/>
    <x v="409"/>
    <x v="398"/>
    <n v="129"/>
    <x v="18"/>
    <s v="Martin Scorsese"/>
    <s v="United Artists"/>
    <x v="19"/>
    <x v="0"/>
    <n v="18"/>
    <n v="18000000"/>
    <n v="23400000"/>
    <n v="8"/>
    <n v="2"/>
  </r>
  <r>
    <n v="204"/>
    <x v="410"/>
    <x v="399"/>
    <n v="137"/>
    <x v="9"/>
    <s v="James Cameron"/>
    <s v="Brandywine Productions"/>
    <x v="19"/>
    <x v="0"/>
    <n v="18"/>
    <n v="18000000"/>
    <n v="183300000"/>
    <n v="7"/>
    <n v="2"/>
  </r>
  <r>
    <n v="208"/>
    <x v="411"/>
    <x v="400"/>
    <n v="105"/>
    <x v="11"/>
    <s v="Clint Eastwood"/>
    <s v="The Malpaso Company"/>
    <x v="19"/>
    <x v="0"/>
    <n v="18"/>
    <n v="5500000"/>
    <n v="15700000"/>
    <n v="0"/>
    <n v="0"/>
  </r>
  <r>
    <n v="209"/>
    <x v="412"/>
    <x v="401"/>
    <n v="120"/>
    <x v="8"/>
    <s v="Michael Mann"/>
    <s v="Paramount Pictures"/>
    <x v="19"/>
    <x v="0"/>
    <n v="15"/>
    <n v="65000000"/>
    <n v="217800000"/>
    <n v="2"/>
    <n v="0"/>
  </r>
  <r>
    <n v="210"/>
    <x v="413"/>
    <x v="402"/>
    <n v="122"/>
    <x v="10"/>
    <s v="Sam Mendes"/>
    <s v="Jinks/Cohen Company"/>
    <x v="19"/>
    <x v="0"/>
    <n v="18"/>
    <n v="15000000"/>
    <n v="356296601"/>
    <n v="8"/>
    <n v="5"/>
  </r>
  <r>
    <n v="211"/>
    <x v="414"/>
    <x v="403"/>
    <n v="110"/>
    <x v="3"/>
    <s v="Richard Donner"/>
    <s v="Silver Pictures"/>
    <x v="19"/>
    <x v="0"/>
    <n v="18"/>
    <n v="15000000"/>
    <n v="120207127"/>
    <n v="1"/>
    <n v="0"/>
  </r>
  <r>
    <n v="212"/>
    <x v="415"/>
    <x v="404"/>
    <n v="114"/>
    <x v="3"/>
    <s v="Richard Donner"/>
    <s v="Silver Pictures"/>
    <x v="19"/>
    <x v="0"/>
    <n v="15"/>
    <n v="25000000"/>
    <n v="227853986"/>
    <n v="1"/>
    <n v="0"/>
  </r>
  <r>
    <n v="214"/>
    <x v="416"/>
    <x v="405"/>
    <n v="134"/>
    <x v="10"/>
    <s v="Ang Lee"/>
    <s v="River Road Entertainment"/>
    <x v="19"/>
    <x v="0"/>
    <n v="15"/>
    <n v="14000000"/>
    <n v="178000000"/>
    <n v="8"/>
    <n v="3"/>
  </r>
  <r>
    <n v="215"/>
    <x v="417"/>
    <x v="406"/>
    <n v="138"/>
    <x v="3"/>
    <s v="Ang Lee"/>
    <s v="Universal Pictures"/>
    <x v="19"/>
    <x v="0"/>
    <s v="12A"/>
    <n v="137000000"/>
    <n v="245300000"/>
    <n v="0"/>
    <n v="0"/>
  </r>
  <r>
    <n v="217"/>
    <x v="418"/>
    <x v="97"/>
    <n v="138"/>
    <x v="11"/>
    <s v="Ang Lee"/>
    <s v="Universal Pictures"/>
    <x v="19"/>
    <x v="0"/>
    <n v="15"/>
    <n v="38000000"/>
    <n v="635096"/>
    <n v="0"/>
    <n v="0"/>
  </r>
  <r>
    <n v="218"/>
    <x v="419"/>
    <x v="407"/>
    <n v="105"/>
    <x v="2"/>
    <s v="Ivan Reitman"/>
    <s v="Universal Pictures"/>
    <x v="19"/>
    <x v="0"/>
    <s v="PG"/>
    <n v="18000000"/>
    <n v="216614388"/>
    <n v="0"/>
    <n v="0"/>
  </r>
  <r>
    <n v="224"/>
    <x v="420"/>
    <x v="408"/>
    <n v="141"/>
    <x v="7"/>
    <s v="Clint Eastwood"/>
    <s v="Dreamworks"/>
    <x v="19"/>
    <x v="8"/>
    <n v="15"/>
    <n v="19000000"/>
    <n v="68673228"/>
    <n v="4"/>
    <n v="1"/>
  </r>
  <r>
    <n v="225"/>
    <x v="421"/>
    <x v="409"/>
    <n v="113"/>
    <x v="9"/>
    <s v="Nicholas Meyer"/>
    <s v="Paramount Pictures"/>
    <x v="19"/>
    <x v="0"/>
    <n v="12"/>
    <n v="11200000"/>
    <n v="97000000"/>
    <n v="0"/>
    <n v="0"/>
  </r>
  <r>
    <n v="229"/>
    <x v="422"/>
    <x v="410"/>
    <n v="121"/>
    <x v="9"/>
    <s v="George Lucas"/>
    <s v="Lucasfilm"/>
    <x v="19"/>
    <x v="0"/>
    <s v="U"/>
    <n v="11000000"/>
    <n v="775400000"/>
    <n v="11"/>
    <n v="7"/>
  </r>
  <r>
    <n v="230"/>
    <x v="423"/>
    <x v="411"/>
    <n v="115"/>
    <x v="9"/>
    <s v="Steven Spielberg"/>
    <s v="Amblin Entertainment"/>
    <x v="19"/>
    <x v="0"/>
    <s v="U"/>
    <n v="10500000"/>
    <n v="792900000"/>
    <n v="9"/>
    <n v="4"/>
  </r>
  <r>
    <n v="232"/>
    <x v="424"/>
    <x v="412"/>
    <n v="117"/>
    <x v="8"/>
    <s v="Lewis Gilbert"/>
    <s v="Eon Productions"/>
    <x v="19"/>
    <x v="0"/>
    <s v="PG"/>
    <n v="10300000"/>
    <n v="111000000"/>
    <n v="0"/>
    <n v="0"/>
  </r>
  <r>
    <n v="234"/>
    <x v="425"/>
    <x v="413"/>
    <n v="117"/>
    <x v="9"/>
    <s v="Ridley Scott"/>
    <s v="Brandywine Productions"/>
    <x v="19"/>
    <x v="0"/>
    <n v="18"/>
    <n v="11000000"/>
    <n v="203600000"/>
    <n v="2"/>
    <n v="1"/>
  </r>
  <r>
    <n v="237"/>
    <x v="426"/>
    <x v="414"/>
    <n v="154"/>
    <x v="4"/>
    <s v="Quentin Tarantino"/>
    <s v="A Band Apart"/>
    <x v="19"/>
    <x v="0"/>
    <n v="18"/>
    <n v="8500000"/>
    <n v="213900000"/>
    <n v="7"/>
    <n v="1"/>
  </r>
  <r>
    <n v="240"/>
    <x v="427"/>
    <x v="415"/>
    <n v="98"/>
    <x v="4"/>
    <s v="Joel Coen"/>
    <s v="Polygram Filmed Entertainment"/>
    <x v="19"/>
    <x v="0"/>
    <n v="18"/>
    <n v="7000000"/>
    <n v="60611975"/>
    <n v="7"/>
    <n v="2"/>
  </r>
  <r>
    <n v="243"/>
    <x v="428"/>
    <x v="361"/>
    <n v="93"/>
    <x v="10"/>
    <s v="George Clooney"/>
    <s v="2929 Entertainment"/>
    <x v="19"/>
    <x v="0"/>
    <s v="PG"/>
    <n v="7000000"/>
    <n v="56500000"/>
    <n v="6"/>
    <n v="0"/>
  </r>
  <r>
    <n v="244"/>
    <x v="429"/>
    <x v="416"/>
    <n v="116"/>
    <x v="11"/>
    <s v="Clint Eastwood"/>
    <s v="The Malpaso Company"/>
    <x v="19"/>
    <x v="0"/>
    <n v="15"/>
    <n v="6900000"/>
    <n v="41410568"/>
    <n v="0"/>
    <n v="0"/>
  </r>
  <r>
    <n v="245"/>
    <x v="430"/>
    <x v="417"/>
    <n v="108"/>
    <x v="9"/>
    <s v="James Cameron"/>
    <s v="Hemdale"/>
    <x v="19"/>
    <x v="0"/>
    <n v="15"/>
    <n v="6400000"/>
    <n v="78400000"/>
    <n v="0"/>
    <n v="0"/>
  </r>
  <r>
    <n v="246"/>
    <x v="275"/>
    <x v="418"/>
    <n v="183"/>
    <x v="1"/>
    <s v="Michael Anderson"/>
    <s v="United Artists"/>
    <x v="19"/>
    <x v="0"/>
    <s v="U"/>
    <n v="6000000"/>
    <n v="42000000"/>
    <n v="8"/>
    <n v="5"/>
  </r>
  <r>
    <n v="249"/>
    <x v="431"/>
    <x v="419"/>
    <n v="106"/>
    <x v="4"/>
    <s v="Bryan Singer"/>
    <s v="Bad Hat Harry Productions"/>
    <x v="19"/>
    <x v="0"/>
    <n v="18"/>
    <n v="6000000"/>
    <n v="23300000"/>
    <n v="2"/>
    <n v="2"/>
  </r>
  <r>
    <n v="250"/>
    <x v="432"/>
    <x v="420"/>
    <n v="113"/>
    <x v="8"/>
    <s v="Christopher Nolan"/>
    <s v="Summit Entertainment"/>
    <x v="19"/>
    <x v="0"/>
    <n v="15"/>
    <n v="9000000"/>
    <n v="39700000"/>
    <n v="2"/>
    <n v="0"/>
  </r>
  <r>
    <n v="254"/>
    <x v="433"/>
    <x v="421"/>
    <n v="110"/>
    <x v="8"/>
    <s v="Guy Hamilton"/>
    <s v="Eon Productions"/>
    <x v="19"/>
    <x v="0"/>
    <s v="PG"/>
    <n v="3000000"/>
    <n v="124900000"/>
    <n v="1"/>
    <n v="1"/>
  </r>
  <r>
    <n v="257"/>
    <x v="434"/>
    <x v="422"/>
    <n v="99"/>
    <x v="4"/>
    <s v="Quentin Tarantino"/>
    <s v="Live Entertainment"/>
    <x v="19"/>
    <x v="0"/>
    <n v="18"/>
    <n v="1200000"/>
    <n v="22000000"/>
    <n v="0"/>
    <n v="0"/>
  </r>
  <r>
    <n v="259"/>
    <x v="74"/>
    <x v="423"/>
    <n v="100"/>
    <x v="1"/>
    <s v="Merian C. Cooper"/>
    <s v="RKO Radio Pictures"/>
    <x v="19"/>
    <x v="0"/>
    <s v="PG"/>
    <n v="672000"/>
    <n v="2847000"/>
    <n v="0"/>
    <n v="0"/>
  </r>
  <r>
    <n v="261"/>
    <x v="435"/>
    <x v="389"/>
    <n v="98"/>
    <x v="20"/>
    <s v="Morgan Spurlock"/>
    <s v="The Con"/>
    <x v="19"/>
    <x v="0"/>
    <s v="12A"/>
    <n v="65000"/>
    <n v="29529368"/>
    <n v="1"/>
    <n v="0"/>
  </r>
  <r>
    <n v="267"/>
    <x v="436"/>
    <x v="424"/>
    <n v="122"/>
    <x v="1"/>
    <s v="Steven Spielberg"/>
    <s v="Lucasfilm"/>
    <x v="19"/>
    <x v="0"/>
    <s v="12A"/>
    <n v="185000000"/>
    <n v="786600000"/>
    <n v="0"/>
    <n v="0"/>
  </r>
  <r>
    <n v="270"/>
    <x v="437"/>
    <x v="425"/>
    <n v="165"/>
    <x v="9"/>
    <s v="Michael Bay"/>
    <s v="di Bonaventura Pictures"/>
    <x v="19"/>
    <x v="0"/>
    <s v="12A"/>
    <n v="210000000"/>
    <n v="1091000000"/>
    <n v="0"/>
    <n v="0"/>
  </r>
  <r>
    <n v="272"/>
    <x v="438"/>
    <x v="426"/>
    <n v="122"/>
    <x v="9"/>
    <s v="James Gunn"/>
    <s v="Marvel Entertainment"/>
    <x v="19"/>
    <x v="0"/>
    <s v="12A"/>
    <n v="195900000"/>
    <n v="774200000"/>
    <n v="2"/>
    <n v="0"/>
  </r>
  <r>
    <n v="273"/>
    <x v="439"/>
    <x v="427"/>
    <n v="98"/>
    <x v="6"/>
    <s v="Robert Stromberg"/>
    <s v="Walt Disney Pictures"/>
    <x v="19"/>
    <x v="0"/>
    <s v="PG"/>
    <n v="180000000"/>
    <n v="758400000"/>
    <n v="1"/>
    <n v="0"/>
  </r>
  <r>
    <n v="274"/>
    <x v="440"/>
    <x v="428"/>
    <n v="131"/>
    <x v="3"/>
    <s v="Bryan Singer"/>
    <s v="Marvel Entertainment"/>
    <x v="19"/>
    <x v="0"/>
    <s v="12A"/>
    <n v="200000000"/>
    <n v="748100000"/>
    <n v="0"/>
    <n v="0"/>
  </r>
  <r>
    <n v="275"/>
    <x v="441"/>
    <x v="429"/>
    <n v="136"/>
    <x v="3"/>
    <s v="Anthony Russo"/>
    <s v="Marvel Entertainment"/>
    <x v="19"/>
    <x v="0"/>
    <s v="12A"/>
    <n v="170000000"/>
    <n v="714400000"/>
    <n v="1"/>
    <n v="0"/>
  </r>
  <r>
    <n v="276"/>
    <x v="442"/>
    <x v="430"/>
    <n v="123"/>
    <x v="1"/>
    <s v="Francis Lawrence"/>
    <s v="Color Force"/>
    <x v="19"/>
    <x v="0"/>
    <s v="12A"/>
    <n v="125000000"/>
    <n v="755400000"/>
    <n v="0"/>
    <n v="0"/>
  </r>
  <r>
    <n v="277"/>
    <x v="443"/>
    <x v="431"/>
    <n v="141"/>
    <x v="3"/>
    <s v="Marc Webb"/>
    <s v="Marvel Entertainment"/>
    <x v="19"/>
    <x v="0"/>
    <s v="12A"/>
    <n v="255000000"/>
    <n v="709000000"/>
    <n v="0"/>
    <n v="0"/>
  </r>
  <r>
    <n v="278"/>
    <x v="444"/>
    <x v="432"/>
    <n v="130"/>
    <x v="3"/>
    <s v="Matt Reeves"/>
    <s v="Chernin Entertainment"/>
    <x v="19"/>
    <x v="0"/>
    <s v="12A"/>
    <n v="170000000"/>
    <n v="710600000"/>
    <n v="1"/>
    <n v="0"/>
  </r>
  <r>
    <n v="279"/>
    <x v="445"/>
    <x v="433"/>
    <n v="169"/>
    <x v="9"/>
    <s v="Christopher Nolan"/>
    <s v="Legendary Pictures"/>
    <x v="19"/>
    <x v="0"/>
    <s v="12A"/>
    <n v="165000000"/>
    <n v="675100000"/>
    <n v="5"/>
    <n v="1"/>
  </r>
  <r>
    <n v="280"/>
    <x v="446"/>
    <x v="434"/>
    <n v="102"/>
    <x v="0"/>
    <s v="Chris Buck"/>
    <s v="Walt Disney Pictures"/>
    <x v="19"/>
    <x v="0"/>
    <s v="PG"/>
    <n v="150000000"/>
    <n v="1276000000"/>
    <n v="2"/>
    <n v="2"/>
  </r>
  <r>
    <n v="281"/>
    <x v="447"/>
    <x v="435"/>
    <n v="130"/>
    <x v="3"/>
    <s v="Shane Black"/>
    <s v="Marvel Entertainment"/>
    <x v="19"/>
    <x v="0"/>
    <s v="12A"/>
    <n v="200000000"/>
    <n v="1215000000"/>
    <n v="1"/>
    <n v="0"/>
  </r>
  <r>
    <n v="282"/>
    <x v="448"/>
    <x v="436"/>
    <n v="98"/>
    <x v="0"/>
    <s v="Pierre Coffin"/>
    <s v="Illumination Entertainment"/>
    <x v="19"/>
    <x v="0"/>
    <s v="U"/>
    <n v="76000000"/>
    <n v="970800000"/>
    <n v="2"/>
    <n v="0"/>
  </r>
  <r>
    <n v="284"/>
    <x v="449"/>
    <x v="437"/>
    <n v="146"/>
    <x v="1"/>
    <s v="Francis Lawrence"/>
    <s v="Color Force"/>
    <x v="19"/>
    <x v="0"/>
    <s v="12A"/>
    <n v="130000000"/>
    <n v="865000000"/>
    <n v="0"/>
    <n v="0"/>
  </r>
  <r>
    <n v="285"/>
    <x v="450"/>
    <x v="438"/>
    <n v="130"/>
    <x v="3"/>
    <s v="Justin Lin"/>
    <s v="Original Film"/>
    <x v="19"/>
    <x v="0"/>
    <s v="12A"/>
    <n v="160000000"/>
    <n v="788700000"/>
    <n v="0"/>
    <n v="0"/>
  </r>
  <r>
    <n v="286"/>
    <x v="451"/>
    <x v="439"/>
    <n v="104"/>
    <x v="0"/>
    <s v="Dan Scanlon"/>
    <s v="Pixar Animation Studios"/>
    <x v="19"/>
    <x v="0"/>
    <s v="U"/>
    <n v="200000000"/>
    <n v="743600000"/>
    <n v="0"/>
    <n v="0"/>
  </r>
  <r>
    <n v="287"/>
    <x v="452"/>
    <x v="440"/>
    <n v="91"/>
    <x v="9"/>
    <s v="Alfonso Cuaron"/>
    <s v="Heyday Films"/>
    <x v="19"/>
    <x v="0"/>
    <s v="12A"/>
    <n v="100000000"/>
    <n v="723200000"/>
    <n v="10"/>
    <n v="7"/>
  </r>
  <r>
    <n v="288"/>
    <x v="453"/>
    <x v="441"/>
    <n v="143"/>
    <x v="3"/>
    <s v="Zack Snyder"/>
    <s v="Legendary Pictures"/>
    <x v="19"/>
    <x v="0"/>
    <s v="12A"/>
    <n v="225000000"/>
    <n v="668000000"/>
    <n v="0"/>
    <n v="0"/>
  </r>
  <r>
    <n v="289"/>
    <x v="454"/>
    <x v="442"/>
    <n v="112"/>
    <x v="3"/>
    <s v="Alan Taylor"/>
    <s v="Marvel Entertainment"/>
    <x v="19"/>
    <x v="0"/>
    <s v="12A"/>
    <n v="170000000"/>
    <n v="644600000"/>
    <n v="0"/>
    <n v="0"/>
  </r>
  <r>
    <n v="290"/>
    <x v="455"/>
    <x v="443"/>
    <n v="143"/>
    <x v="3"/>
    <s v="Joss Whedon"/>
    <s v="Marvel Entertainment"/>
    <x v="19"/>
    <x v="0"/>
    <s v="12A"/>
    <n v="220000000"/>
    <n v="1520000000"/>
    <n v="1"/>
    <n v="0"/>
  </r>
  <r>
    <n v="292"/>
    <x v="456"/>
    <x v="444"/>
    <n v="165"/>
    <x v="3"/>
    <s v="Christopher Nolan"/>
    <s v="Legendary Pictures"/>
    <x v="19"/>
    <x v="0"/>
    <s v="12A"/>
    <n v="230000000"/>
    <n v="1085000000"/>
    <n v="0"/>
    <n v="0"/>
  </r>
  <r>
    <n v="294"/>
    <x v="457"/>
    <x v="445"/>
    <n v="88"/>
    <x v="0"/>
    <s v="Mike Thurmeier"/>
    <s v="20th Century Fox"/>
    <x v="19"/>
    <x v="0"/>
    <s v="U"/>
    <n v="95000000"/>
    <n v="877200000"/>
    <n v="0"/>
    <n v="0"/>
  </r>
  <r>
    <n v="295"/>
    <x v="458"/>
    <x v="446"/>
    <n v="115"/>
    <x v="21"/>
    <s v="Bill Condon"/>
    <s v="Summit Entertainment"/>
    <x v="19"/>
    <x v="0"/>
    <s v="12A"/>
    <n v="120000000"/>
    <n v="829700000"/>
    <n v="0"/>
    <n v="0"/>
  </r>
  <r>
    <n v="296"/>
    <x v="459"/>
    <x v="447"/>
    <n v="136"/>
    <x v="3"/>
    <s v="Marc Webb"/>
    <s v="Marvel Entertainment"/>
    <x v="19"/>
    <x v="0"/>
    <s v="12A"/>
    <n v="230000000"/>
    <n v="757900000"/>
    <n v="0"/>
    <n v="0"/>
  </r>
  <r>
    <n v="297"/>
    <x v="460"/>
    <x v="448"/>
    <n v="93"/>
    <x v="0"/>
    <s v="Eric Darnell"/>
    <s v="Dreamworks"/>
    <x v="19"/>
    <x v="0"/>
    <s v="PG"/>
    <n v="145000000"/>
    <n v="746900000"/>
    <n v="0"/>
    <n v="0"/>
  </r>
  <r>
    <n v="298"/>
    <x v="461"/>
    <x v="449"/>
    <n v="142"/>
    <x v="9"/>
    <s v="Gary Ross"/>
    <s v="Color Force"/>
    <x v="19"/>
    <x v="0"/>
    <s v="12A"/>
    <n v="78000000"/>
    <n v="694400000"/>
    <n v="0"/>
    <n v="0"/>
  </r>
  <r>
    <n v="299"/>
    <x v="462"/>
    <x v="450"/>
    <n v="106"/>
    <x v="9"/>
    <s v="Barry Sonnenfeld"/>
    <s v="Amblin Entertainment"/>
    <x v="19"/>
    <x v="0"/>
    <s v="PG"/>
    <n v="215000000"/>
    <n v="624000000"/>
    <n v="0"/>
    <n v="0"/>
  </r>
  <r>
    <n v="301"/>
    <x v="463"/>
    <x v="451"/>
    <n v="157"/>
    <x v="9"/>
    <s v="Michael Bay"/>
    <s v="di Bonaventura Pictures"/>
    <x v="19"/>
    <x v="0"/>
    <s v="12A"/>
    <n v="195000000"/>
    <n v="1124000000"/>
    <n v="3"/>
    <n v="0"/>
  </r>
  <r>
    <n v="302"/>
    <x v="464"/>
    <x v="452"/>
    <n v="137"/>
    <x v="1"/>
    <s v="Rob Marshall"/>
    <s v="Walt Disney Pictures"/>
    <x v="19"/>
    <x v="0"/>
    <s v="12A"/>
    <n v="378500000"/>
    <n v="1046000000"/>
    <n v="0"/>
    <n v="0"/>
  </r>
  <r>
    <n v="303"/>
    <x v="465"/>
    <x v="453"/>
    <n v="117"/>
    <x v="21"/>
    <s v="Bill Condon"/>
    <s v="Temple Hill Entertainment"/>
    <x v="19"/>
    <x v="0"/>
    <s v="12A"/>
    <n v="110000000"/>
    <n v="712200000"/>
    <n v="0"/>
    <n v="0"/>
  </r>
  <r>
    <n v="304"/>
    <x v="466"/>
    <x v="215"/>
    <n v="133"/>
    <x v="8"/>
    <s v="Brad Bird"/>
    <s v="Bad Robot Productions"/>
    <x v="19"/>
    <x v="0"/>
    <s v="12A"/>
    <n v="145000000"/>
    <n v="694700000"/>
    <n v="0"/>
    <n v="0"/>
  </r>
  <r>
    <n v="305"/>
    <x v="467"/>
    <x v="454"/>
    <n v="90"/>
    <x v="0"/>
    <s v="Jennifer Yuh Nelson"/>
    <s v="Dreamworks"/>
    <x v="19"/>
    <x v="0"/>
    <s v="PG"/>
    <n v="150000000"/>
    <n v="665700000"/>
    <n v="1"/>
    <n v="0"/>
  </r>
  <r>
    <n v="306"/>
    <x v="468"/>
    <x v="455"/>
    <n v="130"/>
    <x v="3"/>
    <s v="Justin Lin"/>
    <s v="Original Film"/>
    <x v="19"/>
    <x v="0"/>
    <s v="12A"/>
    <n v="125000000"/>
    <n v="626100000"/>
    <n v="0"/>
    <n v="0"/>
  </r>
  <r>
    <n v="307"/>
    <x v="469"/>
    <x v="454"/>
    <n v="102"/>
    <x v="2"/>
    <s v="Todd Phillips"/>
    <s v="Legendary Pictures"/>
    <x v="19"/>
    <x v="0"/>
    <n v="15"/>
    <n v="80000000"/>
    <n v="586800000"/>
    <n v="0"/>
    <n v="0"/>
  </r>
  <r>
    <n v="308"/>
    <x v="470"/>
    <x v="456"/>
    <n v="103"/>
    <x v="0"/>
    <s v="Raja Gosnell"/>
    <s v="Sony Pictures"/>
    <x v="19"/>
    <x v="0"/>
    <s v="U"/>
    <n v="110000000"/>
    <n v="563700000"/>
    <n v="0"/>
    <n v="0"/>
  </r>
  <r>
    <n v="309"/>
    <x v="471"/>
    <x v="457"/>
    <n v="106"/>
    <x v="0"/>
    <s v="John Lasseter"/>
    <s v="Pixar Animation Studios"/>
    <x v="19"/>
    <x v="0"/>
    <s v="U"/>
    <n v="200000000"/>
    <n v="559900000"/>
    <n v="0"/>
    <n v="0"/>
  </r>
  <r>
    <n v="310"/>
    <x v="472"/>
    <x v="458"/>
    <n v="103"/>
    <x v="0"/>
    <s v="Lee Unkrich"/>
    <s v="Pixar Animation Studios"/>
    <x v="19"/>
    <x v="0"/>
    <s v="U"/>
    <n v="200000000"/>
    <n v="1063000000"/>
    <n v="5"/>
    <n v="2"/>
  </r>
  <r>
    <n v="313"/>
    <x v="473"/>
    <x v="459"/>
    <n v="148"/>
    <x v="9"/>
    <s v="Christopher Nolan"/>
    <s v="Legendary Pictures"/>
    <x v="19"/>
    <x v="0"/>
    <s v="12A"/>
    <n v="160000000"/>
    <n v="825500000"/>
    <n v="8"/>
    <n v="4"/>
  </r>
  <r>
    <n v="314"/>
    <x v="474"/>
    <x v="460"/>
    <n v="93"/>
    <x v="0"/>
    <s v="Mike Mitchell"/>
    <s v="Dreamworks"/>
    <x v="19"/>
    <x v="0"/>
    <s v="U"/>
    <n v="135000000"/>
    <n v="753000000"/>
    <n v="0"/>
    <n v="0"/>
  </r>
  <r>
    <n v="315"/>
    <x v="475"/>
    <x v="461"/>
    <n v="123"/>
    <x v="21"/>
    <s v="David Slade"/>
    <s v="Temple Hill Entertainment"/>
    <x v="19"/>
    <x v="0"/>
    <s v="12A"/>
    <n v="68000000"/>
    <n v="698500000"/>
    <n v="0"/>
    <n v="0"/>
  </r>
  <r>
    <n v="316"/>
    <x v="476"/>
    <x v="462"/>
    <n v="125"/>
    <x v="3"/>
    <s v="Jon Favreau"/>
    <s v="Marvel Entertainment"/>
    <x v="19"/>
    <x v="0"/>
    <s v="12A"/>
    <n v="200000000"/>
    <n v="623900000"/>
    <n v="1"/>
    <n v="0"/>
  </r>
  <r>
    <n v="317"/>
    <x v="477"/>
    <x v="463"/>
    <n v="100"/>
    <x v="0"/>
    <s v="Nathan Greno"/>
    <s v="Walt Disney Pictures"/>
    <x v="19"/>
    <x v="0"/>
    <s v="PG"/>
    <n v="260000000"/>
    <n v="591800000"/>
    <n v="1"/>
    <n v="0"/>
  </r>
  <r>
    <n v="318"/>
    <x v="478"/>
    <x v="464"/>
    <n v="95"/>
    <x v="0"/>
    <s v="Pierre Coffin"/>
    <s v="Illumination Entertainment"/>
    <x v="19"/>
    <x v="0"/>
    <s v="U"/>
    <n v="69000000"/>
    <n v="543200000"/>
    <n v="0"/>
    <n v="0"/>
  </r>
  <r>
    <n v="319"/>
    <x v="479"/>
    <x v="189"/>
    <n v="98"/>
    <x v="0"/>
    <s v="Dean DeBlois"/>
    <s v="Dreamworks"/>
    <x v="19"/>
    <x v="0"/>
    <s v="PG"/>
    <n v="165000000"/>
    <n v="494900000"/>
    <n v="2"/>
    <n v="0"/>
  </r>
  <r>
    <n v="320"/>
    <x v="480"/>
    <x v="465"/>
    <n v="161"/>
    <x v="9"/>
    <s v="James Cameron"/>
    <s v="Lightstorm Entertainment"/>
    <x v="19"/>
    <x v="0"/>
    <s v="12A"/>
    <n v="237000000"/>
    <n v="2788000000"/>
    <n v="9"/>
    <n v="3"/>
  </r>
  <r>
    <n v="322"/>
    <x v="481"/>
    <x v="466"/>
    <n v="94"/>
    <x v="0"/>
    <s v="Carlos Saldanha"/>
    <s v="20th Century Fox"/>
    <x v="19"/>
    <x v="0"/>
    <s v="U"/>
    <n v="90000000"/>
    <n v="886700000"/>
    <n v="0"/>
    <n v="0"/>
  </r>
  <r>
    <n v="323"/>
    <x v="482"/>
    <x v="467"/>
    <n v="150"/>
    <x v="9"/>
    <s v="Michael Bay"/>
    <s v="di Bonaventura Pictures"/>
    <x v="19"/>
    <x v="0"/>
    <s v="12A"/>
    <n v="200000000"/>
    <n v="836300000"/>
    <n v="1"/>
    <n v="0"/>
  </r>
  <r>
    <n v="324"/>
    <x v="483"/>
    <x v="468"/>
    <n v="158"/>
    <x v="22"/>
    <s v="Roland Emmerich"/>
    <s v="Centropolis Entertainment"/>
    <x v="19"/>
    <x v="0"/>
    <s v="12A"/>
    <n v="200000000"/>
    <n v="769700000"/>
    <n v="0"/>
    <n v="0"/>
  </r>
  <r>
    <n v="325"/>
    <x v="484"/>
    <x v="469"/>
    <n v="96"/>
    <x v="0"/>
    <s v="Pete Docter"/>
    <s v="Pixar Animation Studios"/>
    <x v="19"/>
    <x v="0"/>
    <s v="U"/>
    <n v="175000000"/>
    <n v="731400000"/>
    <n v="5"/>
    <n v="2"/>
  </r>
  <r>
    <n v="326"/>
    <x v="485"/>
    <x v="470"/>
    <n v="130"/>
    <x v="21"/>
    <s v="Chris Weitz"/>
    <s v="Temple Hill Entertainment"/>
    <x v="19"/>
    <x v="0"/>
    <s v="12A"/>
    <n v="50000000"/>
    <n v="709700000"/>
    <n v="0"/>
    <n v="0"/>
  </r>
  <r>
    <n v="328"/>
    <x v="486"/>
    <x v="471"/>
    <n v="138"/>
    <x v="15"/>
    <s v="Ron Howard"/>
    <s v="Imagine Entertainment"/>
    <x v="19"/>
    <x v="0"/>
    <n v="15"/>
    <n v="150000000"/>
    <n v="485900000"/>
    <n v="0"/>
    <n v="0"/>
  </r>
  <r>
    <n v="329"/>
    <x v="487"/>
    <x v="472"/>
    <n v="100"/>
    <x v="2"/>
    <s v="Todd Phillips"/>
    <s v="Legendary Pictures"/>
    <x v="19"/>
    <x v="0"/>
    <n v="15"/>
    <n v="35000000"/>
    <n v="467500000"/>
    <n v="0"/>
    <n v="0"/>
  </r>
  <r>
    <n v="330"/>
    <x v="488"/>
    <x v="473"/>
    <n v="152"/>
    <x v="3"/>
    <s v="Christopher Nolan"/>
    <s v="Legendary Pictures"/>
    <x v="19"/>
    <x v="0"/>
    <s v="12A"/>
    <n v="185000000"/>
    <n v="1005000000"/>
    <n v="8"/>
    <n v="2"/>
  </r>
  <r>
    <n v="332"/>
    <x v="489"/>
    <x v="474"/>
    <n v="92"/>
    <x v="0"/>
    <s v="Mark Osborne"/>
    <s v="Dreamworks"/>
    <x v="19"/>
    <x v="0"/>
    <s v="PG"/>
    <n v="130000000"/>
    <n v="631700000"/>
    <n v="1"/>
    <n v="0"/>
  </r>
  <r>
    <n v="333"/>
    <x v="490"/>
    <x v="475"/>
    <n v="92"/>
    <x v="3"/>
    <s v="Peter Berg"/>
    <s v="Relativity Media"/>
    <x v="19"/>
    <x v="0"/>
    <s v="12A"/>
    <n v="150000000"/>
    <n v="624300000"/>
    <n v="0"/>
    <n v="0"/>
  </r>
  <r>
    <n v="335"/>
    <x v="491"/>
    <x v="476"/>
    <n v="89"/>
    <x v="0"/>
    <s v="Eric Darnell"/>
    <s v="Dreamworks"/>
    <x v="19"/>
    <x v="0"/>
    <s v="PG"/>
    <n v="150000000"/>
    <n v="602300000"/>
    <n v="0"/>
    <n v="0"/>
  </r>
  <r>
    <n v="337"/>
    <x v="492"/>
    <x v="477"/>
    <n v="126"/>
    <x v="3"/>
    <s v="Jon Favreau"/>
    <s v="Marvel Entertainment"/>
    <x v="19"/>
    <x v="0"/>
    <s v="12A"/>
    <n v="140000000"/>
    <n v="585200000"/>
    <n v="2"/>
    <n v="0"/>
  </r>
  <r>
    <n v="338"/>
    <x v="493"/>
    <x v="478"/>
    <n v="98"/>
    <x v="0"/>
    <s v="Andrew Stanton"/>
    <s v="Pixar Animation Studios"/>
    <x v="19"/>
    <x v="0"/>
    <s v="U"/>
    <n v="180000000"/>
    <n v="521300000"/>
    <n v="6"/>
    <n v="1"/>
  </r>
  <r>
    <n v="340"/>
    <x v="494"/>
    <x v="479"/>
    <n v="124"/>
    <x v="1"/>
    <s v="Jon Turteltaub"/>
    <s v="Jerry Bruckheimer Films"/>
    <x v="19"/>
    <x v="0"/>
    <s v="PG"/>
    <n v="130000000"/>
    <n v="457400000"/>
    <n v="0"/>
    <n v="0"/>
  </r>
  <r>
    <n v="341"/>
    <x v="495"/>
    <x v="480"/>
    <n v="122"/>
    <x v="10"/>
    <s v="Ron Howard"/>
    <s v="Imagine Entertainment"/>
    <x v="19"/>
    <x v="0"/>
    <n v="15"/>
    <n v="25000000"/>
    <n v="27400000"/>
    <n v="5"/>
    <n v="0"/>
  </r>
  <r>
    <n v="342"/>
    <x v="496"/>
    <x v="481"/>
    <n v="91"/>
    <x v="0"/>
    <s v="Carlos Saldanha"/>
    <s v="20th Century Fox"/>
    <x v="19"/>
    <x v="0"/>
    <s v="U"/>
    <n v="80000000"/>
    <n v="660900000"/>
    <n v="0"/>
    <n v="0"/>
  </r>
  <r>
    <n v="343"/>
    <x v="497"/>
    <x v="482"/>
    <n v="108"/>
    <x v="1"/>
    <s v="Shawn Levy"/>
    <s v="Dune Entertainment"/>
    <x v="19"/>
    <x v="0"/>
    <s v="PG"/>
    <n v="110000000"/>
    <n v="574500000"/>
    <n v="0"/>
    <n v="0"/>
  </r>
  <r>
    <n v="344"/>
    <x v="498"/>
    <x v="483"/>
    <n v="116"/>
    <x v="0"/>
    <s v="John Lasseter"/>
    <s v="Pixar Animation Studios"/>
    <x v="19"/>
    <x v="0"/>
    <s v="PG"/>
    <n v="120000000"/>
    <n v="462000000"/>
    <n v="2"/>
    <n v="0"/>
  </r>
  <r>
    <n v="347"/>
    <x v="499"/>
    <x v="484"/>
    <n v="86"/>
    <x v="0"/>
    <s v="Eric Darnell"/>
    <s v="Dreamworks"/>
    <x v="19"/>
    <x v="0"/>
    <s v="U"/>
    <n v="75000000"/>
    <n v="532700000"/>
    <n v="0"/>
    <n v="0"/>
  </r>
  <r>
    <n v="348"/>
    <x v="500"/>
    <x v="485"/>
    <n v="118"/>
    <x v="13"/>
    <s v="Andy Tennant"/>
    <s v="Overbrook Entertainment"/>
    <x v="19"/>
    <x v="0"/>
    <s v="12A"/>
    <n v="70000000"/>
    <n v="368100000"/>
    <n v="0"/>
    <n v="0"/>
  </r>
  <r>
    <n v="349"/>
    <x v="501"/>
    <x v="486"/>
    <n v="115"/>
    <x v="0"/>
    <s v="Brad Bird"/>
    <s v="Pixar Animation Studios"/>
    <x v="19"/>
    <x v="0"/>
    <s v="U"/>
    <n v="92000000"/>
    <n v="633000000"/>
    <n v="4"/>
    <n v="2"/>
  </r>
  <r>
    <n v="350"/>
    <x v="502"/>
    <x v="487"/>
    <n v="115"/>
    <x v="2"/>
    <s v="Jay Roach"/>
    <s v="Tribeca Productions"/>
    <x v="19"/>
    <x v="0"/>
    <s v="12A"/>
    <n v="80000000"/>
    <n v="516000000"/>
    <n v="0"/>
    <n v="0"/>
  </r>
  <r>
    <n v="351"/>
    <x v="503"/>
    <x v="173"/>
    <n v="90"/>
    <x v="0"/>
    <s v="Vicky Jenson"/>
    <s v="Dreamworks"/>
    <x v="19"/>
    <x v="0"/>
    <s v="U"/>
    <n v="75000000"/>
    <n v="367300000"/>
    <n v="1"/>
    <n v="0"/>
  </r>
  <r>
    <n v="352"/>
    <x v="504"/>
    <x v="488"/>
    <n v="100"/>
    <x v="0"/>
    <s v="Andrew Stanton"/>
    <s v="Pixar Animation Studios"/>
    <x v="19"/>
    <x v="0"/>
    <s v="U"/>
    <n v="94000000"/>
    <n v="940300000"/>
    <n v="4"/>
    <n v="1"/>
  </r>
  <r>
    <n v="353"/>
    <x v="505"/>
    <x v="489"/>
    <n v="109"/>
    <x v="9"/>
    <s v="Jonathan Mostow"/>
    <s v="Intermedia"/>
    <x v="19"/>
    <x v="0"/>
    <s v="12A"/>
    <n v="187300000"/>
    <n v="433400000"/>
    <n v="0"/>
    <n v="0"/>
  </r>
  <r>
    <n v="354"/>
    <x v="506"/>
    <x v="490"/>
    <n v="147"/>
    <x v="3"/>
    <s v="Michael Bay"/>
    <s v="Jerry Bruckheimer Films"/>
    <x v="19"/>
    <x v="0"/>
    <n v="15"/>
    <n v="130000000"/>
    <n v="273300000"/>
    <n v="0"/>
    <n v="0"/>
  </r>
  <r>
    <n v="355"/>
    <x v="507"/>
    <x v="491"/>
    <n v="107"/>
    <x v="15"/>
    <s v="M. Night Shyamalan"/>
    <s v="Touchstone Pictures"/>
    <x v="19"/>
    <x v="0"/>
    <s v="12A"/>
    <n v="72000000"/>
    <n v="408200000"/>
    <n v="0"/>
    <n v="0"/>
  </r>
  <r>
    <n v="356"/>
    <x v="508"/>
    <x v="492"/>
    <n v="81"/>
    <x v="0"/>
    <s v="Carlos Saldanha"/>
    <s v="20th Century Fox"/>
    <x v="19"/>
    <x v="0"/>
    <s v="U"/>
    <n v="59000000"/>
    <n v="383300000"/>
    <n v="1"/>
    <n v="0"/>
  </r>
  <r>
    <n v="358"/>
    <x v="509"/>
    <x v="493"/>
    <n v="130"/>
    <x v="1"/>
    <s v="Stephen Sommers"/>
    <s v="Alphaville Films"/>
    <x v="19"/>
    <x v="0"/>
    <n v="12"/>
    <n v="98000000"/>
    <n v="433000000"/>
    <n v="0"/>
    <n v="0"/>
  </r>
  <r>
    <n v="359"/>
    <x v="510"/>
    <x v="494"/>
    <n v="92"/>
    <x v="1"/>
    <s v="Joe Johnston"/>
    <s v="Amblin Entertainment"/>
    <x v="19"/>
    <x v="0"/>
    <s v="PG"/>
    <n v="93000000"/>
    <n v="368800000"/>
    <n v="0"/>
    <n v="0"/>
  </r>
  <r>
    <n v="360"/>
    <x v="511"/>
    <x v="495"/>
    <n v="132"/>
    <x v="8"/>
    <s v="Ridley Scott"/>
    <s v="Dino De Laurentiis Corporation"/>
    <x v="19"/>
    <x v="0"/>
    <n v="18"/>
    <n v="87000000"/>
    <n v="351600000"/>
    <n v="0"/>
    <n v="0"/>
  </r>
  <r>
    <n v="361"/>
    <x v="512"/>
    <x v="210"/>
    <n v="127"/>
    <x v="2"/>
    <s v="Nancy Meyers"/>
    <s v="Icon Productions"/>
    <x v="19"/>
    <x v="0"/>
    <n v="12"/>
    <n v="70000000"/>
    <n v="374111707"/>
    <n v="0"/>
    <n v="0"/>
  </r>
  <r>
    <n v="362"/>
    <x v="513"/>
    <x v="496"/>
    <n v="82"/>
    <x v="0"/>
    <s v="Ralph Zondag"/>
    <s v="Walt Disney Pictures"/>
    <x v="19"/>
    <x v="0"/>
    <s v="PG"/>
    <n v="127500000"/>
    <n v="349800000"/>
    <n v="0"/>
    <n v="0"/>
  </r>
  <r>
    <n v="363"/>
    <x v="514"/>
    <x v="497"/>
    <n v="104"/>
    <x v="2"/>
    <s v="Ron Howard"/>
    <s v="Imagine Entertainment"/>
    <x v="19"/>
    <x v="0"/>
    <s v="PG"/>
    <n v="123000000"/>
    <n v="345100000"/>
    <n v="3"/>
    <n v="1"/>
  </r>
  <r>
    <n v="364"/>
    <x v="515"/>
    <x v="498"/>
    <n v="108"/>
    <x v="2"/>
    <s v="Jay Roach"/>
    <s v="Tribeca Productions"/>
    <x v="19"/>
    <x v="0"/>
    <n v="12"/>
    <n v="55000000"/>
    <n v="330400000"/>
    <n v="1"/>
    <n v="0"/>
  </r>
  <r>
    <n v="365"/>
    <x v="516"/>
    <x v="499"/>
    <n v="130"/>
    <x v="14"/>
    <s v="Robert Zemeckis"/>
    <s v="ImageMovers"/>
    <x v="19"/>
    <x v="0"/>
    <n v="15"/>
    <n v="100000000"/>
    <n v="291400000"/>
    <n v="0"/>
    <n v="0"/>
  </r>
  <r>
    <n v="366"/>
    <x v="517"/>
    <x v="500"/>
    <n v="95"/>
    <x v="0"/>
    <s v="John Lasseter"/>
    <s v="Pixar Animation Studios"/>
    <x v="19"/>
    <x v="0"/>
    <s v="U"/>
    <n v="90000000"/>
    <n v="497400000"/>
    <n v="1"/>
    <n v="0"/>
  </r>
  <r>
    <n v="367"/>
    <x v="518"/>
    <x v="501"/>
    <n v="88"/>
    <x v="0"/>
    <s v="Kevin Lima"/>
    <s v="Walt Disney Pictures"/>
    <x v="19"/>
    <x v="0"/>
    <s v="U"/>
    <n v="130000000"/>
    <n v="448200000"/>
    <n v="1"/>
    <n v="1"/>
  </r>
  <r>
    <n v="368"/>
    <x v="519"/>
    <x v="502"/>
    <n v="125"/>
    <x v="1"/>
    <s v="Stephen Sommers"/>
    <s v="Alphaville Films"/>
    <x v="19"/>
    <x v="0"/>
    <n v="12"/>
    <n v="80000000"/>
    <n v="415900000"/>
    <n v="1"/>
    <n v="0"/>
  </r>
  <r>
    <n v="370"/>
    <x v="520"/>
    <x v="326"/>
    <n v="96"/>
    <x v="2"/>
    <s v="Jay Roach"/>
    <s v="Eric's Boy"/>
    <x v="19"/>
    <x v="0"/>
    <n v="12"/>
    <n v="33000000"/>
    <n v="312000000"/>
    <n v="1"/>
    <n v="0"/>
  </r>
  <r>
    <n v="371"/>
    <x v="71"/>
    <x v="503"/>
    <n v="139"/>
    <x v="9"/>
    <s v="Roland Emmerich"/>
    <s v="Centropolis Entertainment"/>
    <x v="19"/>
    <x v="0"/>
    <s v="PG"/>
    <n v="130000000"/>
    <n v="379000000"/>
    <n v="0"/>
    <n v="0"/>
  </r>
  <r>
    <n v="372"/>
    <x v="521"/>
    <x v="504"/>
    <n v="119"/>
    <x v="2"/>
    <s v="Peter Farrelly"/>
    <s v="20th Century Fox"/>
    <x v="19"/>
    <x v="0"/>
    <n v="15"/>
    <n v="23000000"/>
    <n v="369900000"/>
    <n v="0"/>
    <n v="0"/>
  </r>
  <r>
    <n v="373"/>
    <x v="522"/>
    <x v="505"/>
    <n v="95"/>
    <x v="0"/>
    <s v="John Lasseter"/>
    <s v="Pixar Animation Studios"/>
    <x v="19"/>
    <x v="0"/>
    <s v="U"/>
    <n v="120000000"/>
    <n v="363300000"/>
    <n v="1"/>
    <n v="0"/>
  </r>
  <r>
    <n v="374"/>
    <x v="523"/>
    <x v="506"/>
    <n v="87"/>
    <x v="0"/>
    <s v="Barry Cook"/>
    <s v="Walt Disney Pictures"/>
    <x v="19"/>
    <x v="0"/>
    <s v="U"/>
    <n v="90000000"/>
    <n v="304300000"/>
    <n v="1"/>
    <n v="0"/>
  </r>
  <r>
    <n v="375"/>
    <x v="524"/>
    <x v="507"/>
    <n v="85"/>
    <x v="2"/>
    <s v="Betty Thomas"/>
    <s v="Davis Entertainment"/>
    <x v="19"/>
    <x v="0"/>
    <s v="PG"/>
    <n v="70500000"/>
    <n v="294400000"/>
    <n v="0"/>
    <n v="0"/>
  </r>
  <r>
    <n v="377"/>
    <x v="525"/>
    <x v="508"/>
    <n v="129"/>
    <x v="1"/>
    <s v="Steven Spielberg"/>
    <s v="Amblin Entertainment"/>
    <x v="19"/>
    <x v="0"/>
    <s v="PG"/>
    <n v="73000000"/>
    <n v="618600000"/>
    <n v="1"/>
    <n v="0"/>
  </r>
  <r>
    <n v="378"/>
    <x v="526"/>
    <x v="509"/>
    <n v="124"/>
    <x v="8"/>
    <s v="Wolfgang Peterson"/>
    <s v="Touchstone Pictures"/>
    <x v="19"/>
    <x v="0"/>
    <n v="15"/>
    <n v="85000000"/>
    <n v="315100000"/>
    <n v="2"/>
    <n v="0"/>
  </r>
  <r>
    <n v="380"/>
    <x v="527"/>
    <x v="510"/>
    <n v="88"/>
    <x v="2"/>
    <s v="Tom Shadyac"/>
    <s v="Imagine Entertainment"/>
    <x v="19"/>
    <x v="0"/>
    <n v="12"/>
    <n v="45000000"/>
    <n v="302700000"/>
    <n v="0"/>
    <n v="0"/>
  </r>
  <r>
    <n v="381"/>
    <x v="528"/>
    <x v="511"/>
    <n v="104"/>
    <x v="17"/>
    <s v="P. J. Hogan"/>
    <s v="Zucker Brothers Productions"/>
    <x v="19"/>
    <x v="0"/>
    <n v="12"/>
    <n v="38000000"/>
    <n v="299300000"/>
    <n v="1"/>
    <n v="0"/>
  </r>
  <r>
    <n v="383"/>
    <x v="529"/>
    <x v="512"/>
    <n v="113"/>
    <x v="22"/>
    <s v="Jan de Bont"/>
    <s v="Amblin Entertainment"/>
    <x v="19"/>
    <x v="0"/>
    <s v="PG"/>
    <n v="92000000"/>
    <n v="494400000"/>
    <n v="2"/>
    <n v="0"/>
  </r>
  <r>
    <n v="384"/>
    <x v="530"/>
    <x v="513"/>
    <n v="91"/>
    <x v="0"/>
    <s v="Gary Trousdale"/>
    <s v="Walt Disney Pictures"/>
    <x v="19"/>
    <x v="0"/>
    <s v="U"/>
    <n v="100000000"/>
    <n v="325300000"/>
    <n v="1"/>
    <n v="0"/>
  </r>
  <r>
    <n v="385"/>
    <x v="531"/>
    <x v="514"/>
    <n v="103"/>
    <x v="23"/>
    <s v="Stephen Herek"/>
    <s v="Walt Disney Pictures"/>
    <x v="19"/>
    <x v="0"/>
    <s v="U"/>
    <n v="75000000"/>
    <n v="320600000"/>
    <n v="0"/>
    <n v="0"/>
  </r>
  <r>
    <n v="386"/>
    <x v="532"/>
    <x v="515"/>
    <n v="121"/>
    <x v="8"/>
    <s v="Ron Howard"/>
    <s v="Touchstone Pictures"/>
    <x v="19"/>
    <x v="0"/>
    <n v="15"/>
    <n v="80000000"/>
    <n v="309500000"/>
    <n v="0"/>
    <n v="0"/>
  </r>
  <r>
    <n v="387"/>
    <x v="533"/>
    <x v="516"/>
    <n v="95"/>
    <x v="2"/>
    <s v="Tom Shadyac"/>
    <s v="Imagine Entertainment"/>
    <x v="19"/>
    <x v="0"/>
    <n v="12"/>
    <n v="54000000"/>
    <n v="274000000"/>
    <n v="1"/>
    <n v="1"/>
  </r>
  <r>
    <n v="388"/>
    <x v="534"/>
    <x v="517"/>
    <n v="139"/>
    <x v="10"/>
    <s v="Cameron Crowe"/>
    <s v="Gracie Films"/>
    <x v="19"/>
    <x v="0"/>
    <n v="15"/>
    <n v="50000000"/>
    <n v="273600000"/>
    <n v="5"/>
    <n v="1"/>
  </r>
  <r>
    <n v="389"/>
    <x v="535"/>
    <x v="513"/>
    <n v="114"/>
    <x v="3"/>
    <s v="Chuck Russell"/>
    <s v="Kopelson Entertainment"/>
    <x v="19"/>
    <x v="0"/>
    <n v="15"/>
    <n v="100000000"/>
    <n v="242300000"/>
    <n v="1"/>
    <n v="0"/>
  </r>
  <r>
    <n v="390"/>
    <x v="536"/>
    <x v="518"/>
    <n v="81"/>
    <x v="0"/>
    <s v="John Lasseter"/>
    <s v="Pixar Animation Studios"/>
    <x v="19"/>
    <x v="0"/>
    <s v="PG"/>
    <n v="30000000"/>
    <n v="373600000"/>
    <n v="3"/>
    <n v="0"/>
  </r>
  <r>
    <n v="391"/>
    <x v="537"/>
    <x v="519"/>
    <n v="82"/>
    <x v="0"/>
    <s v="Mike Gabriel"/>
    <s v="Walt Disney Pictures"/>
    <x v="19"/>
    <x v="0"/>
    <s v="U"/>
    <n v="55000000"/>
    <n v="346100000"/>
    <n v="2"/>
    <n v="2"/>
  </r>
  <r>
    <n v="392"/>
    <x v="538"/>
    <x v="520"/>
    <n v="122"/>
    <x v="3"/>
    <s v="Joel Schumacher"/>
    <s v="Polygram Filmed Entertainment"/>
    <x v="19"/>
    <x v="0"/>
    <n v="12"/>
    <n v="100000000"/>
    <n v="336500000"/>
    <n v="3"/>
    <n v="0"/>
  </r>
  <r>
    <n v="393"/>
    <x v="539"/>
    <x v="521"/>
    <n v="101"/>
    <x v="2"/>
    <s v="Brad Silberling"/>
    <s v="Amblin Entertainment"/>
    <x v="19"/>
    <x v="0"/>
    <s v="PG"/>
    <n v="55000000"/>
    <n v="287900000"/>
    <n v="0"/>
    <n v="0"/>
  </r>
  <r>
    <n v="394"/>
    <x v="540"/>
    <x v="522"/>
    <n v="104"/>
    <x v="1"/>
    <s v="Joe Johnston"/>
    <s v="Interscope Communications"/>
    <x v="19"/>
    <x v="0"/>
    <s v="PG"/>
    <n v="65000000"/>
    <n v="262800000"/>
    <n v="0"/>
    <n v="0"/>
  </r>
  <r>
    <n v="395"/>
    <x v="541"/>
    <x v="523"/>
    <n v="88"/>
    <x v="0"/>
    <s v="Rob Minkoff"/>
    <s v="Walt Disney Pictures"/>
    <x v="19"/>
    <x v="0"/>
    <s v="U"/>
    <n v="45000000"/>
    <n v="968500000"/>
    <n v="4"/>
    <n v="2"/>
  </r>
  <r>
    <n v="396"/>
    <x v="542"/>
    <x v="524"/>
    <n v="101"/>
    <x v="2"/>
    <s v="Chuck Russell"/>
    <s v="Dark Horse Entertainment"/>
    <x v="19"/>
    <x v="0"/>
    <s v="PG"/>
    <n v="23000000"/>
    <n v="351600000"/>
    <n v="1"/>
    <n v="0"/>
  </r>
  <r>
    <n v="397"/>
    <x v="543"/>
    <x v="525"/>
    <n v="115"/>
    <x v="3"/>
    <s v="Jan de Bont"/>
    <s v="Mark Gordon Productions"/>
    <x v="19"/>
    <x v="0"/>
    <n v="15"/>
    <n v="30000000"/>
    <n v="350400000"/>
    <n v="3"/>
    <n v="2"/>
  </r>
  <r>
    <n v="398"/>
    <x v="544"/>
    <x v="526"/>
    <n v="91"/>
    <x v="2"/>
    <s v="Brian Levant"/>
    <s v="Amblin Entertainment"/>
    <x v="19"/>
    <x v="0"/>
    <s v="U"/>
    <n v="46000000"/>
    <n v="341600000"/>
    <n v="0"/>
    <n v="0"/>
  </r>
  <r>
    <n v="399"/>
    <x v="545"/>
    <x v="527"/>
    <n v="107"/>
    <x v="2"/>
    <s v="Peter Farrelly"/>
    <s v="Motion Picture Corporation of America"/>
    <x v="19"/>
    <x v="0"/>
    <n v="12"/>
    <n v="17000000"/>
    <n v="247000000"/>
    <n v="0"/>
    <n v="0"/>
  </r>
  <r>
    <n v="400"/>
    <x v="546"/>
    <x v="528"/>
    <n v="126"/>
    <x v="4"/>
    <s v="Mike Newell"/>
    <s v="Channel Four Films"/>
    <x v="19"/>
    <x v="0"/>
    <n v="18"/>
    <n v="35000000"/>
    <n v="124900000"/>
    <n v="1"/>
    <n v="0"/>
  </r>
  <r>
    <n v="401"/>
    <x v="547"/>
    <x v="529"/>
    <n v="122"/>
    <x v="14"/>
    <s v="Neil Jordan"/>
    <s v="Geffen Pictures"/>
    <x v="19"/>
    <x v="0"/>
    <n v="18"/>
    <n v="60000000"/>
    <n v="223700000"/>
    <n v="2"/>
    <n v="0"/>
  </r>
  <r>
    <n v="403"/>
    <x v="548"/>
    <x v="530"/>
    <n v="125"/>
    <x v="2"/>
    <s v="Chris Columbus"/>
    <s v="Blue Wolf Productions"/>
    <x v="19"/>
    <x v="0"/>
    <n v="12"/>
    <n v="25000000"/>
    <n v="441300000"/>
    <n v="1"/>
    <n v="1"/>
  </r>
  <r>
    <n v="404"/>
    <x v="549"/>
    <x v="531"/>
    <n v="154"/>
    <x v="8"/>
    <s v="Sydney Pollack"/>
    <s v="Davis Entertainment"/>
    <x v="19"/>
    <x v="0"/>
    <n v="15"/>
    <n v="42000000"/>
    <n v="270248367"/>
    <n v="2"/>
    <n v="0"/>
  </r>
  <r>
    <n v="405"/>
    <x v="550"/>
    <x v="532"/>
    <n v="118"/>
    <x v="10"/>
    <s v="Adrian Lyne"/>
    <s v="Paramount Pictures"/>
    <x v="19"/>
    <x v="0"/>
    <n v="15"/>
    <n v="38000000"/>
    <n v="266600000"/>
    <n v="0"/>
    <n v="0"/>
  </r>
  <r>
    <n v="406"/>
    <x v="551"/>
    <x v="328"/>
    <n v="105"/>
    <x v="13"/>
    <s v="Nora Ephron"/>
    <s v="TriStar Pictures"/>
    <x v="19"/>
    <x v="0"/>
    <s v="PG"/>
    <n v="21000000"/>
    <n v="227800000"/>
    <n v="2"/>
    <n v="0"/>
  </r>
  <r>
    <n v="407"/>
    <x v="552"/>
    <x v="533"/>
    <n v="126"/>
    <x v="10"/>
    <s v="Jonathan Demme"/>
    <s v="TriStar Pictures"/>
    <x v="19"/>
    <x v="0"/>
    <n v="12"/>
    <n v="26000000"/>
    <n v="206700000"/>
    <n v="5"/>
    <n v="2"/>
  </r>
  <r>
    <n v="408"/>
    <x v="553"/>
    <x v="534"/>
    <n v="141"/>
    <x v="8"/>
    <s v="Alan J. Pakula"/>
    <s v="Warner Bros. Pictures"/>
    <x v="19"/>
    <x v="0"/>
    <n v="12"/>
    <n v="45000000"/>
    <n v="195300000"/>
    <n v="0"/>
    <n v="0"/>
  </r>
  <r>
    <n v="409"/>
    <x v="554"/>
    <x v="535"/>
    <n v="90"/>
    <x v="0"/>
    <s v="Ron Clements"/>
    <s v="Walt Disney Pictures"/>
    <x v="19"/>
    <x v="0"/>
    <s v="U"/>
    <n v="28000000"/>
    <n v="504100000"/>
    <n v="5"/>
    <n v="2"/>
  </r>
  <r>
    <n v="410"/>
    <x v="555"/>
    <x v="535"/>
    <n v="129"/>
    <x v="8"/>
    <s v="Mick Jackson"/>
    <s v="Tig Productions"/>
    <x v="19"/>
    <x v="0"/>
    <n v="15"/>
    <n v="25000000"/>
    <n v="411000000"/>
    <n v="2"/>
    <n v="0"/>
  </r>
  <r>
    <n v="411"/>
    <x v="556"/>
    <x v="536"/>
    <n v="120"/>
    <x v="23"/>
    <s v="Chris Columbus"/>
    <s v="Hughes Entertainment"/>
    <x v="19"/>
    <x v="0"/>
    <s v="PG"/>
    <n v="20000000"/>
    <n v="359000000"/>
    <n v="0"/>
    <n v="0"/>
  </r>
  <r>
    <n v="412"/>
    <x v="557"/>
    <x v="537"/>
    <n v="128"/>
    <x v="8"/>
    <s v="Paul Verhoeven"/>
    <s v="Carolco Pictures"/>
    <x v="19"/>
    <x v="0"/>
    <n v="18"/>
    <n v="49000000"/>
    <n v="352900000"/>
    <n v="2"/>
    <n v="0"/>
  </r>
  <r>
    <n v="413"/>
    <x v="558"/>
    <x v="538"/>
    <n v="126"/>
    <x v="3"/>
    <s v="Tim Burton"/>
    <s v="Polygram Filmed Entertainment"/>
    <x v="19"/>
    <x v="0"/>
    <s v="PG"/>
    <n v="80000000"/>
    <n v="266800000"/>
    <n v="2"/>
    <n v="0"/>
  </r>
  <r>
    <n v="414"/>
    <x v="559"/>
    <x v="539"/>
    <n v="138"/>
    <x v="10"/>
    <s v="Rob Reiner"/>
    <s v="Castle Rock Entertainment"/>
    <x v="19"/>
    <x v="0"/>
    <n v="15"/>
    <n v="40000000"/>
    <n v="243200000"/>
    <n v="4"/>
    <n v="0"/>
  </r>
  <r>
    <n v="415"/>
    <x v="560"/>
    <x v="540"/>
    <n v="100"/>
    <x v="2"/>
    <s v="Emile Ardolino"/>
    <s v="Touchstone Pictures"/>
    <x v="19"/>
    <x v="0"/>
    <s v="PG"/>
    <n v="31000000"/>
    <n v="231600000"/>
    <n v="0"/>
    <n v="0"/>
  </r>
  <r>
    <n v="416"/>
    <x v="561"/>
    <x v="541"/>
    <n v="128"/>
    <x v="14"/>
    <s v="Francis Ford Coppola"/>
    <s v="Columbia Pictures"/>
    <x v="19"/>
    <x v="0"/>
    <n v="18"/>
    <n v="40000000"/>
    <n v="215900000"/>
    <n v="4"/>
    <n v="3"/>
  </r>
  <r>
    <n v="417"/>
    <x v="562"/>
    <x v="542"/>
    <n v="95"/>
    <x v="2"/>
    <s v="Penelope Spheeris"/>
    <s v="Paramount Pictures"/>
    <x v="19"/>
    <x v="0"/>
    <s v="PG"/>
    <n v="20000000"/>
    <n v="183100000"/>
    <n v="0"/>
    <n v="0"/>
  </r>
  <r>
    <n v="418"/>
    <x v="563"/>
    <x v="543"/>
    <n v="84"/>
    <x v="0"/>
    <s v="Gary Trousdale"/>
    <s v="Walt Disney Pictures"/>
    <x v="19"/>
    <x v="0"/>
    <s v="U"/>
    <n v="25000000"/>
    <n v="425000000"/>
    <n v="6"/>
    <n v="2"/>
  </r>
  <r>
    <n v="419"/>
    <x v="564"/>
    <x v="544"/>
    <n v="144"/>
    <x v="1"/>
    <s v="Steven Spielberg"/>
    <s v="Amblin Entertainment"/>
    <x v="19"/>
    <x v="0"/>
    <s v="U"/>
    <n v="70000000"/>
    <n v="300900000"/>
    <n v="5"/>
    <n v="0"/>
  </r>
  <r>
    <n v="420"/>
    <x v="565"/>
    <x v="545"/>
    <n v="118"/>
    <x v="8"/>
    <s v="Jonathan Demme"/>
    <s v="Strong Heart/Demme Production"/>
    <x v="19"/>
    <x v="0"/>
    <n v="18"/>
    <n v="19000000"/>
    <n v="272700000"/>
    <n v="7"/>
    <n v="5"/>
  </r>
  <r>
    <n v="421"/>
    <x v="566"/>
    <x v="546"/>
    <n v="188"/>
    <x v="8"/>
    <s v="Oliver Stone"/>
    <s v="Regency Enterprises"/>
    <x v="19"/>
    <x v="0"/>
    <n v="15"/>
    <n v="40000000"/>
    <n v="205400000"/>
    <n v="8"/>
    <n v="2"/>
  </r>
  <r>
    <n v="422"/>
    <x v="567"/>
    <x v="543"/>
    <n v="99"/>
    <x v="2"/>
    <s v="Barry Sonnenfeld"/>
    <s v="Orion Pictures"/>
    <x v="19"/>
    <x v="0"/>
    <s v="PG"/>
    <n v="30000000"/>
    <n v="191500000"/>
    <n v="1"/>
    <n v="0"/>
  </r>
  <r>
    <n v="423"/>
    <x v="568"/>
    <x v="547"/>
    <n v="128"/>
    <x v="8"/>
    <s v="Martin Scorsese"/>
    <s v="Amblin Entertainment"/>
    <x v="19"/>
    <x v="0"/>
    <n v="18"/>
    <n v="35000000"/>
    <n v="182300000"/>
    <n v="2"/>
    <n v="0"/>
  </r>
  <r>
    <n v="424"/>
    <x v="569"/>
    <x v="548"/>
    <n v="84"/>
    <x v="2"/>
    <s v="Jim Abrahams"/>
    <s v="20th Century Fox"/>
    <x v="19"/>
    <x v="0"/>
    <n v="12"/>
    <n v="26000000"/>
    <n v="181100000"/>
    <n v="0"/>
    <n v="0"/>
  </r>
  <r>
    <n v="425"/>
    <x v="570"/>
    <x v="549"/>
    <n v="112"/>
    <x v="2"/>
    <s v="Ron Underwood"/>
    <s v="Castle Rock Entertainment"/>
    <x v="19"/>
    <x v="0"/>
    <n v="12"/>
    <n v="26000000"/>
    <n v="179033791"/>
    <n v="1"/>
    <n v="1"/>
  </r>
  <r>
    <n v="426"/>
    <x v="571"/>
    <x v="550"/>
    <n v="127"/>
    <x v="13"/>
    <s v="Jerry Zucker"/>
    <s v="Paramount Pictures"/>
    <x v="19"/>
    <x v="0"/>
    <n v="12"/>
    <n v="22000000"/>
    <n v="505700000"/>
    <n v="5"/>
    <n v="2"/>
  </r>
  <r>
    <n v="427"/>
    <x v="572"/>
    <x v="551"/>
    <n v="102"/>
    <x v="2"/>
    <s v="Chris Columbus"/>
    <s v="Hughes Entertainment"/>
    <x v="19"/>
    <x v="0"/>
    <s v="PG"/>
    <n v="18000000"/>
    <n v="476700000"/>
    <n v="2"/>
    <n v="0"/>
  </r>
  <r>
    <n v="428"/>
    <x v="573"/>
    <x v="552"/>
    <n v="119"/>
    <x v="13"/>
    <s v="Garry Marshall"/>
    <s v="Touchstone Pictures"/>
    <x v="19"/>
    <x v="0"/>
    <n v="15"/>
    <n v="14000000"/>
    <n v="463400000"/>
    <n v="1"/>
    <n v="0"/>
  </r>
  <r>
    <n v="430"/>
    <x v="574"/>
    <x v="553"/>
    <n v="93"/>
    <x v="3"/>
    <s v="Steve Barron"/>
    <s v="Golden Harvest"/>
    <x v="19"/>
    <x v="0"/>
    <s v="PG"/>
    <n v="13500000"/>
    <n v="201900000"/>
    <n v="0"/>
    <n v="0"/>
  </r>
  <r>
    <n v="431"/>
    <x v="575"/>
    <x v="554"/>
    <n v="126"/>
    <x v="3"/>
    <s v="Tim Burton"/>
    <s v="Polygram Filmed Entertainment"/>
    <x v="19"/>
    <x v="0"/>
    <n v="12"/>
    <n v="35000000"/>
    <n v="411300000"/>
    <n v="1"/>
    <n v="1"/>
  </r>
  <r>
    <n v="432"/>
    <x v="576"/>
    <x v="555"/>
    <n v="96"/>
    <x v="2"/>
    <s v="Amy Heckerling"/>
    <s v="TriStar Pictures"/>
    <x v="19"/>
    <x v="0"/>
    <n v="12"/>
    <n v="7500000"/>
    <n v="297000000"/>
    <n v="0"/>
    <n v="0"/>
  </r>
  <r>
    <n v="433"/>
    <x v="577"/>
    <x v="556"/>
    <n v="128"/>
    <x v="10"/>
    <s v="Peter Weir"/>
    <s v="Touchstone Pictures"/>
    <x v="19"/>
    <x v="0"/>
    <s v="PG"/>
    <n v="16400000"/>
    <n v="235800000"/>
    <n v="4"/>
    <n v="1"/>
  </r>
  <r>
    <n v="434"/>
    <x v="578"/>
    <x v="554"/>
    <n v="94"/>
    <x v="1"/>
    <s v="Joe Johnston"/>
    <s v="Walt Disney Pictures"/>
    <x v="19"/>
    <x v="0"/>
    <s v="U"/>
    <n v="18000000"/>
    <n v="222700000"/>
    <n v="0"/>
    <n v="0"/>
  </r>
  <r>
    <n v="435"/>
    <x v="579"/>
    <x v="557"/>
    <n v="108"/>
    <x v="2"/>
    <s v="Ivan Reitman"/>
    <s v="Columbia Pictures"/>
    <x v="19"/>
    <x v="0"/>
    <s v="PG"/>
    <n v="37000000"/>
    <n v="215400000"/>
    <n v="0"/>
    <n v="0"/>
  </r>
  <r>
    <n v="436"/>
    <x v="580"/>
    <x v="558"/>
    <n v="82"/>
    <x v="0"/>
    <s v="Ron Clements"/>
    <s v="Walt Disney Pictures"/>
    <x v="19"/>
    <x v="0"/>
    <s v="U"/>
    <n v="40000000"/>
    <n v="211300000"/>
    <n v="3"/>
    <n v="2"/>
  </r>
  <r>
    <n v="437"/>
    <x v="581"/>
    <x v="559"/>
    <n v="145"/>
    <x v="12"/>
    <s v="Oliver Stone"/>
    <s v="Universal Pictures"/>
    <x v="19"/>
    <x v="0"/>
    <n v="18"/>
    <n v="14000000"/>
    <n v="161000000"/>
    <n v="8"/>
    <n v="2"/>
  </r>
  <r>
    <n v="438"/>
    <x v="582"/>
    <x v="560"/>
    <n v="133"/>
    <x v="10"/>
    <s v="Barry Levinson"/>
    <s v="United Artists"/>
    <x v="19"/>
    <x v="0"/>
    <n v="15"/>
    <n v="25000000"/>
    <n v="354800000"/>
    <n v="8"/>
    <n v="4"/>
  </r>
  <r>
    <n v="439"/>
    <x v="583"/>
    <x v="561"/>
    <n v="117"/>
    <x v="2"/>
    <s v="John Landis"/>
    <s v="Eddie Murphy Productions"/>
    <x v="19"/>
    <x v="0"/>
    <n v="15"/>
    <n v="39000000"/>
    <n v="288752301"/>
    <n v="2"/>
    <n v="0"/>
  </r>
  <r>
    <n v="440"/>
    <x v="584"/>
    <x v="562"/>
    <n v="104"/>
    <x v="2"/>
    <s v="Penny Marshall"/>
    <s v="Gracie Films"/>
    <x v="19"/>
    <x v="0"/>
    <n v="12"/>
    <n v="18000000"/>
    <n v="151700000"/>
    <n v="2"/>
    <n v="0"/>
  </r>
  <r>
    <n v="442"/>
    <x v="585"/>
    <x v="563"/>
    <n v="85"/>
    <x v="2"/>
    <s v="David Zucker"/>
    <s v="Paramount Pictures"/>
    <x v="19"/>
    <x v="0"/>
    <n v="15"/>
    <n v="12000000"/>
    <n v="78800000"/>
    <n v="0"/>
    <n v="0"/>
  </r>
  <r>
    <n v="443"/>
    <x v="586"/>
    <x v="564"/>
    <n v="103"/>
    <x v="13"/>
    <s v="Roger Donaldson"/>
    <s v="Touchstone Pictures"/>
    <x v="19"/>
    <x v="0"/>
    <n v="15"/>
    <n v="20000000"/>
    <n v="171500000"/>
    <n v="0"/>
    <n v="0"/>
  </r>
  <r>
    <n v="444"/>
    <x v="587"/>
    <x v="565"/>
    <n v="92"/>
    <x v="2"/>
    <s v="Tim Burton"/>
    <s v="Geffen Pictures"/>
    <x v="19"/>
    <x v="0"/>
    <n v="15"/>
    <n v="15000000"/>
    <n v="73700000"/>
    <n v="1"/>
    <n v="1"/>
  </r>
  <r>
    <n v="445"/>
    <x v="588"/>
    <x v="566"/>
    <n v="104"/>
    <x v="2"/>
    <s v="Leonard Nimoy"/>
    <s v="Touchstone Pictures"/>
    <x v="19"/>
    <x v="0"/>
    <s v="PG"/>
    <n v="16000000"/>
    <n v="168800000"/>
    <n v="0"/>
    <n v="0"/>
  </r>
  <r>
    <n v="446"/>
    <x v="589"/>
    <x v="567"/>
    <n v="119"/>
    <x v="8"/>
    <s v="Adrian Lyne"/>
    <s v="Paramount Pictures"/>
    <x v="19"/>
    <x v="0"/>
    <n v="18"/>
    <n v="14000000"/>
    <n v="320100000"/>
    <n v="6"/>
    <n v="0"/>
  </r>
  <r>
    <n v="447"/>
    <x v="590"/>
    <x v="568"/>
    <n v="103"/>
    <x v="3"/>
    <s v="Tony Scott"/>
    <s v="Paramount Pictures"/>
    <x v="19"/>
    <x v="0"/>
    <n v="15"/>
    <n v="20000000"/>
    <n v="300000000"/>
    <n v="1"/>
    <n v="0"/>
  </r>
  <r>
    <n v="448"/>
    <x v="591"/>
    <x v="569"/>
    <n v="120"/>
    <x v="2"/>
    <s v="Barry Levinson"/>
    <s v="Touchstone Pictures"/>
    <x v="19"/>
    <x v="0"/>
    <n v="15"/>
    <n v="13000000"/>
    <n v="123900000"/>
    <n v="1"/>
    <n v="0"/>
  </r>
  <r>
    <n v="449"/>
    <x v="592"/>
    <x v="570"/>
    <n v="102"/>
    <x v="13"/>
    <s v="Norman Jewison"/>
    <s v="Metro-Goldwyn-Mayer"/>
    <x v="19"/>
    <x v="0"/>
    <s v="PG"/>
    <n v="15000000"/>
    <n v="91640528"/>
    <n v="6"/>
    <n v="3"/>
  </r>
  <r>
    <n v="450"/>
    <x v="593"/>
    <x v="571"/>
    <n v="111"/>
    <x v="2"/>
    <s v="Herbert Ross"/>
    <s v="Rastar"/>
    <x v="19"/>
    <x v="0"/>
    <s v="PG"/>
    <n v="18000000"/>
    <n v="110996879"/>
    <n v="0"/>
    <n v="0"/>
  </r>
  <r>
    <n v="451"/>
    <x v="594"/>
    <x v="572"/>
    <n v="117"/>
    <x v="2"/>
    <s v="John Badham"/>
    <s v="Touchstone Pictures"/>
    <x v="19"/>
    <x v="0"/>
    <n v="15"/>
    <n v="14500000"/>
    <n v="65673233"/>
    <n v="0"/>
    <n v="0"/>
  </r>
  <r>
    <n v="452"/>
    <x v="595"/>
    <x v="573"/>
    <n v="118"/>
    <x v="2"/>
    <s v="George Miller"/>
    <s v="Kennedy Miller"/>
    <x v="19"/>
    <x v="0"/>
    <n v="18"/>
    <n v="22000000"/>
    <n v="63800000"/>
    <n v="2"/>
    <n v="0"/>
  </r>
  <r>
    <n v="453"/>
    <x v="596"/>
    <x v="574"/>
    <n v="110"/>
    <x v="3"/>
    <s v="Tony Scott"/>
    <s v="Paramount Pictures"/>
    <x v="19"/>
    <x v="0"/>
    <n v="15"/>
    <n v="15000000"/>
    <n v="356800000"/>
    <n v="4"/>
    <n v="1"/>
  </r>
  <r>
    <n v="455"/>
    <x v="597"/>
    <x v="575"/>
    <n v="120"/>
    <x v="7"/>
    <s v="Oliver Stone"/>
    <s v="Hemdale"/>
    <x v="19"/>
    <x v="0"/>
    <n v="15"/>
    <n v="6000000"/>
    <n v="138500000"/>
    <n v="8"/>
    <n v="4"/>
  </r>
  <r>
    <n v="456"/>
    <x v="598"/>
    <x v="576"/>
    <n v="113"/>
    <x v="10"/>
    <s v="John G. Avildsen"/>
    <s v="Columbia Pictures"/>
    <x v="19"/>
    <x v="0"/>
    <s v="PG"/>
    <n v="13000000"/>
    <n v="115100000"/>
    <n v="1"/>
    <n v="0"/>
  </r>
  <r>
    <n v="458"/>
    <x v="599"/>
    <x v="577"/>
    <n v="94"/>
    <x v="1"/>
    <s v="Michael Ritchie"/>
    <s v="Eddie Murphy Productions"/>
    <x v="19"/>
    <x v="0"/>
    <s v="PG"/>
    <n v="25000000"/>
    <n v="79800000"/>
    <n v="0"/>
    <n v="0"/>
  </r>
  <r>
    <n v="460"/>
    <x v="600"/>
    <x v="578"/>
    <n v="103"/>
    <x v="2"/>
    <s v="John Hughes"/>
    <s v="Paramount Pictures"/>
    <x v="19"/>
    <x v="0"/>
    <n v="15"/>
    <n v="5800000"/>
    <n v="70100000"/>
    <n v="0"/>
    <n v="0"/>
  </r>
  <r>
    <n v="461"/>
    <x v="601"/>
    <x v="579"/>
    <n v="96"/>
    <x v="3"/>
    <s v="George P. Cosmatos"/>
    <s v="Carolco Pictures"/>
    <x v="19"/>
    <x v="0"/>
    <n v="15"/>
    <n v="25500000"/>
    <n v="300400000"/>
    <n v="1"/>
    <n v="0"/>
  </r>
  <r>
    <n v="462"/>
    <x v="602"/>
    <x v="580"/>
    <n v="91"/>
    <x v="18"/>
    <s v="Sylvester Stallone"/>
    <s v="United Artists"/>
    <x v="19"/>
    <x v="0"/>
    <s v="PG"/>
    <n v="28000000"/>
    <n v="300400000"/>
    <n v="0"/>
    <n v="0"/>
  </r>
  <r>
    <n v="463"/>
    <x v="603"/>
    <x v="581"/>
    <n v="153"/>
    <x v="10"/>
    <s v="Steven Spielberg"/>
    <s v="Amblin Entertainment"/>
    <x v="19"/>
    <x v="0"/>
    <n v="15"/>
    <n v="15000000"/>
    <n v="142000000"/>
    <n v="11"/>
    <n v="0"/>
  </r>
  <r>
    <n v="464"/>
    <x v="604"/>
    <x v="581"/>
    <n v="161"/>
    <x v="13"/>
    <s v="Sydney Pollack"/>
    <s v="Mirage Studios"/>
    <x v="19"/>
    <x v="0"/>
    <s v="PG"/>
    <n v="28000000"/>
    <n v="128500000"/>
    <n v="11"/>
    <n v="7"/>
  </r>
  <r>
    <n v="465"/>
    <x v="605"/>
    <x v="582"/>
    <n v="117"/>
    <x v="9"/>
    <s v="Ron Howard"/>
    <s v="20th Century Fox"/>
    <x v="19"/>
    <x v="0"/>
    <s v="PG"/>
    <n v="17500000"/>
    <n v="85300000"/>
    <n v="2"/>
    <n v="2"/>
  </r>
  <r>
    <n v="466"/>
    <x v="606"/>
    <x v="583"/>
    <n v="107"/>
    <x v="1"/>
    <s v="Lewis Teague"/>
    <s v="20th Century Fox"/>
    <x v="19"/>
    <x v="0"/>
    <s v="PG"/>
    <n v="25000000"/>
    <n v="96700000"/>
    <n v="0"/>
    <n v="0"/>
  </r>
  <r>
    <n v="468"/>
    <x v="607"/>
    <x v="584"/>
    <n v="114"/>
    <x v="1"/>
    <s v="Richard Donner"/>
    <s v="Amblin Entertainment"/>
    <x v="19"/>
    <x v="0"/>
    <s v="PG"/>
    <n v="19000000"/>
    <n v="61500000"/>
    <n v="0"/>
    <n v="0"/>
  </r>
  <r>
    <n v="469"/>
    <x v="608"/>
    <x v="585"/>
    <n v="102"/>
    <x v="2"/>
    <s v="John Landis"/>
    <s v="Warner Bros. Pictures"/>
    <x v="19"/>
    <x v="0"/>
    <s v="PG"/>
    <n v="22000000"/>
    <n v="60000000"/>
    <n v="0"/>
    <n v="0"/>
  </r>
  <r>
    <n v="470"/>
    <x v="609"/>
    <x v="586"/>
    <n v="105"/>
    <x v="3"/>
    <s v="Martin Brest"/>
    <s v="Eddie Murphy Productions"/>
    <x v="19"/>
    <x v="0"/>
    <n v="15"/>
    <n v="15000000"/>
    <n v="316400000"/>
    <n v="1"/>
    <n v="0"/>
  </r>
  <r>
    <n v="472"/>
    <x v="610"/>
    <x v="587"/>
    <n v="106"/>
    <x v="2"/>
    <s v="Joe Dante"/>
    <s v="Amblin Entertainment"/>
    <x v="19"/>
    <x v="0"/>
    <n v="15"/>
    <n v="11000000"/>
    <n v="153100000"/>
    <n v="0"/>
    <n v="0"/>
  </r>
  <r>
    <n v="473"/>
    <x v="611"/>
    <x v="588"/>
    <n v="127"/>
    <x v="10"/>
    <s v="John G. Avildsen"/>
    <s v="Columbia Pictures"/>
    <x v="19"/>
    <x v="0"/>
    <s v="PG"/>
    <n v="8000000"/>
    <n v="90800000"/>
    <n v="1"/>
    <n v="0"/>
  </r>
  <r>
    <n v="474"/>
    <x v="612"/>
    <x v="589"/>
    <n v="96"/>
    <x v="2"/>
    <s v="Hugh Wilson"/>
    <s v="The Ladd Company"/>
    <x v="19"/>
    <x v="0"/>
    <n v="15"/>
    <n v="4500000"/>
    <n v="146000000"/>
    <n v="0"/>
    <n v="0"/>
  </r>
  <r>
    <n v="475"/>
    <x v="613"/>
    <x v="590"/>
    <n v="110"/>
    <x v="10"/>
    <s v="Herbert Ross"/>
    <s v="Paramount Pictures"/>
    <x v="19"/>
    <x v="0"/>
    <n v="15"/>
    <n v="8200000"/>
    <n v="80000000"/>
    <n v="2"/>
    <n v="0"/>
  </r>
  <r>
    <n v="476"/>
    <x v="614"/>
    <x v="591"/>
    <n v="106"/>
    <x v="1"/>
    <s v="Robert Zemeckis"/>
    <s v="20th Century Fox"/>
    <x v="19"/>
    <x v="0"/>
    <n v="12"/>
    <n v="10000000"/>
    <n v="86500000"/>
    <n v="1"/>
    <n v="0"/>
  </r>
  <r>
    <n v="477"/>
    <x v="615"/>
    <x v="390"/>
    <n v="132"/>
    <x v="10"/>
    <s v="James L. Brooks"/>
    <s v="Paramount Pictures"/>
    <x v="19"/>
    <x v="0"/>
    <n v="15"/>
    <n v="8000000"/>
    <n v="108400000"/>
    <n v="11"/>
    <n v="5"/>
  </r>
  <r>
    <n v="478"/>
    <x v="616"/>
    <x v="592"/>
    <n v="98"/>
    <x v="10"/>
    <s v="Adrian Lyne"/>
    <s v="Polygram Filmed Entertainment"/>
    <x v="19"/>
    <x v="0"/>
    <n v="15"/>
    <n v="7000000"/>
    <n v="201500000"/>
    <n v="4"/>
    <n v="1"/>
  </r>
  <r>
    <n v="479"/>
    <x v="617"/>
    <x v="593"/>
    <n v="116"/>
    <x v="2"/>
    <s v="John Landis"/>
    <s v="Eddie Murphy Productions"/>
    <x v="19"/>
    <x v="0"/>
    <n v="15"/>
    <n v="15000000"/>
    <n v="90400000"/>
    <n v="1"/>
    <n v="0"/>
  </r>
  <r>
    <n v="480"/>
    <x v="618"/>
    <x v="594"/>
    <n v="114"/>
    <x v="8"/>
    <s v="John Badham"/>
    <s v="United Artists"/>
    <x v="19"/>
    <x v="0"/>
    <s v="PG"/>
    <n v="12000000"/>
    <n v="79600000"/>
    <n v="3"/>
    <n v="0"/>
  </r>
  <r>
    <n v="481"/>
    <x v="619"/>
    <x v="390"/>
    <n v="117"/>
    <x v="8"/>
    <s v="Clint Eastwood"/>
    <s v="Warner Bros. Pictures"/>
    <x v="19"/>
    <x v="0"/>
    <n v="18"/>
    <n v="22000000"/>
    <n v="67642693"/>
    <n v="0"/>
    <n v="0"/>
  </r>
  <r>
    <n v="482"/>
    <x v="620"/>
    <x v="595"/>
    <n v="93"/>
    <x v="10"/>
    <s v="Sylvester Stallone"/>
    <s v="Paramount Pictures"/>
    <x v="19"/>
    <x v="0"/>
    <s v="PG"/>
    <n v="22000000"/>
    <n v="64800000"/>
    <n v="0"/>
    <n v="0"/>
  </r>
  <r>
    <n v="485"/>
    <x v="621"/>
    <x v="596"/>
    <n v="116"/>
    <x v="2"/>
    <s v="Sydney Pollack"/>
    <s v="Mirage Studios"/>
    <x v="19"/>
    <x v="0"/>
    <n v="15"/>
    <n v="21000000"/>
    <n v="177200000"/>
    <n v="10"/>
    <n v="1"/>
  </r>
  <r>
    <n v="486"/>
    <x v="622"/>
    <x v="597"/>
    <n v="122"/>
    <x v="10"/>
    <s v="Taylor Hackford"/>
    <s v="Lorimar Productions"/>
    <x v="19"/>
    <x v="0"/>
    <n v="15"/>
    <n v="6000000"/>
    <n v="129800000"/>
    <n v="6"/>
    <n v="2"/>
  </r>
  <r>
    <n v="487"/>
    <x v="623"/>
    <x v="598"/>
    <n v="100"/>
    <x v="18"/>
    <s v="Sylvester Stallone"/>
    <s v="United Artists"/>
    <x v="19"/>
    <x v="0"/>
    <s v="PG"/>
    <n v="17000000"/>
    <n v="270000000"/>
    <n v="1"/>
    <n v="0"/>
  </r>
  <r>
    <n v="489"/>
    <x v="624"/>
    <x v="599"/>
    <n v="96"/>
    <x v="3"/>
    <s v="Walter Hill"/>
    <s v="Paramount Pictures"/>
    <x v="19"/>
    <x v="0"/>
    <n v="18"/>
    <n v="12000000"/>
    <n v="78900000"/>
    <n v="0"/>
    <n v="0"/>
  </r>
  <r>
    <n v="490"/>
    <x v="625"/>
    <x v="409"/>
    <n v="114"/>
    <x v="14"/>
    <s v="Tobe Hooper"/>
    <s v="Metro-Goldwyn-Mayer"/>
    <x v="19"/>
    <x v="0"/>
    <n v="15"/>
    <n v="10700000"/>
    <n v="121700000"/>
    <n v="3"/>
    <n v="0"/>
  </r>
  <r>
    <n v="492"/>
    <x v="626"/>
    <x v="600"/>
    <n v="128"/>
    <x v="16"/>
    <s v="John Huston"/>
    <s v="Rastar"/>
    <x v="19"/>
    <x v="0"/>
    <s v="U"/>
    <n v="50000000"/>
    <n v="57000000"/>
    <n v="2"/>
    <n v="0"/>
  </r>
  <r>
    <n v="495"/>
    <x v="627"/>
    <x v="601"/>
    <n v="97"/>
    <x v="2"/>
    <s v="Steve Gordon"/>
    <s v="Orion Pictures"/>
    <x v="19"/>
    <x v="0"/>
    <n v="15"/>
    <n v="7000000"/>
    <n v="95461682"/>
    <n v="4"/>
    <n v="2"/>
  </r>
  <r>
    <n v="497"/>
    <x v="628"/>
    <x v="602"/>
    <n v="95"/>
    <x v="2"/>
    <s v="Hal Needham"/>
    <s v="Golden Harvest"/>
    <x v="19"/>
    <x v="0"/>
    <s v="PG"/>
    <n v="18000000"/>
    <n v="72179579"/>
    <n v="0"/>
    <n v="0"/>
  </r>
  <r>
    <n v="501"/>
    <x v="629"/>
    <x v="603"/>
    <n v="110"/>
    <x v="2"/>
    <s v="Colin Higgins"/>
    <s v="20th Century Fox"/>
    <x v="19"/>
    <x v="0"/>
    <s v="U"/>
    <n v="10000000"/>
    <n v="103290500"/>
    <n v="1"/>
    <n v="0"/>
  </r>
  <r>
    <n v="502"/>
    <x v="630"/>
    <x v="604"/>
    <n v="111"/>
    <x v="2"/>
    <s v="Sidney Poitier"/>
    <s v="Columbia Pictures"/>
    <x v="19"/>
    <x v="0"/>
    <n v="15"/>
    <n v="10000000"/>
    <n v="101300000"/>
    <n v="0"/>
    <n v="0"/>
  </r>
  <r>
    <n v="503"/>
    <x v="631"/>
    <x v="605"/>
    <n v="87"/>
    <x v="2"/>
    <s v="Jim Abrahams"/>
    <s v="Paramount Pictures"/>
    <x v="19"/>
    <x v="0"/>
    <n v="15"/>
    <n v="3500000"/>
    <n v="130000000"/>
    <n v="0"/>
    <n v="0"/>
  </r>
  <r>
    <n v="504"/>
    <x v="632"/>
    <x v="606"/>
    <n v="116"/>
    <x v="3"/>
    <s v="Buddy Van Horn"/>
    <s v="The Malpaso Company"/>
    <x v="19"/>
    <x v="0"/>
    <s v="PG"/>
    <n v="15000000"/>
    <n v="70700000"/>
    <n v="0"/>
    <n v="0"/>
  </r>
  <r>
    <n v="505"/>
    <x v="633"/>
    <x v="607"/>
    <n v="109"/>
    <x v="2"/>
    <s v="Howard Zieff"/>
    <s v="Warner Bros. Pictures"/>
    <x v="19"/>
    <x v="0"/>
    <n v="15"/>
    <n v="15000000"/>
    <n v="69847348"/>
    <n v="3"/>
    <n v="0"/>
  </r>
  <r>
    <n v="507"/>
    <x v="634"/>
    <x v="608"/>
    <n v="100"/>
    <x v="2"/>
    <s v="Hal Needham"/>
    <s v="Rastar"/>
    <x v="19"/>
    <x v="0"/>
    <s v="PG"/>
    <n v="17000000"/>
    <n v="66100000"/>
    <n v="0"/>
    <n v="0"/>
  </r>
  <r>
    <n v="509"/>
    <x v="635"/>
    <x v="609"/>
    <n v="132"/>
    <x v="2"/>
    <s v="John Landis"/>
    <s v="Universal Pictures"/>
    <x v="19"/>
    <x v="0"/>
    <n v="15"/>
    <n v="30000000"/>
    <n v="115200000"/>
    <n v="0"/>
    <n v="0"/>
  </r>
  <r>
    <n v="510"/>
    <x v="636"/>
    <x v="610"/>
    <n v="105"/>
    <x v="10"/>
    <s v="Robert Benton"/>
    <s v="Columbia Pictures"/>
    <x v="19"/>
    <x v="0"/>
    <s v="PG"/>
    <n v="8000000"/>
    <n v="106260000"/>
    <n v="9"/>
    <n v="5"/>
  </r>
  <r>
    <n v="511"/>
    <x v="637"/>
    <x v="611"/>
    <n v="118"/>
    <x v="14"/>
    <s v="Stuart Rosenberg"/>
    <s v="Dino De Laurentiis Corporation"/>
    <x v="19"/>
    <x v="0"/>
    <n v="15"/>
    <n v="4700000"/>
    <n v="86400000"/>
    <n v="1"/>
    <n v="0"/>
  </r>
  <r>
    <n v="512"/>
    <x v="638"/>
    <x v="612"/>
    <n v="119"/>
    <x v="10"/>
    <s v="Sylvester Stallone"/>
    <s v="United Artists"/>
    <x v="19"/>
    <x v="0"/>
    <s v="PG"/>
    <n v="7000000"/>
    <n v="200100000"/>
    <n v="0"/>
    <n v="0"/>
  </r>
  <r>
    <n v="513"/>
    <x v="639"/>
    <x v="613"/>
    <n v="153"/>
    <x v="7"/>
    <s v="Francis Ford Coppola"/>
    <s v="Zoetrope Studios"/>
    <x v="19"/>
    <x v="0"/>
    <n v="18"/>
    <n v="31500000"/>
    <n v="150000000"/>
    <n v="8"/>
    <n v="2"/>
  </r>
  <r>
    <n v="514"/>
    <x v="640"/>
    <x v="614"/>
    <n v="122"/>
    <x v="17"/>
    <s v="Blake Edwards"/>
    <s v="Orion Pictures"/>
    <x v="19"/>
    <x v="0"/>
    <n v="18"/>
    <n v="7000000"/>
    <n v="74800000"/>
    <n v="2"/>
    <n v="0"/>
  </r>
  <r>
    <n v="515"/>
    <x v="641"/>
    <x v="615"/>
    <n v="94"/>
    <x v="2"/>
    <s v="Carl Reiner"/>
    <s v="Universal Pictures"/>
    <x v="19"/>
    <x v="0"/>
    <n v="15"/>
    <n v="4000000"/>
    <n v="73700000"/>
    <n v="0"/>
    <n v="0"/>
  </r>
  <r>
    <n v="516"/>
    <x v="642"/>
    <x v="616"/>
    <n v="97"/>
    <x v="23"/>
    <s v="James Frawley"/>
    <s v="Henson Associates"/>
    <x v="19"/>
    <x v="0"/>
    <s v="U"/>
    <n v="8000000"/>
    <n v="76600000"/>
    <n v="2"/>
    <n v="0"/>
  </r>
  <r>
    <n v="517"/>
    <x v="643"/>
    <x v="617"/>
    <n v="110"/>
    <x v="16"/>
    <s v="Randal Kleiser"/>
    <s v="Paramount Pictures"/>
    <x v="19"/>
    <x v="0"/>
    <s v="PG"/>
    <n v="6000000"/>
    <n v="395000000"/>
    <n v="1"/>
    <n v="0"/>
  </r>
  <r>
    <n v="518"/>
    <x v="644"/>
    <x v="618"/>
    <n v="109"/>
    <x v="2"/>
    <s v="John Landis"/>
    <s v="Universal Pictures"/>
    <x v="19"/>
    <x v="0"/>
    <n v="15"/>
    <n v="3000000"/>
    <n v="141600000"/>
    <n v="0"/>
    <n v="0"/>
  </r>
  <r>
    <n v="519"/>
    <x v="645"/>
    <x v="619"/>
    <n v="114"/>
    <x v="3"/>
    <s v="James Fargo"/>
    <s v="The Malpaso Company"/>
    <x v="19"/>
    <x v="0"/>
    <n v="15"/>
    <n v="5000000"/>
    <n v="85000000"/>
    <n v="0"/>
    <n v="0"/>
  </r>
  <r>
    <n v="522"/>
    <x v="646"/>
    <x v="617"/>
    <n v="116"/>
    <x v="8"/>
    <s v="Jeannot Szwarc"/>
    <s v="Universal Pictures"/>
    <x v="19"/>
    <x v="0"/>
    <s v="PG"/>
    <n v="20000000"/>
    <n v="208900000"/>
    <n v="0"/>
    <n v="0"/>
  </r>
  <r>
    <n v="523"/>
    <x v="647"/>
    <x v="620"/>
    <n v="127"/>
    <x v="14"/>
    <s v="George A. Romero"/>
    <s v="Laurel Group"/>
    <x v="19"/>
    <x v="0"/>
    <n v="18"/>
    <n v="1500000"/>
    <n v="55000000"/>
    <n v="0"/>
    <n v="0"/>
  </r>
  <r>
    <n v="525"/>
    <x v="648"/>
    <x v="621"/>
    <n v="183"/>
    <x v="10"/>
    <s v="Michael Cimino"/>
    <s v="EMI Films"/>
    <x v="19"/>
    <x v="0"/>
    <n v="18"/>
    <n v="15000000"/>
    <n v="49000000"/>
    <n v="9"/>
    <n v="5"/>
  </r>
  <r>
    <n v="526"/>
    <x v="649"/>
    <x v="622"/>
    <n v="96"/>
    <x v="2"/>
    <s v="Hal Needham"/>
    <s v="Rastar"/>
    <x v="19"/>
    <x v="0"/>
    <s v="PG"/>
    <n v="4300000"/>
    <n v="300000000"/>
    <n v="1"/>
    <n v="0"/>
  </r>
  <r>
    <n v="527"/>
    <x v="650"/>
    <x v="623"/>
    <n v="135"/>
    <x v="9"/>
    <s v="Steven Spielberg"/>
    <s v="EMI Films"/>
    <x v="19"/>
    <x v="0"/>
    <s v="PG"/>
    <n v="20000000"/>
    <n v="303800000"/>
    <n v="8"/>
    <n v="1"/>
  </r>
  <r>
    <n v="529"/>
    <x v="651"/>
    <x v="624"/>
    <n v="118"/>
    <x v="10"/>
    <s v="John Badham"/>
    <s v="Paramount Pictures"/>
    <x v="19"/>
    <x v="0"/>
    <n v="18"/>
    <n v="3500000"/>
    <n v="237100000"/>
    <n v="1"/>
    <n v="0"/>
  </r>
  <r>
    <n v="532"/>
    <x v="652"/>
    <x v="625"/>
    <n v="124"/>
    <x v="1"/>
    <s v="Peter Yates"/>
    <s v="EMI Films"/>
    <x v="19"/>
    <x v="0"/>
    <n v="15"/>
    <n v="9000000"/>
    <n v="47300000"/>
    <n v="1"/>
    <n v="0"/>
  </r>
  <r>
    <n v="533"/>
    <x v="653"/>
    <x v="626"/>
    <n v="93"/>
    <x v="17"/>
    <s v="Woody Allen"/>
    <s v="United Artists"/>
    <x v="19"/>
    <x v="0"/>
    <n v="15"/>
    <n v="4000000"/>
    <n v="38300000"/>
    <n v="5"/>
    <n v="4"/>
  </r>
  <r>
    <n v="534"/>
    <x v="654"/>
    <x v="627"/>
    <n v="119"/>
    <x v="10"/>
    <s v="John G. Avildsen"/>
    <s v="United Artists"/>
    <x v="19"/>
    <x v="0"/>
    <s v="PG"/>
    <n v="1100000"/>
    <n v="225000000"/>
    <n v="10"/>
    <n v="3"/>
  </r>
  <r>
    <n v="537"/>
    <x v="655"/>
    <x v="628"/>
    <n v="138"/>
    <x v="8"/>
    <s v="Alan J. Pakula"/>
    <s v="Warner Bros. Pictures"/>
    <x v="19"/>
    <x v="0"/>
    <n v="15"/>
    <n v="8500000"/>
    <n v="70600000"/>
    <n v="8"/>
    <n v="4"/>
  </r>
  <r>
    <n v="538"/>
    <x v="656"/>
    <x v="629"/>
    <n v="111"/>
    <x v="14"/>
    <s v="Richard Donner"/>
    <s v="20th Century Fox"/>
    <x v="19"/>
    <x v="0"/>
    <n v="18"/>
    <n v="2800000"/>
    <n v="60900000"/>
    <n v="2"/>
    <n v="1"/>
  </r>
  <r>
    <n v="540"/>
    <x v="657"/>
    <x v="630"/>
    <n v="114"/>
    <x v="2"/>
    <s v="Arthur Hiller"/>
    <s v="20th Century Fox"/>
    <x v="19"/>
    <x v="0"/>
    <s v="PG"/>
    <n v="6500000"/>
    <n v="51100000"/>
    <n v="1"/>
    <n v="0"/>
  </r>
  <r>
    <n v="541"/>
    <x v="658"/>
    <x v="631"/>
    <n v="96"/>
    <x v="3"/>
    <s v="James Fargo"/>
    <s v="Warner Bros. Pictures"/>
    <x v="19"/>
    <x v="0"/>
    <n v="18"/>
    <n v="9000000"/>
    <n v="46236000"/>
    <n v="0"/>
    <n v="0"/>
  </r>
  <r>
    <n v="542"/>
    <x v="659"/>
    <x v="632"/>
    <n v="131"/>
    <x v="7"/>
    <s v="Jack Smight"/>
    <s v="Universal Pictures"/>
    <x v="19"/>
    <x v="0"/>
    <s v="PG"/>
    <n v="3000000"/>
    <n v="43200000"/>
    <n v="0"/>
    <n v="0"/>
  </r>
  <r>
    <n v="543"/>
    <x v="660"/>
    <x v="633"/>
    <n v="124"/>
    <x v="8"/>
    <s v="Steven Spielberg"/>
    <s v="Universal Pictures"/>
    <x v="19"/>
    <x v="0"/>
    <s v="PG"/>
    <n v="9000000"/>
    <n v="470700000"/>
    <n v="4"/>
    <n v="3"/>
  </r>
  <r>
    <n v="545"/>
    <x v="661"/>
    <x v="634"/>
    <n v="133"/>
    <x v="10"/>
    <s v="Milos Forman"/>
    <s v="United Artists"/>
    <x v="19"/>
    <x v="0"/>
    <n v="18"/>
    <n v="3000000"/>
    <n v="109000000"/>
    <n v="9"/>
    <n v="5"/>
  </r>
  <r>
    <n v="546"/>
    <x v="662"/>
    <x v="635"/>
    <n v="125"/>
    <x v="4"/>
    <s v="Sidney Lumet"/>
    <s v="Warner Bros. Pictures"/>
    <x v="19"/>
    <x v="0"/>
    <n v="15"/>
    <n v="1800000"/>
    <n v="50000000"/>
    <n v="6"/>
    <n v="1"/>
  </r>
  <r>
    <n v="547"/>
    <x v="663"/>
    <x v="636"/>
    <n v="110"/>
    <x v="10"/>
    <s v="Hal Ashby"/>
    <s v="Columbia Pictures"/>
    <x v="19"/>
    <x v="0"/>
    <n v="18"/>
    <n v="4000000"/>
    <n v="60000000"/>
    <n v="4"/>
    <n v="1"/>
  </r>
  <r>
    <n v="553"/>
    <x v="664"/>
    <x v="637"/>
    <n v="92"/>
    <x v="2"/>
    <s v="Mel Brooks"/>
    <s v="Warner Bros. Pictures"/>
    <x v="19"/>
    <x v="0"/>
    <n v="15"/>
    <n v="2600000"/>
    <n v="119600000"/>
    <n v="3"/>
    <n v="0"/>
  </r>
  <r>
    <n v="554"/>
    <x v="665"/>
    <x v="638"/>
    <n v="165"/>
    <x v="22"/>
    <s v="John Guillermin"/>
    <s v="20th Century Fox"/>
    <x v="19"/>
    <x v="0"/>
    <n v="15"/>
    <n v="14300000"/>
    <n v="139700000"/>
    <n v="8"/>
    <n v="3"/>
  </r>
  <r>
    <n v="556"/>
    <x v="666"/>
    <x v="639"/>
    <n v="105"/>
    <x v="2"/>
    <s v="Mel Brooks"/>
    <s v="20th Century Fox"/>
    <x v="19"/>
    <x v="0"/>
    <n v="15"/>
    <n v="2780000"/>
    <n v="86200000"/>
    <n v="2"/>
    <n v="0"/>
  </r>
  <r>
    <n v="557"/>
    <x v="667"/>
    <x v="640"/>
    <n v="121"/>
    <x v="22"/>
    <s v="Mark Robson"/>
    <s v="Universal Pictures"/>
    <x v="19"/>
    <x v="0"/>
    <s v="PG"/>
    <n v="7000000"/>
    <n v="79666653"/>
    <n v="4"/>
    <n v="1"/>
  </r>
  <r>
    <n v="558"/>
    <x v="668"/>
    <x v="641"/>
    <n v="202"/>
    <x v="4"/>
    <s v="Francis Ford Coppola"/>
    <s v="Paramount Pictures"/>
    <x v="19"/>
    <x v="0"/>
    <n v="18"/>
    <n v="13000000"/>
    <n v="57300000"/>
    <n v="11"/>
    <n v="6"/>
  </r>
  <r>
    <n v="559"/>
    <x v="669"/>
    <x v="642"/>
    <n v="106"/>
    <x v="22"/>
    <s v="Jack Smight"/>
    <s v="Universal Pictures"/>
    <x v="19"/>
    <x v="0"/>
    <s v="PG"/>
    <n v="3000000"/>
    <n v="47285152"/>
    <n v="0"/>
    <n v="0"/>
  </r>
  <r>
    <n v="561"/>
    <x v="670"/>
    <x v="643"/>
    <n v="121"/>
    <x v="2"/>
    <s v="Robert Aldrich"/>
    <s v="Paramount Pictures"/>
    <x v="19"/>
    <x v="0"/>
    <n v="15"/>
    <n v="2900000"/>
    <n v="43008075"/>
    <n v="1"/>
    <n v="0"/>
  </r>
  <r>
    <n v="563"/>
    <x v="671"/>
    <x v="644"/>
    <n v="129"/>
    <x v="4"/>
    <s v="George Roy Hill"/>
    <s v="Universal Pictures"/>
    <x v="19"/>
    <x v="0"/>
    <s v="PG"/>
    <n v="5500000"/>
    <n v="159600000"/>
    <n v="10"/>
    <n v="7"/>
  </r>
  <r>
    <n v="564"/>
    <x v="672"/>
    <x v="644"/>
    <n v="121"/>
    <x v="14"/>
    <s v="William Friedkin"/>
    <s v="Warner Bros. Pictures"/>
    <x v="19"/>
    <x v="0"/>
    <n v="18"/>
    <n v="12000000"/>
    <n v="441300000"/>
    <n v="10"/>
    <n v="2"/>
  </r>
  <r>
    <n v="565"/>
    <x v="673"/>
    <x v="645"/>
    <n v="112"/>
    <x v="10"/>
    <s v="George Lucas"/>
    <s v="Lucasfilm"/>
    <x v="19"/>
    <x v="0"/>
    <s v="PG"/>
    <n v="777000"/>
    <n v="140000000"/>
    <n v="5"/>
    <n v="0"/>
  </r>
  <r>
    <n v="566"/>
    <x v="674"/>
    <x v="646"/>
    <n v="150"/>
    <x v="4"/>
    <s v="Franklin J. Schaffner"/>
    <s v="Columbia Pictures"/>
    <x v="19"/>
    <x v="0"/>
    <n v="15"/>
    <n v="13500000"/>
    <n v="53267000"/>
    <n v="1"/>
    <n v="0"/>
  </r>
  <r>
    <n v="570"/>
    <x v="675"/>
    <x v="647"/>
    <n v="83"/>
    <x v="0"/>
    <s v="Wolfgang Reitherman"/>
    <s v="Walt Disney Pictures"/>
    <x v="19"/>
    <x v="0"/>
    <s v="U"/>
    <n v="5000000"/>
    <n v="32000000"/>
    <n v="1"/>
    <n v="0"/>
  </r>
  <r>
    <n v="572"/>
    <x v="676"/>
    <x v="648"/>
    <n v="177"/>
    <x v="4"/>
    <s v="Francis Ford Coppola"/>
    <s v="Paramount Pictures"/>
    <x v="19"/>
    <x v="0"/>
    <n v="18"/>
    <n v="7000000"/>
    <n v="245100000"/>
    <n v="11"/>
    <n v="3"/>
  </r>
  <r>
    <n v="573"/>
    <x v="677"/>
    <x v="649"/>
    <n v="117"/>
    <x v="22"/>
    <s v="Ronald Neame"/>
    <s v="20th Century Fox"/>
    <x v="19"/>
    <x v="0"/>
    <s v="PG"/>
    <n v="4700000"/>
    <n v="127300000"/>
    <n v="8"/>
    <n v="1"/>
  </r>
  <r>
    <n v="576"/>
    <x v="678"/>
    <x v="650"/>
    <n v="110"/>
    <x v="8"/>
    <s v="John Boorman"/>
    <s v="Warner Bros. Pictures"/>
    <x v="19"/>
    <x v="0"/>
    <n v="18"/>
    <n v="2000000"/>
    <n v="4610000"/>
    <n v="3"/>
    <n v="0"/>
  </r>
  <r>
    <n v="578"/>
    <x v="679"/>
    <x v="651"/>
    <n v="124"/>
    <x v="16"/>
    <s v="Bob Fosse"/>
    <s v="Allied Artists"/>
    <x v="19"/>
    <x v="0"/>
    <n v="15"/>
    <n v="2285000"/>
    <n v="42765000"/>
    <n v="10"/>
    <n v="8"/>
  </r>
  <r>
    <n v="582"/>
    <x v="680"/>
    <x v="652"/>
    <n v="179"/>
    <x v="16"/>
    <s v="Norman Jewison"/>
    <s v="The Mirisch Production Company"/>
    <x v="19"/>
    <x v="0"/>
    <s v="U"/>
    <n v="9000000"/>
    <n v="83300000"/>
    <n v="8"/>
    <n v="3"/>
  </r>
  <r>
    <n v="583"/>
    <x v="681"/>
    <x v="653"/>
    <n v="104"/>
    <x v="4"/>
    <s v="William Friedkin"/>
    <s v="20th Century Fox"/>
    <x v="19"/>
    <x v="0"/>
    <n v="18"/>
    <n v="1800000"/>
    <n v="51700000"/>
    <n v="8"/>
    <n v="5"/>
  </r>
  <r>
    <n v="584"/>
    <x v="682"/>
    <x v="654"/>
    <n v="102"/>
    <x v="8"/>
    <s v="Don Siegel"/>
    <s v="The Malpaso Company"/>
    <x v="19"/>
    <x v="0"/>
    <n v="18"/>
    <n v="4000000"/>
    <n v="36000000"/>
    <n v="0"/>
    <n v="0"/>
  </r>
  <r>
    <n v="590"/>
    <x v="683"/>
    <x v="655"/>
    <n v="100"/>
    <x v="13"/>
    <s v="Arthur Hiller"/>
    <s v="Paramount Pictures"/>
    <x v="19"/>
    <x v="0"/>
    <s v="PG"/>
    <n v="2200000"/>
    <n v="136400000"/>
    <n v="7"/>
    <n v="1"/>
  </r>
  <r>
    <n v="591"/>
    <x v="684"/>
    <x v="656"/>
    <n v="137"/>
    <x v="22"/>
    <s v="George Seaton"/>
    <s v="Universal Pictures"/>
    <x v="19"/>
    <x v="0"/>
    <s v="PG"/>
    <n v="10200000"/>
    <n v="100500000"/>
    <n v="10"/>
    <n v="1"/>
  </r>
  <r>
    <n v="593"/>
    <x v="685"/>
    <x v="657"/>
    <n v="170"/>
    <x v="12"/>
    <s v="Franklin J. Schaffner"/>
    <s v="20th Century Fox"/>
    <x v="19"/>
    <x v="0"/>
    <s v="PG"/>
    <n v="12600000"/>
    <n v="61800000"/>
    <n v="10"/>
    <n v="7"/>
  </r>
  <r>
    <n v="600"/>
    <x v="686"/>
    <x v="658"/>
    <n v="110"/>
    <x v="11"/>
    <s v="George Roy Hill"/>
    <s v="20th Century Fox"/>
    <x v="19"/>
    <x v="0"/>
    <s v="PG"/>
    <n v="6000000"/>
    <n v="102300000"/>
    <n v="7"/>
    <n v="4"/>
  </r>
  <r>
    <n v="601"/>
    <x v="687"/>
    <x v="659"/>
    <n v="113"/>
    <x v="10"/>
    <s v="John Schlesinger"/>
    <s v="United Artists"/>
    <x v="19"/>
    <x v="0"/>
    <n v="18"/>
    <n v="3200000"/>
    <n v="44800000"/>
    <n v="7"/>
    <n v="3"/>
  </r>
  <r>
    <n v="602"/>
    <x v="688"/>
    <x v="660"/>
    <n v="95"/>
    <x v="10"/>
    <s v="Dennis Hopper"/>
    <s v="Columbia Pictures"/>
    <x v="19"/>
    <x v="0"/>
    <n v="18"/>
    <n v="360000"/>
    <n v="60000000"/>
    <n v="2"/>
    <n v="0"/>
  </r>
  <r>
    <n v="605"/>
    <x v="689"/>
    <x v="661"/>
    <n v="154"/>
    <x v="16"/>
    <s v="Joshua Logan"/>
    <s v="The Malpaso Company"/>
    <x v="19"/>
    <x v="0"/>
    <s v="PG"/>
    <n v="20000000"/>
    <n v="31678778"/>
    <n v="1"/>
    <n v="0"/>
  </r>
  <r>
    <n v="611"/>
    <x v="690"/>
    <x v="662"/>
    <n v="108"/>
    <x v="2"/>
    <s v="Robert Stevenson"/>
    <s v="Walt Disney Pictures"/>
    <x v="19"/>
    <x v="0"/>
    <s v="U"/>
    <n v="5000000"/>
    <n v="51264000"/>
    <n v="0"/>
    <n v="0"/>
  </r>
  <r>
    <n v="612"/>
    <x v="691"/>
    <x v="663"/>
    <n v="105"/>
    <x v="2"/>
    <s v="Gene Saks"/>
    <s v="Paramount Pictures"/>
    <x v="19"/>
    <x v="0"/>
    <s v="PG"/>
    <n v="1200000"/>
    <n v="44527234"/>
    <n v="2"/>
    <n v="0"/>
  </r>
  <r>
    <n v="613"/>
    <x v="692"/>
    <x v="664"/>
    <n v="113"/>
    <x v="4"/>
    <s v="Peter Yates"/>
    <s v="Warner Bros. Pictures"/>
    <x v="19"/>
    <x v="0"/>
    <n v="15"/>
    <n v="5500000"/>
    <n v="42300000"/>
    <n v="2"/>
    <n v="1"/>
  </r>
  <r>
    <n v="617"/>
    <x v="693"/>
    <x v="150"/>
    <n v="112"/>
    <x v="9"/>
    <s v="Franklin J. Schaffner"/>
    <s v="20th Century Fox"/>
    <x v="19"/>
    <x v="0"/>
    <s v="PG"/>
    <n v="5800000"/>
    <n v="33400000"/>
    <n v="2"/>
    <n v="0"/>
  </r>
  <r>
    <n v="618"/>
    <x v="694"/>
    <x v="665"/>
    <n v="105"/>
    <x v="2"/>
    <s v="Mike Nichols"/>
    <s v="United Artists"/>
    <x v="19"/>
    <x v="0"/>
    <n v="15"/>
    <n v="3000000"/>
    <n v="104900000"/>
    <n v="7"/>
    <n v="1"/>
  </r>
  <r>
    <n v="619"/>
    <x v="695"/>
    <x v="666"/>
    <n v="78"/>
    <x v="0"/>
    <s v="Wolfgang Reitherman"/>
    <s v="Walt Disney Pictures"/>
    <x v="19"/>
    <x v="0"/>
    <s v="U"/>
    <n v="4000000"/>
    <n v="205800000"/>
    <n v="1"/>
    <n v="0"/>
  </r>
  <r>
    <n v="621"/>
    <x v="696"/>
    <x v="667"/>
    <n v="111"/>
    <x v="4"/>
    <s v="Arthur Penn"/>
    <s v="Warner Bros. Pictures"/>
    <x v="19"/>
    <x v="0"/>
    <n v="18"/>
    <n v="2500000"/>
    <n v="70000000"/>
    <n v="10"/>
    <n v="2"/>
  </r>
  <r>
    <n v="622"/>
    <x v="697"/>
    <x v="668"/>
    <n v="150"/>
    <x v="7"/>
    <s v="Robert Aldrich"/>
    <s v="Metro-Goldwyn-Mayer"/>
    <x v="19"/>
    <x v="0"/>
    <n v="15"/>
    <n v="5400000"/>
    <n v="45300000"/>
    <n v="4"/>
    <n v="1"/>
  </r>
  <r>
    <n v="627"/>
    <x v="698"/>
    <x v="669"/>
    <n v="96"/>
    <x v="14"/>
    <s v="George A. Romero"/>
    <s v="Laurel Group"/>
    <x v="19"/>
    <x v="0"/>
    <n v="15"/>
    <n v="114000"/>
    <n v="30000000"/>
    <n v="0"/>
    <n v="0"/>
  </r>
  <r>
    <n v="636"/>
    <x v="699"/>
    <x v="670"/>
    <n v="179"/>
    <x v="18"/>
    <s v="John Frankenheimer"/>
    <s v="Metro-Goldwyn-Mayer"/>
    <x v="19"/>
    <x v="0"/>
    <s v="PG"/>
    <n v="9000000"/>
    <n v="20800000"/>
    <n v="3"/>
    <n v="3"/>
  </r>
  <r>
    <n v="638"/>
    <x v="700"/>
    <x v="671"/>
    <n v="174"/>
    <x v="16"/>
    <s v="Robert Wise"/>
    <s v="20th Century Fox"/>
    <x v="19"/>
    <x v="0"/>
    <s v="U"/>
    <n v="8200000"/>
    <n v="286200000"/>
    <n v="10"/>
    <n v="5"/>
  </r>
  <r>
    <n v="646"/>
    <x v="701"/>
    <x v="672"/>
    <n v="117"/>
    <x v="7"/>
    <s v="Mark Robson"/>
    <s v="20th Century Fox"/>
    <x v="19"/>
    <x v="0"/>
    <s v="PG"/>
    <n v="5760000"/>
    <n v="17111111"/>
    <n v="1"/>
    <n v="0"/>
  </r>
  <r>
    <n v="648"/>
    <x v="702"/>
    <x v="673"/>
    <n v="170"/>
    <x v="16"/>
    <s v="George Cukor"/>
    <s v="Warner Bros. Pictures"/>
    <x v="19"/>
    <x v="0"/>
    <s v="U"/>
    <n v="17000000"/>
    <n v="72000000"/>
    <n v="12"/>
    <n v="8"/>
  </r>
  <r>
    <n v="655"/>
    <x v="703"/>
    <x v="674"/>
    <n v="248"/>
    <x v="19"/>
    <s v="Joseph L. Mankiewicz"/>
    <s v="20th Century Fox"/>
    <x v="19"/>
    <x v="0"/>
    <s v="PG"/>
    <n v="31100000"/>
    <n v="57800000"/>
    <n v="9"/>
    <n v="4"/>
  </r>
  <r>
    <n v="656"/>
    <x v="704"/>
    <x v="675"/>
    <n v="164"/>
    <x v="11"/>
    <s v="John Ford"/>
    <s v="Metro-Goldwyn-Mayer"/>
    <x v="19"/>
    <x v="0"/>
    <s v="U"/>
    <n v="14483000"/>
    <n v="50000000"/>
    <n v="8"/>
    <n v="3"/>
  </r>
  <r>
    <n v="657"/>
    <x v="705"/>
    <x v="676"/>
    <n v="210"/>
    <x v="2"/>
    <s v="Stanley Kramer"/>
    <s v="United Artists"/>
    <x v="19"/>
    <x v="0"/>
    <s v="U"/>
    <n v="9400000"/>
    <n v="60000000"/>
    <n v="6"/>
    <n v="1"/>
  </r>
  <r>
    <n v="660"/>
    <x v="706"/>
    <x v="677"/>
    <n v="79"/>
    <x v="0"/>
    <s v="Wolfgang Reitherman"/>
    <s v="Walt Disney Pictures"/>
    <x v="19"/>
    <x v="0"/>
    <s v="U"/>
    <n v="3000000"/>
    <n v="22200000"/>
    <n v="1"/>
    <n v="0"/>
  </r>
  <r>
    <n v="662"/>
    <x v="707"/>
    <x v="678"/>
    <n v="119"/>
    <x v="14"/>
    <s v="Alfred Hitchcock"/>
    <s v="Alfred J. Hitchcock Productions"/>
    <x v="19"/>
    <x v="0"/>
    <n v="15"/>
    <n v="3300000"/>
    <n v="11400000"/>
    <n v="1"/>
    <n v="0"/>
  </r>
  <r>
    <n v="665"/>
    <x v="708"/>
    <x v="679"/>
    <n v="178"/>
    <x v="7"/>
    <s v="Ken Annakin"/>
    <s v="20th Century Fox"/>
    <x v="19"/>
    <x v="0"/>
    <s v="PG"/>
    <n v="7750000"/>
    <n v="50100000"/>
    <n v="5"/>
    <n v="2"/>
  </r>
  <r>
    <n v="669"/>
    <x v="709"/>
    <x v="680"/>
    <n v="185"/>
    <x v="19"/>
    <s v="Lewis Milestone"/>
    <s v="Metro-Goldwyn-Mayer"/>
    <x v="19"/>
    <x v="0"/>
    <n v="15"/>
    <n v="19000000"/>
    <n v="13680000"/>
    <n v="7"/>
    <n v="0"/>
  </r>
  <r>
    <n v="670"/>
    <x v="710"/>
    <x v="681"/>
    <n v="129"/>
    <x v="10"/>
    <s v="Robert Mulligan"/>
    <s v="Universal Pictures"/>
    <x v="19"/>
    <x v="0"/>
    <s v="PG"/>
    <n v="2000000"/>
    <n v="13100000"/>
    <n v="8"/>
    <n v="3"/>
  </r>
  <r>
    <n v="674"/>
    <x v="711"/>
    <x v="682"/>
    <n v="152"/>
    <x v="16"/>
    <s v="Robert Wise"/>
    <s v="The Mirisch Production Company"/>
    <x v="19"/>
    <x v="0"/>
    <s v="PG"/>
    <n v="6000000"/>
    <n v="43700000"/>
    <n v="11"/>
    <n v="10"/>
  </r>
  <r>
    <n v="676"/>
    <x v="712"/>
    <x v="683"/>
    <n v="184"/>
    <x v="19"/>
    <s v="Anthony Mann"/>
    <s v="Samuel Bronston Productions"/>
    <x v="19"/>
    <x v="0"/>
    <s v="U"/>
    <n v="6200000"/>
    <n v="30000000"/>
    <n v="3"/>
    <n v="0"/>
  </r>
  <r>
    <n v="682"/>
    <x v="713"/>
    <x v="684"/>
    <n v="79"/>
    <x v="0"/>
    <s v="Wolfgang Reitherman"/>
    <s v="Walt Disney Pictures"/>
    <x v="19"/>
    <x v="0"/>
    <s v="U"/>
    <n v="4000000"/>
    <n v="215800000"/>
    <n v="0"/>
    <n v="0"/>
  </r>
  <r>
    <n v="684"/>
    <x v="714"/>
    <x v="685"/>
    <n v="184"/>
    <x v="19"/>
    <s v="Stanley Kubrick"/>
    <s v="Bryna Productions"/>
    <x v="19"/>
    <x v="0"/>
    <s v="PG"/>
    <n v="12000000"/>
    <n v="60000000"/>
    <n v="6"/>
    <n v="4"/>
  </r>
  <r>
    <n v="685"/>
    <x v="715"/>
    <x v="686"/>
    <n v="109"/>
    <x v="14"/>
    <s v="Alfred Hitchcock"/>
    <s v="Shamley Productions"/>
    <x v="19"/>
    <x v="0"/>
    <n v="15"/>
    <n v="806947"/>
    <n v="50000000"/>
    <n v="4"/>
    <n v="0"/>
  </r>
  <r>
    <n v="687"/>
    <x v="716"/>
    <x v="687"/>
    <n v="126"/>
    <x v="1"/>
    <s v="Ken Annakin"/>
    <s v="Walt Disney Pictures"/>
    <x v="19"/>
    <x v="0"/>
    <s v="U"/>
    <n v="4000000"/>
    <n v="40000000"/>
    <n v="0"/>
    <n v="0"/>
  </r>
  <r>
    <n v="688"/>
    <x v="717"/>
    <x v="688"/>
    <n v="167"/>
    <x v="7"/>
    <s v="John Wayne"/>
    <s v="United Artists"/>
    <x v="19"/>
    <x v="0"/>
    <s v="U"/>
    <n v="12000000"/>
    <n v="17260000"/>
    <n v="7"/>
    <n v="1"/>
  </r>
  <r>
    <n v="691"/>
    <x v="718"/>
    <x v="689"/>
    <n v="127"/>
    <x v="2"/>
    <s v="Lewis Milestone"/>
    <s v="Warner Bros. Pictures"/>
    <x v="19"/>
    <x v="0"/>
    <s v="PG"/>
    <n v="2800000"/>
    <n v="5650000"/>
    <n v="0"/>
    <n v="0"/>
  </r>
  <r>
    <n v="694"/>
    <x v="719"/>
    <x v="690"/>
    <n v="212"/>
    <x v="10"/>
    <s v="William Wyler"/>
    <s v="Metro-Goldwyn-Mayer"/>
    <x v="19"/>
    <x v="0"/>
    <s v="PG"/>
    <n v="15200000"/>
    <n v="146900000"/>
    <n v="12"/>
    <n v="11"/>
  </r>
  <r>
    <n v="695"/>
    <x v="720"/>
    <x v="691"/>
    <n v="75"/>
    <x v="0"/>
    <s v="Wolfgang Reitherman"/>
    <s v="Walt Disney Pictures"/>
    <x v="19"/>
    <x v="0"/>
    <s v="U"/>
    <n v="6000000"/>
    <n v="51600000"/>
    <n v="1"/>
    <n v="0"/>
  </r>
  <r>
    <n v="696"/>
    <x v="721"/>
    <x v="692"/>
    <n v="136"/>
    <x v="8"/>
    <s v="Alfred Hitchcock"/>
    <s v="Metro-Goldwyn-Mayer"/>
    <x v="19"/>
    <x v="0"/>
    <s v="PG"/>
    <n v="4326000"/>
    <n v="9800000"/>
    <n v="3"/>
    <n v="0"/>
  </r>
  <r>
    <n v="697"/>
    <x v="722"/>
    <x v="693"/>
    <n v="121"/>
    <x v="17"/>
    <s v="Billy Wilder"/>
    <s v="The Mirisch Production Company"/>
    <x v="19"/>
    <x v="0"/>
    <s v="U"/>
    <n v="2900000"/>
    <n v="40000000"/>
    <n v="6"/>
    <n v="1"/>
  </r>
  <r>
    <n v="704"/>
    <x v="723"/>
    <x v="694"/>
    <n v="171"/>
    <x v="16"/>
    <s v="Joshua Logan"/>
    <s v="20th Century Fox"/>
    <x v="19"/>
    <x v="0"/>
    <s v="U"/>
    <n v="5610000"/>
    <n v="36800000"/>
    <n v="3"/>
    <n v="1"/>
  </r>
  <r>
    <n v="709"/>
    <x v="724"/>
    <x v="695"/>
    <n v="116"/>
    <x v="1"/>
    <s v="Richard Fleischer"/>
    <s v="United Artists"/>
    <x v="19"/>
    <x v="0"/>
    <s v="PG"/>
    <n v="3500000"/>
    <n v="6000000"/>
    <n v="0"/>
    <n v="0"/>
  </r>
  <r>
    <n v="710"/>
    <x v="725"/>
    <x v="696"/>
    <n v="128"/>
    <x v="8"/>
    <s v="Alfred Hitchcock"/>
    <s v="Paramount Pictures"/>
    <x v="19"/>
    <x v="0"/>
    <s v="PG"/>
    <n v="2500000"/>
    <n v="7300000"/>
    <n v="2"/>
    <n v="0"/>
  </r>
  <r>
    <n v="721"/>
    <x v="726"/>
    <x v="697"/>
    <n v="152"/>
    <x v="10"/>
    <s v="Charles Vidor"/>
    <s v="Selznick International Pictures"/>
    <x v="19"/>
    <x v="0"/>
    <n v="15"/>
    <n v="4300000"/>
    <n v="20000000"/>
    <n v="1"/>
    <n v="0"/>
  </r>
  <r>
    <n v="722"/>
    <x v="727"/>
    <x v="698"/>
    <n v="122"/>
    <x v="11"/>
    <s v="John Sturges"/>
    <s v="Paramount Pictures"/>
    <x v="19"/>
    <x v="0"/>
    <s v="PG"/>
    <n v="2000000"/>
    <n v="10700000"/>
    <n v="2"/>
    <n v="0"/>
  </r>
  <r>
    <n v="724"/>
    <x v="728"/>
    <x v="699"/>
    <n v="220"/>
    <x v="6"/>
    <s v="Cecil B. DeMille"/>
    <s v="Motion Picture Corporation of America"/>
    <x v="19"/>
    <x v="0"/>
    <s v="U"/>
    <n v="13200000"/>
    <n v="80000000"/>
    <n v="7"/>
    <n v="1"/>
  </r>
  <r>
    <n v="726"/>
    <x v="729"/>
    <x v="700"/>
    <n v="208"/>
    <x v="10"/>
    <s v="King Vidor"/>
    <s v="Dino De Laurentiis Corporation"/>
    <x v="19"/>
    <x v="0"/>
    <s v="PG"/>
    <n v="6000000"/>
    <n v="12500000"/>
    <n v="3"/>
    <n v="0"/>
  </r>
  <r>
    <n v="727"/>
    <x v="730"/>
    <x v="701"/>
    <n v="133"/>
    <x v="16"/>
    <s v="Walter Lang"/>
    <s v="20th Century Fox"/>
    <x v="19"/>
    <x v="0"/>
    <s v="U"/>
    <n v="4550000"/>
    <n v="21300000"/>
    <n v="9"/>
    <n v="5"/>
  </r>
  <r>
    <n v="728"/>
    <x v="731"/>
    <x v="702"/>
    <n v="119"/>
    <x v="11"/>
    <s v="John Ford"/>
    <s v="Warner Bros. Pictures"/>
    <x v="19"/>
    <x v="0"/>
    <s v="U"/>
    <n v="3750000"/>
    <n v="37500000"/>
    <n v="0"/>
    <n v="0"/>
  </r>
  <r>
    <n v="731"/>
    <x v="732"/>
    <x v="703"/>
    <n v="111"/>
    <x v="16"/>
    <s v="Charles Walters"/>
    <s v="Bing Crosby Productions"/>
    <x v="19"/>
    <x v="0"/>
    <s v="U"/>
    <n v="2762000"/>
    <n v="8258000"/>
    <n v="2"/>
    <n v="0"/>
  </r>
  <r>
    <n v="736"/>
    <x v="733"/>
    <x v="704"/>
    <n v="145"/>
    <x v="16"/>
    <s v="Fred Zinnemann"/>
    <s v="RKO Radio Pictures"/>
    <x v="19"/>
    <x v="0"/>
    <s v="U"/>
    <n v="5000000"/>
    <n v="7100000"/>
    <n v="4"/>
    <n v="2"/>
  </r>
  <r>
    <n v="737"/>
    <x v="734"/>
    <x v="705"/>
    <n v="150"/>
    <x v="16"/>
    <s v="Joseph L. Mankiewicz"/>
    <s v="Metro-Goldwyn-Mayer"/>
    <x v="19"/>
    <x v="0"/>
    <s v="U"/>
    <n v="5500000"/>
    <n v="20000000"/>
    <n v="4"/>
    <n v="0"/>
  </r>
  <r>
    <n v="738"/>
    <x v="735"/>
    <x v="706"/>
    <n v="75"/>
    <x v="0"/>
    <s v="Clyde Geronimi"/>
    <s v="Walt Disney Pictures"/>
    <x v="19"/>
    <x v="0"/>
    <s v="U"/>
    <n v="4000000"/>
    <n v="93600000"/>
    <n v="0"/>
    <n v="0"/>
  </r>
  <r>
    <n v="744"/>
    <x v="736"/>
    <x v="707"/>
    <n v="127"/>
    <x v="1"/>
    <s v="Richard Fleischer"/>
    <s v="Walt Disney Pictures"/>
    <x v="19"/>
    <x v="0"/>
    <s v="U"/>
    <n v="5000000"/>
    <n v="28200000"/>
    <n v="3"/>
    <n v="2"/>
  </r>
  <r>
    <n v="753"/>
    <x v="737"/>
    <x v="708"/>
    <n v="135"/>
    <x v="10"/>
    <s v="Henry Koster"/>
    <s v="20th Century Fox"/>
    <x v="19"/>
    <x v="0"/>
    <s v="U"/>
    <n v="4100000"/>
    <n v="36000000"/>
    <n v="5"/>
    <n v="2"/>
  </r>
  <r>
    <n v="754"/>
    <x v="738"/>
    <x v="709"/>
    <n v="118"/>
    <x v="10"/>
    <s v="Fred Zinnemann"/>
    <s v="Columbia Pictures"/>
    <x v="19"/>
    <x v="0"/>
    <s v="PG"/>
    <n v="2500000"/>
    <n v="30500000"/>
    <n v="13"/>
    <n v="8"/>
  </r>
  <r>
    <n v="755"/>
    <x v="739"/>
    <x v="710"/>
    <n v="118"/>
    <x v="11"/>
    <s v="George Stevens"/>
    <s v="Paramount Pictures"/>
    <x v="19"/>
    <x v="0"/>
    <s v="PG"/>
    <n v="3100000"/>
    <n v="20000000"/>
    <n v="6"/>
    <n v="1"/>
  </r>
  <r>
    <n v="757"/>
    <x v="740"/>
    <x v="711"/>
    <n v="76"/>
    <x v="0"/>
    <s v="Clyde Geronimi"/>
    <s v="Walt Disney Pictures"/>
    <x v="19"/>
    <x v="0"/>
    <s v="U"/>
    <n v="4000000"/>
    <n v="87400000"/>
    <n v="0"/>
    <n v="0"/>
  </r>
  <r>
    <n v="761"/>
    <x v="741"/>
    <x v="712"/>
    <n v="91"/>
    <x v="16"/>
    <s v="Howard Hawks"/>
    <s v="20th Century Fox"/>
    <x v="19"/>
    <x v="0"/>
    <s v="U"/>
    <n v="2260000"/>
    <n v="5300000"/>
    <n v="0"/>
    <n v="0"/>
  </r>
  <r>
    <n v="767"/>
    <x v="742"/>
    <x v="713"/>
    <n v="103"/>
    <x v="16"/>
    <s v="Gene Kelly"/>
    <s v="Metro-Goldwyn-Mayer"/>
    <x v="19"/>
    <x v="0"/>
    <s v="U"/>
    <n v="2500000"/>
    <n v="12400000"/>
    <n v="2"/>
    <n v="0"/>
  </r>
  <r>
    <n v="774"/>
    <x v="129"/>
    <x v="714"/>
    <n v="75"/>
    <x v="0"/>
    <s v="Clyde Geronimi"/>
    <s v="Walt Disney Pictures"/>
    <x v="19"/>
    <x v="0"/>
    <s v="U"/>
    <n v="3000000"/>
    <n v="5232000"/>
    <n v="1"/>
    <n v="0"/>
  </r>
  <r>
    <n v="776"/>
    <x v="743"/>
    <x v="715"/>
    <n v="122"/>
    <x v="10"/>
    <s v="Elia Kazan"/>
    <s v="Warner Bros. Pictures"/>
    <x v="19"/>
    <x v="0"/>
    <n v="15"/>
    <n v="1800000"/>
    <n v="8000000"/>
    <n v="12"/>
    <n v="4"/>
  </r>
  <r>
    <n v="779"/>
    <x v="744"/>
    <x v="716"/>
    <n v="105"/>
    <x v="1"/>
    <s v="John Huston"/>
    <s v="Horizon Pictures"/>
    <x v="19"/>
    <x v="0"/>
    <s v="U"/>
    <n v="1000000"/>
    <n v="10750000"/>
    <n v="4"/>
    <n v="1"/>
  </r>
  <r>
    <n v="781"/>
    <x v="745"/>
    <x v="717"/>
    <n v="101"/>
    <x v="8"/>
    <s v="Alfred Hitchcock"/>
    <s v="Transatlantic Pictures"/>
    <x v="19"/>
    <x v="0"/>
    <s v="PG"/>
    <n v="1200000"/>
    <n v="7000000"/>
    <n v="1"/>
    <n v="0"/>
  </r>
  <r>
    <n v="783"/>
    <x v="746"/>
    <x v="718"/>
    <n v="75"/>
    <x v="0"/>
    <s v="Clyde Geronimi"/>
    <s v="Walt Disney Pictures"/>
    <x v="19"/>
    <x v="0"/>
    <s v="U"/>
    <n v="2900000"/>
    <n v="263600000"/>
    <n v="3"/>
    <n v="0"/>
  </r>
  <r>
    <n v="784"/>
    <x v="747"/>
    <x v="719"/>
    <n v="103"/>
    <x v="1"/>
    <s v="Compton Bennett"/>
    <s v="Metro-Goldwyn-Mayer"/>
    <x v="19"/>
    <x v="0"/>
    <s v="PG"/>
    <n v="2300000"/>
    <n v="15100000"/>
    <n v="3"/>
    <n v="2"/>
  </r>
  <r>
    <n v="785"/>
    <x v="748"/>
    <x v="720"/>
    <n v="107"/>
    <x v="16"/>
    <s v="Charles Walters"/>
    <s v="Metro-Goldwyn-Mayer"/>
    <x v="19"/>
    <x v="0"/>
    <s v="U"/>
    <n v="3734000"/>
    <n v="7756000"/>
    <n v="4"/>
    <n v="1"/>
  </r>
  <r>
    <n v="796"/>
    <x v="749"/>
    <x v="721"/>
    <n v="100"/>
    <x v="7"/>
    <s v="Allan Dwan"/>
    <s v="Republic Pictures"/>
    <x v="19"/>
    <x v="0"/>
    <s v="PG"/>
    <n v="1000000"/>
    <n v="5000000"/>
    <n v="4"/>
    <n v="0"/>
  </r>
  <r>
    <n v="853"/>
    <x v="750"/>
    <x v="722"/>
    <n v="170"/>
    <x v="7"/>
    <s v="Sam Wood"/>
    <s v="Paramount Pictures"/>
    <x v="19"/>
    <x v="0"/>
    <s v="U"/>
    <n v="3000000"/>
    <n v="7100000"/>
    <n v="9"/>
    <n v="1"/>
  </r>
  <r>
    <n v="858"/>
    <x v="751"/>
    <x v="723"/>
    <n v="102"/>
    <x v="10"/>
    <s v="Michael Curtiz"/>
    <s v="Warner Bros. Pictures"/>
    <x v="19"/>
    <x v="0"/>
    <s v="U"/>
    <n v="878000"/>
    <n v="3700000"/>
    <n v="8"/>
    <n v="3"/>
  </r>
  <r>
    <n v="885"/>
    <x v="752"/>
    <x v="724"/>
    <n v="124"/>
    <x v="2"/>
    <s v="Charlie Chaplin"/>
    <s v="Charles Chaplin Film Corporation"/>
    <x v="19"/>
    <x v="0"/>
    <s v="U"/>
    <n v="2000000"/>
    <n v="5000000"/>
    <n v="5"/>
    <n v="0"/>
  </r>
  <r>
    <n v="887"/>
    <x v="753"/>
    <x v="725"/>
    <n v="129"/>
    <x v="10"/>
    <s v="John Ford"/>
    <s v="20th Century Fox"/>
    <x v="19"/>
    <x v="0"/>
    <s v="PG"/>
    <n v="800000"/>
    <n v="2500000"/>
    <n v="7"/>
    <n v="2"/>
  </r>
  <r>
    <n v="893"/>
    <x v="754"/>
    <x v="726"/>
    <n v="221"/>
    <x v="13"/>
    <s v="Victor Fleming"/>
    <s v="Selznick International Pictures"/>
    <x v="19"/>
    <x v="0"/>
    <s v="PG"/>
    <n v="3850000"/>
    <n v="198000000"/>
    <n v="13"/>
    <n v="8"/>
  </r>
  <r>
    <n v="900"/>
    <x v="755"/>
    <x v="727"/>
    <n v="101"/>
    <x v="6"/>
    <s v="Victor Fleming"/>
    <s v="Metro-Goldwyn-Mayer"/>
    <x v="19"/>
    <x v="0"/>
    <s v="U"/>
    <n v="2800000"/>
    <n v="22300000"/>
    <n v="6"/>
    <n v="2"/>
  </r>
  <r>
    <n v="913"/>
    <x v="756"/>
    <x v="728"/>
    <n v="83"/>
    <x v="0"/>
    <s v="David Hand"/>
    <s v="Walt Disney Pictures"/>
    <x v="19"/>
    <x v="0"/>
    <s v="U"/>
    <n v="2000000"/>
    <n v="184925485"/>
    <n v="1"/>
    <n v="0"/>
  </r>
  <r>
    <n v="941"/>
    <x v="163"/>
    <x v="729"/>
    <n v="95"/>
    <x v="10"/>
    <s v="Clarence Brown"/>
    <s v="Metro-Goldwyn-Mayer"/>
    <x v="19"/>
    <x v="0"/>
    <s v="U"/>
    <n v="1152000"/>
    <n v="2304000"/>
    <n v="0"/>
    <n v="0"/>
  </r>
  <r>
    <n v="972"/>
    <x v="757"/>
    <x v="730"/>
    <n v="71"/>
    <x v="14"/>
    <s v="James Whale"/>
    <s v="Universal Pictures"/>
    <x v="19"/>
    <x v="0"/>
    <s v="PG"/>
    <n v="262000"/>
    <n v="12000000"/>
    <n v="0"/>
    <n v="0"/>
  </r>
  <r>
    <n v="977"/>
    <x v="758"/>
    <x v="731"/>
    <n v="85"/>
    <x v="14"/>
    <s v="Tod Browning"/>
    <s v="Universal Pictures"/>
    <x v="19"/>
    <x v="0"/>
    <s v="PG"/>
    <n v="355000"/>
    <n v="355000"/>
    <n v="0"/>
    <n v="0"/>
  </r>
  <r>
    <n v="982"/>
    <x v="759"/>
    <x v="732"/>
    <n v="152"/>
    <x v="7"/>
    <s v="Lewis Milestone"/>
    <s v="Universal Pictures"/>
    <x v="19"/>
    <x v="0"/>
    <s v="PG"/>
    <n v="1200000"/>
    <n v="3000000"/>
    <n v="4"/>
    <n v="2"/>
  </r>
  <r>
    <n v="1063"/>
    <x v="760"/>
    <x v="733"/>
    <n v="68"/>
    <x v="2"/>
    <s v="Charlie Chaplin"/>
    <s v="Charles Chaplin Film Corporation"/>
    <x v="19"/>
    <x v="14"/>
    <s v="U"/>
    <n v="250000"/>
    <n v="2500000"/>
    <n v="0"/>
    <n v="0"/>
  </r>
  <r>
    <n v="1120"/>
    <x v="761"/>
    <x v="734"/>
    <n v="136"/>
    <x v="9"/>
    <s v="J. J. Abrams"/>
    <s v="Lucasfilm"/>
    <x v="19"/>
    <x v="0"/>
    <s v="12A"/>
    <n v="306000000"/>
    <n v="2066000000"/>
    <n v="5"/>
    <n v="0"/>
  </r>
  <r>
    <n v="1121"/>
    <x v="762"/>
    <x v="735"/>
    <n v="124"/>
    <x v="1"/>
    <s v="Colin Trevorrow"/>
    <s v="Amblin Entertainment"/>
    <x v="19"/>
    <x v="0"/>
    <s v="12A"/>
    <n v="150000000"/>
    <n v="1670000000"/>
    <n v="0"/>
    <n v="0"/>
  </r>
  <r>
    <n v="1122"/>
    <x v="763"/>
    <x v="736"/>
    <n v="137"/>
    <x v="3"/>
    <s v="James Wan"/>
    <s v="Original Film"/>
    <x v="19"/>
    <x v="0"/>
    <s v="12A"/>
    <n v="190000000"/>
    <n v="1516000000"/>
    <n v="0"/>
    <n v="0"/>
  </r>
  <r>
    <n v="1123"/>
    <x v="764"/>
    <x v="737"/>
    <n v="141"/>
    <x v="3"/>
    <s v="Joss Whedon"/>
    <s v="Marvel Entertainment"/>
    <x v="19"/>
    <x v="0"/>
    <s v="12A"/>
    <n v="250000000"/>
    <n v="1405000000"/>
    <n v="0"/>
    <n v="0"/>
  </r>
  <r>
    <n v="1124"/>
    <x v="765"/>
    <x v="738"/>
    <n v="91"/>
    <x v="0"/>
    <s v="Pierre Coffin"/>
    <s v="Illumination Entertainment"/>
    <x v="19"/>
    <x v="0"/>
    <s v="U"/>
    <n v="74000000"/>
    <n v="1159000000"/>
    <n v="0"/>
    <n v="0"/>
  </r>
  <r>
    <n v="1126"/>
    <x v="766"/>
    <x v="739"/>
    <n v="94"/>
    <x v="0"/>
    <s v="Pete Docter"/>
    <s v="Pixar Animation Studios"/>
    <x v="19"/>
    <x v="0"/>
    <s v="U"/>
    <n v="175000000"/>
    <n v="857400000"/>
    <n v="2"/>
    <n v="1"/>
  </r>
  <r>
    <n v="1127"/>
    <x v="767"/>
    <x v="740"/>
    <n v="131"/>
    <x v="3"/>
    <s v="Christopher McQuarrie"/>
    <s v="Cruise Wagner Productions"/>
    <x v="19"/>
    <x v="0"/>
    <s v="12A"/>
    <n v="150000000"/>
    <n v="682300000"/>
    <n v="0"/>
    <n v="0"/>
  </r>
  <r>
    <n v="1128"/>
    <x v="768"/>
    <x v="741"/>
    <n v="137"/>
    <x v="9"/>
    <s v="Francis Lawrence"/>
    <s v="Color Force"/>
    <x v="19"/>
    <x v="0"/>
    <s v="12A"/>
    <n v="150000000"/>
    <n v="653400000"/>
    <n v="0"/>
    <n v="0"/>
  </r>
  <r>
    <n v="1129"/>
    <x v="769"/>
    <x v="742"/>
    <n v="141"/>
    <x v="9"/>
    <s v="Ridley Scott"/>
    <s v="Scott Free Productions"/>
    <x v="19"/>
    <x v="0"/>
    <s v="12A"/>
    <n v="108000000"/>
    <n v="630200000"/>
    <n v="7"/>
    <n v="0"/>
  </r>
  <r>
    <n v="1130"/>
    <x v="770"/>
    <x v="743"/>
    <n v="147"/>
    <x v="3"/>
    <s v="Anthony Russo"/>
    <s v="Marvel Entertainment"/>
    <x v="19"/>
    <x v="0"/>
    <s v="12A"/>
    <n v="250000000"/>
    <n v="1153000000"/>
    <n v="0"/>
    <n v="0"/>
  </r>
  <r>
    <n v="1131"/>
    <x v="771"/>
    <x v="744"/>
    <n v="97"/>
    <x v="0"/>
    <s v="Andrew Stanton"/>
    <s v="Pixar Animation Studios"/>
    <x v="19"/>
    <x v="0"/>
    <s v="U"/>
    <n v="200000000"/>
    <n v="1025000000"/>
    <n v="0"/>
    <n v="0"/>
  </r>
  <r>
    <n v="1132"/>
    <x v="772"/>
    <x v="745"/>
    <n v="108"/>
    <x v="0"/>
    <s v="Byron Howard"/>
    <s v="Walt Disney Pictures"/>
    <x v="19"/>
    <x v="0"/>
    <s v="PG"/>
    <n v="150000000"/>
    <n v="1024000000"/>
    <n v="0"/>
    <n v="0"/>
  </r>
  <r>
    <n v="1133"/>
    <x v="695"/>
    <x v="746"/>
    <n v="105"/>
    <x v="1"/>
    <s v="Jon Favreau"/>
    <s v="Walt Disney Pictures"/>
    <x v="19"/>
    <x v="0"/>
    <s v="PG"/>
    <n v="175000000"/>
    <n v="966500000"/>
    <n v="0"/>
    <n v="0"/>
  </r>
  <r>
    <n v="1134"/>
    <x v="773"/>
    <x v="747"/>
    <n v="151"/>
    <x v="3"/>
    <s v="Zack Snyder"/>
    <s v="DC Entertainment"/>
    <x v="19"/>
    <x v="0"/>
    <n v="12"/>
    <n v="250000000"/>
    <n v="873300000"/>
    <n v="0"/>
    <n v="0"/>
  </r>
  <r>
    <n v="1135"/>
    <x v="774"/>
    <x v="748"/>
    <n v="87"/>
    <x v="0"/>
    <s v="Chris Renaud"/>
    <s v="Illumination Entertainment"/>
    <x v="19"/>
    <x v="0"/>
    <s v="U"/>
    <n v="75000000"/>
    <n v="873400000"/>
    <n v="0"/>
    <n v="0"/>
  </r>
  <r>
    <n v="1136"/>
    <x v="775"/>
    <x v="749"/>
    <n v="108"/>
    <x v="3"/>
    <s v="Tim Miller"/>
    <s v="Marvel Entertainment"/>
    <x v="19"/>
    <x v="0"/>
    <n v="15"/>
    <n v="58000000"/>
    <n v="782600000"/>
    <n v="0"/>
    <n v="0"/>
  </r>
  <r>
    <n v="1137"/>
    <x v="776"/>
    <x v="750"/>
    <n v="123"/>
    <x v="3"/>
    <s v="David Ayer"/>
    <s v="DC Entertainment"/>
    <x v="19"/>
    <x v="0"/>
    <n v="15"/>
    <n v="175000000"/>
    <n v="745600000"/>
    <n v="0"/>
    <n v="0"/>
  </r>
  <r>
    <n v="1139"/>
    <x v="777"/>
    <x v="751"/>
    <n v="144"/>
    <x v="3"/>
    <s v="Bryan Singer"/>
    <s v="Marvel Entertainment"/>
    <x v="19"/>
    <x v="0"/>
    <s v="12A"/>
    <n v="178000000"/>
    <n v="543900000"/>
    <n v="0"/>
    <n v="0"/>
  </r>
  <r>
    <n v="1140"/>
    <x v="778"/>
    <x v="752"/>
    <n v="115"/>
    <x v="3"/>
    <s v="Scott Derrickson"/>
    <s v="Marvel Entertainment"/>
    <x v="19"/>
    <x v="0"/>
    <s v="12A"/>
    <n v="165000000"/>
    <n v="571500000"/>
    <n v="0"/>
    <n v="0"/>
  </r>
  <r>
    <n v="1142"/>
    <x v="779"/>
    <x v="753"/>
    <n v="128"/>
    <x v="2"/>
    <s v="Nancy Meyers"/>
    <s v="Walt Disney Pictures"/>
    <x v="19"/>
    <x v="0"/>
    <s v="PG"/>
    <n v="75000000"/>
    <n v="83900000"/>
    <n v="0"/>
    <n v="0"/>
  </r>
  <r>
    <n v="1143"/>
    <x v="780"/>
    <x v="754"/>
    <n v="119"/>
    <x v="1"/>
    <s v="Michael Curtiz"/>
    <s v="Cosmopolitan Productions"/>
    <x v="19"/>
    <x v="0"/>
    <s v="PG"/>
    <n v="1200000"/>
    <n v="3100000"/>
    <n v="5"/>
    <n v="0"/>
  </r>
  <r>
    <n v="1144"/>
    <x v="781"/>
    <x v="755"/>
    <n v="102"/>
    <x v="1"/>
    <s v="Michael Curtiz"/>
    <s v="Warner Bros. Pictures"/>
    <x v="19"/>
    <x v="0"/>
    <s v="U"/>
    <n v="2033000"/>
    <n v="3981000"/>
    <n v="4"/>
    <n v="3"/>
  </r>
  <r>
    <n v="1145"/>
    <x v="782"/>
    <x v="756"/>
    <n v="115"/>
    <x v="1"/>
    <s v="Michael Curtiz"/>
    <s v="Warner Bros. Pictures"/>
    <x v="19"/>
    <x v="0"/>
    <s v="PG"/>
    <n v="1330000"/>
    <n v="3300000"/>
    <n v="3"/>
    <n v="1"/>
  </r>
  <r>
    <n v="1148"/>
    <x v="709"/>
    <x v="757"/>
    <n v="132"/>
    <x v="10"/>
    <s v="Frank Lloyd"/>
    <s v="Metro-Goldwyn-Mayer"/>
    <x v="19"/>
    <x v="0"/>
    <s v="PG"/>
    <n v="1950000"/>
    <n v="4460000"/>
    <n v="8"/>
    <n v="1"/>
  </r>
  <r>
    <n v="1149"/>
    <x v="783"/>
    <x v="758"/>
    <n v="125"/>
    <x v="10"/>
    <s v="John Huston"/>
    <s v="Seven Arts Productions"/>
    <x v="19"/>
    <x v="0"/>
    <s v="PG"/>
    <n v="4000000"/>
    <n v="4100000"/>
    <n v="0"/>
    <n v="0"/>
  </r>
  <r>
    <n v="1152"/>
    <x v="784"/>
    <x v="759"/>
    <n v="119"/>
    <x v="10"/>
    <s v="Orson Welles"/>
    <s v="Mercury Productions"/>
    <x v="19"/>
    <x v="0"/>
    <s v="U"/>
    <n v="839727"/>
    <n v="1140769"/>
    <n v="9"/>
    <n v="1"/>
  </r>
  <r>
    <n v="1156"/>
    <x v="785"/>
    <x v="760"/>
    <n v="83"/>
    <x v="4"/>
    <s v="William A. Wellman"/>
    <s v="Warner Bros. Pictures"/>
    <x v="19"/>
    <x v="0"/>
    <s v="PG"/>
    <n v="151000"/>
    <n v="151000"/>
    <n v="1"/>
    <n v="0"/>
  </r>
  <r>
    <n v="1157"/>
    <x v="786"/>
    <x v="761"/>
    <n v="130"/>
    <x v="6"/>
    <s v="Frank Capra"/>
    <s v="Liberty Films"/>
    <x v="19"/>
    <x v="0"/>
    <s v="U"/>
    <n v="3180000"/>
    <n v="3300000"/>
    <n v="5"/>
    <n v="0"/>
  </r>
  <r>
    <n v="1158"/>
    <x v="787"/>
    <x v="762"/>
    <n v="129"/>
    <x v="2"/>
    <s v="Frank Capra"/>
    <s v="Columbia Pictures"/>
    <x v="19"/>
    <x v="0"/>
    <s v="U"/>
    <n v="1500000"/>
    <n v="9000000"/>
    <n v="11"/>
    <n v="1"/>
  </r>
  <r>
    <n v="1163"/>
    <x v="788"/>
    <x v="763"/>
    <n v="96"/>
    <x v="2"/>
    <s v="George Seaton"/>
    <s v="20th Century Fox"/>
    <x v="19"/>
    <x v="0"/>
    <s v="U"/>
    <n v="630000"/>
    <n v="2650000"/>
    <n v="4"/>
    <n v="3"/>
  </r>
  <r>
    <n v="1165"/>
    <x v="789"/>
    <x v="764"/>
    <n v="145"/>
    <x v="12"/>
    <s v="Victor Fleming"/>
    <s v="Sierra Pictures"/>
    <x v="19"/>
    <x v="0"/>
    <s v="U"/>
    <n v="4650000"/>
    <n v="5768142"/>
    <n v="7"/>
    <n v="2"/>
  </r>
  <r>
    <n v="1166"/>
    <x v="790"/>
    <x v="765"/>
    <n v="125"/>
    <x v="1"/>
    <s v="George Sidney"/>
    <s v="Metro-Goldwyn-Mayer"/>
    <x v="19"/>
    <x v="0"/>
    <s v="U"/>
    <n v="4474000"/>
    <n v="8412000"/>
    <n v="1"/>
    <n v="0"/>
  </r>
  <r>
    <n v="1185"/>
    <x v="791"/>
    <x v="766"/>
    <n v="108"/>
    <x v="2"/>
    <s v="Hal Needham"/>
    <s v="Golden Harvest"/>
    <x v="19"/>
    <x v="0"/>
    <s v="PG"/>
    <n v="20000000"/>
    <n v="28000000"/>
    <n v="0"/>
    <n v="0"/>
  </r>
  <r>
    <n v="1203"/>
    <x v="792"/>
    <x v="767"/>
    <n v="115"/>
    <x v="3"/>
    <s v="Andrzej Bartkowiak"/>
    <s v="Silver Pictures"/>
    <x v="19"/>
    <x v="0"/>
    <n v="15"/>
    <n v="25000000"/>
    <n v="91000000"/>
    <n v="0"/>
    <n v="0"/>
  </r>
  <r>
    <n v="1204"/>
    <x v="793"/>
    <x v="768"/>
    <n v="87"/>
    <x v="9"/>
    <s v="James Wong"/>
    <s v="Revolution Studios"/>
    <x v="19"/>
    <x v="0"/>
    <n v="15"/>
    <n v="49000000"/>
    <n v="72700000"/>
    <n v="0"/>
    <n v="0"/>
  </r>
  <r>
    <n v="1206"/>
    <x v="794"/>
    <x v="769"/>
    <n v="101"/>
    <x v="3"/>
    <s v="Andrzej Bartkowiak"/>
    <s v="Silver Pictures"/>
    <x v="19"/>
    <x v="0"/>
    <n v="15"/>
    <n v="25000000"/>
    <n v="56500000"/>
    <n v="0"/>
    <n v="0"/>
  </r>
  <r>
    <n v="1211"/>
    <x v="795"/>
    <x v="770"/>
    <n v="104"/>
    <x v="5"/>
    <s v="Rob Minkoff"/>
    <s v="Relativity Media"/>
    <x v="19"/>
    <x v="0"/>
    <s v="12A"/>
    <n v="55000000"/>
    <n v="128000000"/>
    <n v="0"/>
    <n v="0"/>
  </r>
  <r>
    <n v="1212"/>
    <x v="796"/>
    <x v="771"/>
    <n v="111"/>
    <x v="1"/>
    <s v="Rob Cohen"/>
    <s v="Relativity Media"/>
    <x v="19"/>
    <x v="0"/>
    <s v="12A"/>
    <n v="145000000"/>
    <n v="401100000"/>
    <n v="0"/>
    <n v="0"/>
  </r>
  <r>
    <n v="1213"/>
    <x v="797"/>
    <x v="772"/>
    <n v="103"/>
    <x v="3"/>
    <s v="Sylvester Stallone"/>
    <s v="Millennium Films"/>
    <x v="19"/>
    <x v="0"/>
    <n v="18"/>
    <n v="82000000"/>
    <n v="274500000"/>
    <n v="0"/>
    <n v="0"/>
  </r>
  <r>
    <n v="1214"/>
    <x v="798"/>
    <x v="773"/>
    <n v="103"/>
    <x v="3"/>
    <s v="Simon West"/>
    <s v="Millennium Films"/>
    <x v="19"/>
    <x v="0"/>
    <n v="15"/>
    <n v="100000000"/>
    <n v="305400000"/>
    <n v="0"/>
    <n v="0"/>
  </r>
  <r>
    <n v="1215"/>
    <x v="799"/>
    <x v="774"/>
    <n v="126"/>
    <x v="3"/>
    <s v="Patrick Hughes"/>
    <s v="Millennium Films"/>
    <x v="19"/>
    <x v="0"/>
    <n v="15"/>
    <n v="90000000"/>
    <n v="206200000"/>
    <n v="0"/>
    <n v="0"/>
  </r>
  <r>
    <n v="1216"/>
    <x v="800"/>
    <x v="775"/>
    <n v="112"/>
    <x v="3"/>
    <s v="Louis Leterrier"/>
    <s v="Marvel Entertainment"/>
    <x v="19"/>
    <x v="0"/>
    <s v="12A"/>
    <n v="150000000"/>
    <n v="263400000"/>
    <n v="0"/>
    <n v="0"/>
  </r>
  <r>
    <n v="1217"/>
    <x v="801"/>
    <x v="776"/>
    <n v="115"/>
    <x v="15"/>
    <s v="Louis Leterrier"/>
    <s v="Summit Entertainment"/>
    <x v="19"/>
    <x v="0"/>
    <n v="12"/>
    <n v="75000000"/>
    <n v="351700000"/>
    <n v="0"/>
    <n v="0"/>
  </r>
  <r>
    <n v="1218"/>
    <x v="170"/>
    <x v="777"/>
    <n v="106"/>
    <x v="1"/>
    <s v="Louis Leterrier"/>
    <s v="Legendary Pictures"/>
    <x v="19"/>
    <x v="0"/>
    <s v="12A"/>
    <n v="125000000"/>
    <n v="493200000"/>
    <n v="0"/>
    <n v="0"/>
  </r>
  <r>
    <n v="1233"/>
    <x v="802"/>
    <x v="778"/>
    <n v="97"/>
    <x v="3"/>
    <s v="John Woo"/>
    <s v="Alphaville Films"/>
    <x v="19"/>
    <x v="0"/>
    <n v="18"/>
    <n v="19500000"/>
    <n v="74200000"/>
    <n v="0"/>
    <n v="0"/>
  </r>
  <r>
    <n v="1234"/>
    <x v="803"/>
    <x v="779"/>
    <n v="108"/>
    <x v="3"/>
    <s v="John Woo"/>
    <s v="20th Century Fox"/>
    <x v="19"/>
    <x v="0"/>
    <n v="15"/>
    <n v="50000000"/>
    <n v="150200000"/>
    <n v="0"/>
    <n v="0"/>
  </r>
  <r>
    <n v="1235"/>
    <x v="804"/>
    <x v="780"/>
    <n v="139"/>
    <x v="3"/>
    <s v="John Woo"/>
    <s v="Paramount Pictures"/>
    <x v="19"/>
    <x v="0"/>
    <n v="18"/>
    <n v="80000000"/>
    <n v="245700000"/>
    <n v="1"/>
    <n v="0"/>
  </r>
  <r>
    <n v="1236"/>
    <x v="805"/>
    <x v="781"/>
    <n v="119"/>
    <x v="9"/>
    <s v="John Woo"/>
    <s v="Lion Rock Productions"/>
    <x v="19"/>
    <x v="0"/>
    <s v="12A"/>
    <n v="60000000"/>
    <n v="96300000"/>
    <n v="0"/>
    <n v="0"/>
  </r>
  <r>
    <n v="1251"/>
    <x v="806"/>
    <x v="782"/>
    <n v="105"/>
    <x v="5"/>
    <s v="Woo-ping Yuen"/>
    <s v="China Film Group"/>
    <x v="19"/>
    <x v="0"/>
    <n v="15"/>
    <n v="20000000"/>
    <n v="31000000"/>
    <n v="0"/>
    <n v="0"/>
  </r>
  <r>
    <n v="1261"/>
    <x v="807"/>
    <x v="783"/>
    <n v="127"/>
    <x v="3"/>
    <s v="Carl Rinsch"/>
    <s v="Moving Picture Company"/>
    <x v="19"/>
    <x v="0"/>
    <s v="12A"/>
    <n v="225000000"/>
    <n v="151800000"/>
    <n v="0"/>
    <n v="0"/>
  </r>
  <r>
    <n v="1273"/>
    <x v="808"/>
    <x v="784"/>
    <n v="114"/>
    <x v="3"/>
    <s v="Kenneth Branagh"/>
    <s v="Marvel Entertainment"/>
    <x v="19"/>
    <x v="0"/>
    <s v="12A"/>
    <n v="150000000"/>
    <n v="449300000"/>
    <n v="0"/>
    <n v="0"/>
  </r>
  <r>
    <n v="1274"/>
    <x v="809"/>
    <x v="785"/>
    <n v="131"/>
    <x v="3"/>
    <s v="Peter Berg"/>
    <s v="Hasbro Studios"/>
    <x v="19"/>
    <x v="0"/>
    <s v="12A"/>
    <n v="220000000"/>
    <n v="303000000"/>
    <n v="0"/>
    <n v="0"/>
  </r>
  <r>
    <n v="1275"/>
    <x v="810"/>
    <x v="786"/>
    <n v="109"/>
    <x v="8"/>
    <s v="Peter Berg"/>
    <s v="Relativity Media"/>
    <x v="19"/>
    <x v="0"/>
    <n v="15"/>
    <n v="70000000"/>
    <n v="119000000"/>
    <n v="0"/>
    <n v="0"/>
  </r>
  <r>
    <n v="1276"/>
    <x v="811"/>
    <x v="787"/>
    <n v="121"/>
    <x v="7"/>
    <s v="Peter Berg"/>
    <s v="Weed Road Pictures"/>
    <x v="19"/>
    <x v="0"/>
    <n v="15"/>
    <n v="40000000"/>
    <n v="154800000"/>
    <n v="2"/>
    <n v="0"/>
  </r>
  <r>
    <n v="1277"/>
    <x v="812"/>
    <x v="788"/>
    <n v="107"/>
    <x v="22"/>
    <s v="Peter Berg"/>
    <s v="di Bonaventura Pictures"/>
    <x v="19"/>
    <x v="0"/>
    <s v="12A"/>
    <n v="110000000"/>
    <n v="117300000"/>
    <n v="0"/>
    <n v="0"/>
  </r>
  <r>
    <n v="1285"/>
    <x v="813"/>
    <x v="789"/>
    <n v="104"/>
    <x v="3"/>
    <s v="Justin Lin"/>
    <s v="Relativity Media"/>
    <x v="19"/>
    <x v="0"/>
    <s v="12A"/>
    <n v="85000000"/>
    <n v="158500000"/>
    <n v="0"/>
    <n v="0"/>
  </r>
  <r>
    <n v="1305"/>
    <x v="814"/>
    <x v="790"/>
    <n v="115"/>
    <x v="8"/>
    <s v="Pierre Morel"/>
    <s v="Silver Pictures"/>
    <x v="19"/>
    <x v="0"/>
    <n v="15"/>
    <n v="40000000"/>
    <n v="24200000"/>
    <n v="0"/>
    <n v="0"/>
  </r>
  <r>
    <n v="1308"/>
    <x v="815"/>
    <x v="791"/>
    <n v="109"/>
    <x v="8"/>
    <s v="Jean-Francois Richet"/>
    <s v="Rogue Pictures"/>
    <x v="19"/>
    <x v="0"/>
    <n v="15"/>
    <n v="30000000"/>
    <n v="35300000"/>
    <n v="0"/>
    <n v="0"/>
  </r>
  <r>
    <n v="1324"/>
    <x v="816"/>
    <x v="792"/>
    <n v="109"/>
    <x v="9"/>
    <s v="Neill Blomkamp"/>
    <s v="TriStar Pictures"/>
    <x v="19"/>
    <x v="0"/>
    <n v="15"/>
    <n v="115000000"/>
    <n v="286100000"/>
    <n v="0"/>
    <n v="0"/>
  </r>
  <r>
    <n v="1325"/>
    <x v="817"/>
    <x v="793"/>
    <n v="120"/>
    <x v="9"/>
    <s v="Neill Blomkamp"/>
    <s v="Columbia Pictures"/>
    <x v="19"/>
    <x v="0"/>
    <n v="15"/>
    <n v="49000000"/>
    <n v="102100000"/>
    <n v="0"/>
    <n v="0"/>
  </r>
  <r>
    <n v="1329"/>
    <x v="818"/>
    <x v="794"/>
    <n v="132"/>
    <x v="9"/>
    <s v="Andrew Stanton"/>
    <s v="Walt Disney Pictures"/>
    <x v="19"/>
    <x v="0"/>
    <s v="12A"/>
    <n v="350000000"/>
    <n v="284100000"/>
    <n v="0"/>
    <n v="0"/>
  </r>
  <r>
    <n v="1332"/>
    <x v="819"/>
    <x v="795"/>
    <n v="132"/>
    <x v="1"/>
    <s v="Brian Helgeland"/>
    <s v="Columbia Pictures"/>
    <x v="19"/>
    <x v="0"/>
    <s v="PG"/>
    <n v="65000000"/>
    <n v="117500000"/>
    <n v="0"/>
    <n v="0"/>
  </r>
  <r>
    <n v="1338"/>
    <x v="820"/>
    <x v="219"/>
    <n v="122"/>
    <x v="12"/>
    <s v="Danny Boyle"/>
    <s v="Legendary Pictures"/>
    <x v="19"/>
    <x v="0"/>
    <n v="15"/>
    <n v="30000000"/>
    <n v="34400000"/>
    <n v="2"/>
    <n v="0"/>
  </r>
  <r>
    <n v="1339"/>
    <x v="821"/>
    <x v="796"/>
    <n v="127"/>
    <x v="1"/>
    <s v="Ang Lee"/>
    <s v="Fox 2000 Pictures"/>
    <x v="19"/>
    <x v="0"/>
    <s v="PG"/>
    <n v="120000000"/>
    <n v="609000000"/>
    <n v="11"/>
    <n v="4"/>
  </r>
  <r>
    <n v="1340"/>
    <x v="822"/>
    <x v="797"/>
    <n v="126"/>
    <x v="9"/>
    <s v="Alan Taylor"/>
    <s v="Paramount Pictures"/>
    <x v="19"/>
    <x v="0"/>
    <s v="12A"/>
    <n v="155000000"/>
    <n v="440600000"/>
    <n v="0"/>
    <n v="0"/>
  </r>
  <r>
    <n v="1341"/>
    <x v="823"/>
    <x v="798"/>
    <n v="95"/>
    <x v="14"/>
    <s v="Henry Hobson"/>
    <s v="Lionsgate"/>
    <x v="19"/>
    <x v="0"/>
    <n v="15"/>
    <n v="4500000"/>
    <n v="1400000"/>
    <n v="0"/>
    <n v="0"/>
  </r>
  <r>
    <n v="1342"/>
    <x v="824"/>
    <x v="799"/>
    <n v="109"/>
    <x v="4"/>
    <s v="David Ayer"/>
    <s v="Open Road Films"/>
    <x v="19"/>
    <x v="0"/>
    <n v="15"/>
    <n v="35000000"/>
    <n v="18400000"/>
    <n v="0"/>
    <n v="0"/>
  </r>
  <r>
    <n v="1343"/>
    <x v="825"/>
    <x v="800"/>
    <n v="115"/>
    <x v="3"/>
    <s v="Mikael Hafstrom"/>
    <s v="Summit Entertainment"/>
    <x v="19"/>
    <x v="0"/>
    <n v="15"/>
    <n v="50000000"/>
    <n v="137300000"/>
    <n v="0"/>
    <n v="0"/>
  </r>
  <r>
    <n v="1344"/>
    <x v="826"/>
    <x v="801"/>
    <n v="107"/>
    <x v="3"/>
    <s v="Kim Jee-woon"/>
    <s v="di Bonaventura Pictures"/>
    <x v="19"/>
    <x v="0"/>
    <n v="15"/>
    <n v="45000000"/>
    <n v="48300000"/>
    <n v="0"/>
    <n v="0"/>
  </r>
  <r>
    <n v="1345"/>
    <x v="827"/>
    <x v="802"/>
    <n v="115"/>
    <x v="9"/>
    <s v="McG"/>
    <s v="Columbia Pictures"/>
    <x v="19"/>
    <x v="0"/>
    <s v="12A"/>
    <n v="200000000"/>
    <n v="371400000"/>
    <n v="0"/>
    <n v="0"/>
  </r>
  <r>
    <n v="1346"/>
    <x v="828"/>
    <x v="803"/>
    <n v="108"/>
    <x v="3"/>
    <s v="Andrew Davis"/>
    <s v="Warner Bros. Pictures"/>
    <x v="19"/>
    <x v="0"/>
    <n v="15"/>
    <n v="85000000"/>
    <n v="78300000"/>
    <n v="0"/>
    <n v="0"/>
  </r>
  <r>
    <n v="1347"/>
    <x v="829"/>
    <x v="804"/>
    <n v="124"/>
    <x v="9"/>
    <s v="Roger Spottiswoode"/>
    <s v="Columbia Pictures"/>
    <x v="19"/>
    <x v="0"/>
    <n v="15"/>
    <n v="82000000"/>
    <n v="96100000"/>
    <n v="0"/>
    <n v="0"/>
  </r>
  <r>
    <n v="1348"/>
    <x v="830"/>
    <x v="805"/>
    <n v="123"/>
    <x v="14"/>
    <s v="Peter Hyams"/>
    <s v="Beacon Pictures"/>
    <x v="19"/>
    <x v="0"/>
    <n v="18"/>
    <n v="100000000"/>
    <n v="212000000"/>
    <n v="0"/>
    <n v="0"/>
  </r>
  <r>
    <n v="1349"/>
    <x v="831"/>
    <x v="511"/>
    <n v="125"/>
    <x v="3"/>
    <s v="Joel Schumacher"/>
    <s v="Polygram Filmed Entertainment"/>
    <x v="19"/>
    <x v="0"/>
    <s v="PG"/>
    <n v="140000000"/>
    <n v="238200000"/>
    <n v="0"/>
    <n v="0"/>
  </r>
  <r>
    <n v="1350"/>
    <x v="832"/>
    <x v="806"/>
    <n v="89"/>
    <x v="23"/>
    <s v="Brian Levant"/>
    <s v="20th Century Fox"/>
    <x v="19"/>
    <x v="0"/>
    <s v="PG"/>
    <n v="75000000"/>
    <n v="129800000"/>
    <n v="0"/>
    <n v="0"/>
  </r>
  <r>
    <n v="1351"/>
    <x v="833"/>
    <x v="807"/>
    <n v="109"/>
    <x v="2"/>
    <s v="Ivan Reitman"/>
    <s v="Universal Pictures"/>
    <x v="19"/>
    <x v="0"/>
    <s v="PG"/>
    <n v="60000000"/>
    <n v="108400000"/>
    <n v="1"/>
    <n v="0"/>
  </r>
  <r>
    <n v="1352"/>
    <x v="332"/>
    <x v="808"/>
    <n v="118"/>
    <x v="9"/>
    <s v="Len Wiseman"/>
    <s v="Relativity Media"/>
    <x v="19"/>
    <x v="0"/>
    <s v="12A"/>
    <n v="125000000"/>
    <n v="198500000"/>
    <n v="0"/>
    <n v="0"/>
  </r>
  <r>
    <n v="1353"/>
    <x v="834"/>
    <x v="809"/>
    <n v="110"/>
    <x v="11"/>
    <s v="Joel Coen"/>
    <s v="Paramount Pictures"/>
    <x v="19"/>
    <x v="0"/>
    <n v="15"/>
    <n v="38000000"/>
    <n v="252300000"/>
    <n v="10"/>
    <n v="0"/>
  </r>
  <r>
    <n v="1354"/>
    <x v="835"/>
    <x v="810"/>
    <n v="103"/>
    <x v="3"/>
    <s v="Walter Hill"/>
    <s v="Carolco Pictures"/>
    <x v="19"/>
    <x v="0"/>
    <n v="18"/>
    <n v="29000000"/>
    <n v="35000000"/>
    <n v="0"/>
    <n v="0"/>
  </r>
  <r>
    <n v="1355"/>
    <x v="836"/>
    <x v="573"/>
    <n v="107"/>
    <x v="9"/>
    <s v="John McTiernan"/>
    <s v="Silver Pictures"/>
    <x v="19"/>
    <x v="0"/>
    <n v="18"/>
    <n v="18000000"/>
    <n v="98300000"/>
    <n v="1"/>
    <n v="0"/>
  </r>
  <r>
    <n v="1356"/>
    <x v="837"/>
    <x v="811"/>
    <n v="107"/>
    <x v="3"/>
    <s v="John Irvin"/>
    <s v="Dino De Laurentiis Corporation"/>
    <x v="19"/>
    <x v="0"/>
    <n v="18"/>
    <n v="11000000"/>
    <n v="18100000"/>
    <n v="0"/>
    <n v="0"/>
  </r>
  <r>
    <n v="1357"/>
    <x v="838"/>
    <x v="812"/>
    <n v="90"/>
    <x v="3"/>
    <s v="Mark L. Lester"/>
    <s v="Silver Pictures"/>
    <x v="19"/>
    <x v="0"/>
    <n v="18"/>
    <n v="10000000"/>
    <n v="57500000"/>
    <n v="0"/>
    <n v="0"/>
  </r>
  <r>
    <n v="1358"/>
    <x v="839"/>
    <x v="813"/>
    <n v="104"/>
    <x v="3"/>
    <s v="Brett Ratner"/>
    <s v="Marvel Entertainment"/>
    <x v="19"/>
    <x v="0"/>
    <s v="12A"/>
    <n v="210000000"/>
    <n v="459400000"/>
    <n v="0"/>
    <n v="0"/>
  </r>
  <r>
    <n v="1360"/>
    <x v="840"/>
    <x v="766"/>
    <n v="101"/>
    <x v="6"/>
    <s v="Richard Fleischer"/>
    <s v="Dino De Laurentiis Corporation"/>
    <x v="19"/>
    <x v="0"/>
    <n v="15"/>
    <n v="18000000"/>
    <n v="100000000"/>
    <n v="0"/>
    <n v="0"/>
  </r>
  <r>
    <n v="1361"/>
    <x v="841"/>
    <x v="814"/>
    <n v="129"/>
    <x v="6"/>
    <s v="John Milius"/>
    <s v="Dino De Laurentiis Corporation"/>
    <x v="19"/>
    <x v="0"/>
    <n v="15"/>
    <n v="16000000"/>
    <n v="130000000"/>
    <n v="0"/>
    <n v="0"/>
  </r>
  <r>
    <n v="1362"/>
    <x v="841"/>
    <x v="815"/>
    <n v="113"/>
    <x v="6"/>
    <s v="Marcus Nispel"/>
    <s v="Millennium Films"/>
    <x v="19"/>
    <x v="0"/>
    <n v="15"/>
    <n v="90000000"/>
    <n v="48800000"/>
    <n v="0"/>
    <n v="0"/>
  </r>
  <r>
    <n v="1363"/>
    <x v="842"/>
    <x v="816"/>
    <n v="85"/>
    <x v="20"/>
    <s v="George Butler"/>
    <s v="White Mountain Films"/>
    <x v="19"/>
    <x v="0"/>
    <n v="12"/>
    <n v="1000000"/>
    <n v="1000000"/>
    <n v="0"/>
    <n v="0"/>
  </r>
  <r>
    <n v="1366"/>
    <x v="843"/>
    <x v="817"/>
    <n v="97"/>
    <x v="3"/>
    <s v="McG"/>
    <s v="Dune Entertainment"/>
    <x v="19"/>
    <x v="0"/>
    <s v="12A"/>
    <n v="65000000"/>
    <n v="156500000"/>
    <n v="0"/>
    <n v="0"/>
  </r>
  <r>
    <n v="1367"/>
    <x v="844"/>
    <x v="482"/>
    <n v="131"/>
    <x v="10"/>
    <s v="McG"/>
    <s v="Legendary Pictures"/>
    <x v="19"/>
    <x v="0"/>
    <s v="PG"/>
    <n v="65000000"/>
    <n v="43500000"/>
    <n v="0"/>
    <n v="0"/>
  </r>
  <r>
    <n v="1368"/>
    <x v="845"/>
    <x v="818"/>
    <n v="132"/>
    <x v="3"/>
    <s v="Matthew Vaughn"/>
    <s v="Marvel Entertainment"/>
    <x v="19"/>
    <x v="0"/>
    <s v="12A"/>
    <n v="160000000"/>
    <n v="353600000"/>
    <n v="0"/>
    <n v="0"/>
  </r>
  <r>
    <n v="1369"/>
    <x v="846"/>
    <x v="819"/>
    <n v="98"/>
    <x v="3"/>
    <s v="McG"/>
    <s v="Columbia Pictures"/>
    <x v="19"/>
    <x v="0"/>
    <n v="15"/>
    <n v="90000000"/>
    <n v="264100000"/>
    <n v="0"/>
    <n v="0"/>
  </r>
  <r>
    <n v="1370"/>
    <x v="847"/>
    <x v="820"/>
    <n v="106"/>
    <x v="3"/>
    <s v="McG"/>
    <s v="Columbia Pictures"/>
    <x v="19"/>
    <x v="0"/>
    <s v="12A"/>
    <n v="120000000"/>
    <n v="259100000"/>
    <n v="0"/>
    <n v="0"/>
  </r>
  <r>
    <n v="1379"/>
    <x v="848"/>
    <x v="376"/>
    <n v="229"/>
    <x v="4"/>
    <s v="Sergio Leone"/>
    <s v="The Ladd Company"/>
    <x v="19"/>
    <x v="0"/>
    <n v="18"/>
    <n v="30000000"/>
    <n v="5300000"/>
    <n v="0"/>
    <n v="0"/>
  </r>
  <r>
    <n v="1380"/>
    <x v="849"/>
    <x v="821"/>
    <n v="92"/>
    <x v="3"/>
    <s v="Patrick Tatopoulos"/>
    <s v="Lakeshore Entertainment"/>
    <x v="19"/>
    <x v="0"/>
    <n v="18"/>
    <n v="35000000"/>
    <n v="91300000"/>
    <n v="0"/>
    <n v="0"/>
  </r>
  <r>
    <n v="1381"/>
    <x v="850"/>
    <x v="822"/>
    <n v="89"/>
    <x v="3"/>
    <s v="Mans Marlind"/>
    <s v="Lakeshore Entertainment"/>
    <x v="19"/>
    <x v="0"/>
    <n v="18"/>
    <n v="70000000"/>
    <n v="160000000"/>
    <n v="0"/>
    <n v="0"/>
  </r>
  <r>
    <n v="1383"/>
    <x v="851"/>
    <x v="823"/>
    <n v="128"/>
    <x v="9"/>
    <s v="Roland Emmerich"/>
    <s v="StudioCanal"/>
    <x v="19"/>
    <x v="0"/>
    <s v="PG"/>
    <n v="55000000"/>
    <n v="196600000"/>
    <n v="0"/>
    <n v="0"/>
  </r>
  <r>
    <n v="1384"/>
    <x v="852"/>
    <x v="824"/>
    <n v="103"/>
    <x v="3"/>
    <s v="Andrew Davis"/>
    <s v="Regency Enterprises"/>
    <x v="19"/>
    <x v="0"/>
    <n v="15"/>
    <n v="35000000"/>
    <n v="156600000"/>
    <n v="2"/>
    <n v="0"/>
  </r>
  <r>
    <n v="1385"/>
    <x v="853"/>
    <x v="825"/>
    <n v="141"/>
    <x v="8"/>
    <s v="Steven Spielberg"/>
    <s v="Dreamworks"/>
    <x v="19"/>
    <x v="0"/>
    <s v="12A"/>
    <n v="40000000"/>
    <n v="165500000"/>
    <n v="6"/>
    <n v="1"/>
  </r>
  <r>
    <n v="1386"/>
    <x v="854"/>
    <x v="826"/>
    <n v="89"/>
    <x v="8"/>
    <s v="Steven Spielberg"/>
    <s v="Universal Pictures"/>
    <x v="19"/>
    <x v="0"/>
    <s v="PG"/>
    <n v="450000"/>
    <n v="450000"/>
    <n v="0"/>
    <n v="0"/>
  </r>
  <r>
    <n v="1387"/>
    <x v="855"/>
    <x v="827"/>
    <n v="154"/>
    <x v="7"/>
    <s v="Steven Spielberg"/>
    <s v="Amblin Entertainment"/>
    <x v="19"/>
    <x v="0"/>
    <s v="PG"/>
    <n v="35000000"/>
    <n v="66700000"/>
    <n v="6"/>
    <n v="0"/>
  </r>
  <r>
    <n v="1388"/>
    <x v="856"/>
    <x v="828"/>
    <n v="154"/>
    <x v="19"/>
    <s v="Steven Spielberg"/>
    <s v="Dreamworks"/>
    <x v="19"/>
    <x v="0"/>
    <n v="15"/>
    <n v="36000000"/>
    <n v="44200000"/>
    <n v="4"/>
    <n v="0"/>
  </r>
  <r>
    <n v="1389"/>
    <x v="857"/>
    <x v="829"/>
    <n v="146"/>
    <x v="9"/>
    <s v="Steven Spielberg"/>
    <s v="Amblin Entertainment"/>
    <x v="19"/>
    <x v="0"/>
    <n v="12"/>
    <n v="100000000"/>
    <n v="235900000"/>
    <n v="2"/>
    <n v="0"/>
  </r>
  <r>
    <n v="1390"/>
    <x v="858"/>
    <x v="830"/>
    <n v="141"/>
    <x v="12"/>
    <s v="Steven Spielberg"/>
    <s v="Amblin Entertainment"/>
    <x v="19"/>
    <x v="0"/>
    <s v="12A"/>
    <n v="52000000"/>
    <n v="352100000"/>
    <n v="2"/>
    <n v="0"/>
  </r>
  <r>
    <n v="1391"/>
    <x v="859"/>
    <x v="831"/>
    <n v="128"/>
    <x v="2"/>
    <s v="Steven Spielberg"/>
    <s v="Amblin Entertainment"/>
    <x v="19"/>
    <x v="0"/>
    <s v="12A"/>
    <n v="60000000"/>
    <n v="219400000"/>
    <n v="0"/>
    <n v="0"/>
  </r>
  <r>
    <n v="1392"/>
    <x v="860"/>
    <x v="832"/>
    <n v="150"/>
    <x v="12"/>
    <s v="Steven Spielberg"/>
    <s v="Amblin Entertainment"/>
    <x v="19"/>
    <x v="0"/>
    <s v="12A"/>
    <n v="65000000"/>
    <n v="275300000"/>
    <n v="12"/>
    <n v="2"/>
  </r>
  <r>
    <n v="1393"/>
    <x v="861"/>
    <x v="833"/>
    <n v="105"/>
    <x v="19"/>
    <s v="Timur Bekmambetov"/>
    <s v="Tim Burton Productions"/>
    <x v="19"/>
    <x v="0"/>
    <n v="15"/>
    <n v="99500000"/>
    <n v="116400000"/>
    <n v="0"/>
    <n v="0"/>
  </r>
  <r>
    <n v="1394"/>
    <x v="862"/>
    <x v="834"/>
    <n v="117"/>
    <x v="23"/>
    <s v="Steven Spielberg"/>
    <s v="Walt Disney Pictures"/>
    <x v="19"/>
    <x v="0"/>
    <s v="PG"/>
    <n v="140000000"/>
    <n v="178000000"/>
    <n v="0"/>
    <n v="0"/>
  </r>
  <r>
    <n v="1396"/>
    <x v="863"/>
    <x v="835"/>
    <n v="137"/>
    <x v="12"/>
    <s v="Angelina Jolie"/>
    <s v="Legendary Pictures"/>
    <x v="19"/>
    <x v="0"/>
    <n v="15"/>
    <n v="65000000"/>
    <n v="163400000"/>
    <n v="3"/>
    <n v="0"/>
  </r>
  <r>
    <n v="1397"/>
    <x v="864"/>
    <x v="836"/>
    <n v="105"/>
    <x v="10"/>
    <s v="Joel Coen"/>
    <s v="StudioCanal"/>
    <x v="19"/>
    <x v="0"/>
    <n v="15"/>
    <n v="11000000"/>
    <n v="32900000"/>
    <n v="2"/>
    <n v="0"/>
  </r>
  <r>
    <n v="1400"/>
    <x v="865"/>
    <x v="386"/>
    <n v="104"/>
    <x v="2"/>
    <s v="Joel Coen"/>
    <s v="Touchstone Pictures"/>
    <x v="19"/>
    <x v="0"/>
    <n v="15"/>
    <n v="35000000"/>
    <n v="76700000"/>
    <n v="0"/>
    <n v="0"/>
  </r>
  <r>
    <n v="1402"/>
    <x v="866"/>
    <x v="837"/>
    <n v="117"/>
    <x v="2"/>
    <s v="Joel Coen"/>
    <s v="Polygram Filmed Entertainment"/>
    <x v="19"/>
    <x v="0"/>
    <n v="18"/>
    <n v="15000000"/>
    <n v="46200000"/>
    <n v="0"/>
    <n v="0"/>
  </r>
  <r>
    <n v="1403"/>
    <x v="867"/>
    <x v="838"/>
    <n v="115"/>
    <x v="4"/>
    <s v="Joel Coen"/>
    <s v="20th Century Fox"/>
    <x v="19"/>
    <x v="0"/>
    <n v="18"/>
    <n v="14000000"/>
    <n v="5080000"/>
    <n v="0"/>
    <n v="0"/>
  </r>
  <r>
    <n v="1405"/>
    <x v="868"/>
    <x v="839"/>
    <n v="115"/>
    <x v="9"/>
    <s v="Howard McCain"/>
    <s v="Virtual Studios"/>
    <x v="19"/>
    <x v="0"/>
    <n v="15"/>
    <n v="47000000"/>
    <n v="7033000"/>
    <n v="0"/>
    <n v="0"/>
  </r>
  <r>
    <n v="1406"/>
    <x v="869"/>
    <x v="840"/>
    <n v="98"/>
    <x v="9"/>
    <s v="Peter Hyams"/>
    <s v="Dark Horse Entertainment"/>
    <x v="19"/>
    <x v="0"/>
    <n v="18"/>
    <n v="27000000"/>
    <n v="101646581"/>
    <n v="0"/>
    <n v="0"/>
  </r>
  <r>
    <n v="1407"/>
    <x v="870"/>
    <x v="841"/>
    <n v="95"/>
    <x v="0"/>
    <s v="Jennifer Yuh Nelson"/>
    <s v="Dreamworks"/>
    <x v="19"/>
    <x v="0"/>
    <s v="PG"/>
    <n v="145000000"/>
    <n v="519900000"/>
    <n v="0"/>
    <n v="0"/>
  </r>
  <r>
    <n v="1408"/>
    <x v="871"/>
    <x v="842"/>
    <n v="102"/>
    <x v="9"/>
    <s v="Roland Emmerich"/>
    <s v="Carolco Pictures"/>
    <x v="19"/>
    <x v="0"/>
    <n v="18"/>
    <n v="23000000"/>
    <n v="36300000"/>
    <n v="0"/>
    <n v="0"/>
  </r>
  <r>
    <n v="1409"/>
    <x v="872"/>
    <x v="843"/>
    <n v="107"/>
    <x v="3"/>
    <s v="Sheldon Lettich"/>
    <s v="Columbia Pictures"/>
    <x v="19"/>
    <x v="0"/>
    <n v="18"/>
    <n v="18000000"/>
    <n v="80500000"/>
    <n v="0"/>
    <n v="0"/>
  </r>
  <r>
    <n v="1410"/>
    <x v="873"/>
    <x v="844"/>
    <n v="89"/>
    <x v="3"/>
    <s v="Deran Sarafian"/>
    <s v="Pathe"/>
    <x v="19"/>
    <x v="0"/>
    <n v="18"/>
    <n v="6000000"/>
    <n v="46700000"/>
    <n v="0"/>
    <n v="0"/>
  </r>
  <r>
    <n v="1411"/>
    <x v="874"/>
    <x v="845"/>
    <n v="103"/>
    <x v="5"/>
    <s v="Mark DiSalle"/>
    <s v="Kings Road Entertainment"/>
    <x v="19"/>
    <x v="0"/>
    <n v="18"/>
    <n v="2700000"/>
    <n v="14700000"/>
    <n v="0"/>
    <n v="0"/>
  </r>
  <r>
    <n v="1412"/>
    <x v="875"/>
    <x v="846"/>
    <n v="82"/>
    <x v="9"/>
    <s v="Albert Pyun"/>
    <s v="The Cannon Group"/>
    <x v="19"/>
    <x v="0"/>
    <n v="18"/>
    <n v="500000"/>
    <n v="10200000"/>
    <n v="0"/>
    <n v="0"/>
  </r>
  <r>
    <n v="1413"/>
    <x v="876"/>
    <x v="847"/>
    <n v="92"/>
    <x v="5"/>
    <s v="Newt Arnold"/>
    <s v="The Cannon Group"/>
    <x v="19"/>
    <x v="0"/>
    <n v="18"/>
    <n v="2300000"/>
    <n v="65000000"/>
    <n v="0"/>
    <n v="0"/>
  </r>
  <r>
    <n v="1414"/>
    <x v="877"/>
    <x v="848"/>
    <n v="132"/>
    <x v="4"/>
    <s v="Antoine Fuqua"/>
    <s v="Millennium Films"/>
    <x v="19"/>
    <x v="0"/>
    <n v="18"/>
    <n v="17000000"/>
    <n v="36400000"/>
    <n v="0"/>
    <n v="0"/>
  </r>
  <r>
    <n v="1419"/>
    <x v="878"/>
    <x v="849"/>
    <n v="88"/>
    <x v="7"/>
    <s v="Stanley Kubrick"/>
    <s v="Bryna Productions"/>
    <x v="19"/>
    <x v="0"/>
    <s v="PG"/>
    <n v="900000"/>
    <n v="900000"/>
    <n v="0"/>
    <n v="0"/>
  </r>
  <r>
    <n v="1420"/>
    <x v="879"/>
    <x v="850"/>
    <n v="126"/>
    <x v="11"/>
    <s v="John Huston"/>
    <s v="Warner Bros. Pictures"/>
    <x v="19"/>
    <x v="0"/>
    <s v="PG"/>
    <n v="3000000"/>
    <n v="4307000"/>
    <n v="4"/>
    <n v="3"/>
  </r>
  <r>
    <n v="1422"/>
    <x v="880"/>
    <x v="851"/>
    <n v="125"/>
    <x v="11"/>
    <s v="John Huston"/>
    <s v="United Artists"/>
    <x v="19"/>
    <x v="0"/>
    <s v="PG"/>
    <n v="5000000"/>
    <n v="3200000"/>
    <n v="0"/>
    <n v="0"/>
  </r>
  <r>
    <n v="1423"/>
    <x v="881"/>
    <x v="852"/>
    <n v="131"/>
    <x v="11"/>
    <s v="Clint Eastwood"/>
    <s v="The Malpaso Company"/>
    <x v="19"/>
    <x v="0"/>
    <n v="15"/>
    <n v="14400000"/>
    <n v="159200000"/>
    <n v="9"/>
    <n v="4"/>
  </r>
  <r>
    <n v="1431"/>
    <x v="882"/>
    <x v="853"/>
    <n v="114"/>
    <x v="11"/>
    <s v="Ted Post"/>
    <s v="The Malpaso Company"/>
    <x v="19"/>
    <x v="0"/>
    <n v="18"/>
    <n v="1600000"/>
    <n v="6800000"/>
    <n v="0"/>
    <n v="0"/>
  </r>
  <r>
    <n v="1432"/>
    <x v="883"/>
    <x v="854"/>
    <n v="93"/>
    <x v="3"/>
    <s v="Don Siegel"/>
    <s v="The Malpaso Company"/>
    <x v="19"/>
    <x v="0"/>
    <n v="15"/>
    <n v="1500000"/>
    <n v="3110000"/>
    <n v="0"/>
    <n v="0"/>
  </r>
  <r>
    <n v="1434"/>
    <x v="884"/>
    <x v="855"/>
    <n v="146"/>
    <x v="7"/>
    <s v="Brian G. Hutton"/>
    <s v="Metro-Goldwyn-Mayer"/>
    <x v="19"/>
    <x v="0"/>
    <s v="PG"/>
    <n v="4000000"/>
    <n v="5200000"/>
    <n v="0"/>
    <n v="0"/>
  </r>
  <r>
    <n v="1436"/>
    <x v="885"/>
    <x v="856"/>
    <n v="135"/>
    <x v="11"/>
    <s v="Clint Eastwood"/>
    <s v="The Malpaso Company"/>
    <x v="19"/>
    <x v="0"/>
    <n v="18"/>
    <n v="3700000"/>
    <n v="31800000"/>
    <n v="1"/>
    <n v="0"/>
  </r>
  <r>
    <n v="1437"/>
    <x v="886"/>
    <x v="857"/>
    <n v="130"/>
    <x v="7"/>
    <s v="Clint Eastwood"/>
    <s v="The Malpaso Company"/>
    <x v="19"/>
    <x v="0"/>
    <n v="15"/>
    <n v="15000000"/>
    <n v="121700000"/>
    <n v="1"/>
    <n v="0"/>
  </r>
  <r>
    <n v="1438"/>
    <x v="887"/>
    <x v="858"/>
    <n v="91"/>
    <x v="8"/>
    <s v="Buddy Van Horn"/>
    <s v="The Malpaso Company"/>
    <x v="19"/>
    <x v="0"/>
    <n v="18"/>
    <n v="31000000"/>
    <n v="37903000"/>
    <n v="0"/>
    <n v="0"/>
  </r>
  <r>
    <n v="1439"/>
    <x v="888"/>
    <x v="859"/>
    <n v="130"/>
    <x v="8"/>
    <s v="Clint Eastwood"/>
    <s v="The Malpaso Company"/>
    <x v="19"/>
    <x v="0"/>
    <s v="PG"/>
    <n v="60000000"/>
    <n v="128900000"/>
    <n v="1"/>
    <n v="0"/>
  </r>
  <r>
    <n v="1440"/>
    <x v="889"/>
    <x v="860"/>
    <n v="116"/>
    <x v="10"/>
    <s v="Clint Eastwood"/>
    <s v="The Malpaso Company"/>
    <x v="19"/>
    <x v="0"/>
    <n v="15"/>
    <n v="33000000"/>
    <n v="270000000"/>
    <n v="0"/>
    <n v="0"/>
  </r>
  <r>
    <n v="1441"/>
    <x v="890"/>
    <x v="861"/>
    <n v="133"/>
    <x v="18"/>
    <s v="Clint Eastwood"/>
    <s v="The Malpaso Company"/>
    <x v="19"/>
    <x v="0"/>
    <s v="12A"/>
    <n v="60000000"/>
    <n v="122200000"/>
    <n v="0"/>
    <n v="0"/>
  </r>
  <r>
    <n v="1442"/>
    <x v="891"/>
    <x v="862"/>
    <n v="132"/>
    <x v="12"/>
    <s v="Clint Eastwood"/>
    <s v="Village Roadshow Pictures"/>
    <x v="19"/>
    <x v="0"/>
    <n v="15"/>
    <n v="58800000"/>
    <n v="547400000"/>
    <n v="6"/>
    <n v="1"/>
  </r>
  <r>
    <n v="1443"/>
    <x v="892"/>
    <x v="863"/>
    <n v="96"/>
    <x v="12"/>
    <s v="Clint Eastwood"/>
    <s v="Village Roadshow Pictures"/>
    <x v="19"/>
    <x v="0"/>
    <s v="12A"/>
    <n v="60000000"/>
    <n v="200700000"/>
    <n v="0"/>
    <n v="0"/>
  </r>
  <r>
    <n v="1444"/>
    <x v="893"/>
    <x v="864"/>
    <n v="137"/>
    <x v="12"/>
    <s v="Clint Eastwood"/>
    <s v="Imagine Entertainment"/>
    <x v="19"/>
    <x v="0"/>
    <n v="15"/>
    <n v="35000000"/>
    <n v="84600000"/>
    <n v="0"/>
    <n v="0"/>
  </r>
  <r>
    <n v="1445"/>
    <x v="894"/>
    <x v="865"/>
    <n v="141"/>
    <x v="12"/>
    <s v="Clint Eastwood"/>
    <s v="Imagine Entertainment"/>
    <x v="19"/>
    <x v="0"/>
    <n v="15"/>
    <n v="55000000"/>
    <n v="113000000"/>
    <n v="3"/>
    <n v="0"/>
  </r>
  <r>
    <n v="1446"/>
    <x v="895"/>
    <x v="866"/>
    <n v="113"/>
    <x v="3"/>
    <s v="David S. Goyer"/>
    <s v="Marvel Entertainment"/>
    <x v="19"/>
    <x v="0"/>
    <n v="15"/>
    <n v="65000000"/>
    <n v="128900000"/>
    <n v="0"/>
    <n v="0"/>
  </r>
  <r>
    <n v="1447"/>
    <x v="896"/>
    <x v="837"/>
    <n v="131"/>
    <x v="8"/>
    <s v="Stuart Baird"/>
    <s v="Kopelson Entertainment"/>
    <x v="19"/>
    <x v="0"/>
    <n v="15"/>
    <n v="45000000"/>
    <n v="102400000"/>
    <n v="0"/>
    <n v="0"/>
  </r>
  <r>
    <n v="1448"/>
    <x v="897"/>
    <x v="867"/>
    <n v="101"/>
    <x v="3"/>
    <s v="John Badham"/>
    <s v="Paramount Pictures"/>
    <x v="19"/>
    <x v="0"/>
    <n v="15"/>
    <n v="45000000"/>
    <n v="28735000"/>
    <n v="0"/>
    <n v="0"/>
  </r>
  <r>
    <n v="1449"/>
    <x v="898"/>
    <x v="868"/>
    <n v="115"/>
    <x v="3"/>
    <s v="Marco Brambilla"/>
    <s v="Silver Pictures"/>
    <x v="19"/>
    <x v="0"/>
    <n v="15"/>
    <n v="57000000"/>
    <n v="159100000"/>
    <n v="0"/>
    <n v="0"/>
  </r>
  <r>
    <n v="1450"/>
    <x v="899"/>
    <x v="869"/>
    <n v="84"/>
    <x v="3"/>
    <s v="Kevin Hooks"/>
    <s v="Warner Bros. Pictures"/>
    <x v="19"/>
    <x v="0"/>
    <n v="15"/>
    <n v="15000000"/>
    <n v="44065000"/>
    <n v="0"/>
    <n v="0"/>
  </r>
  <r>
    <n v="1451"/>
    <x v="900"/>
    <x v="870"/>
    <n v="98"/>
    <x v="6"/>
    <s v="Rob Reiner"/>
    <s v="Act III Communications"/>
    <x v="19"/>
    <x v="0"/>
    <s v="PG"/>
    <n v="16000000"/>
    <n v="30900000"/>
    <n v="1"/>
    <n v="0"/>
  </r>
  <r>
    <n v="1452"/>
    <x v="901"/>
    <x v="871"/>
    <n v="99"/>
    <x v="11"/>
    <s v="Walter Hill"/>
    <s v="United Artists"/>
    <x v="19"/>
    <x v="0"/>
    <n v="18"/>
    <n v="8000000"/>
    <n v="15795000"/>
    <n v="0"/>
    <n v="0"/>
  </r>
  <r>
    <n v="1453"/>
    <x v="902"/>
    <x v="872"/>
    <n v="143"/>
    <x v="11"/>
    <s v="Sam Peckinpah"/>
    <s v="Seven Arts Productions"/>
    <x v="19"/>
    <x v="0"/>
    <n v="18"/>
    <n v="6000000"/>
    <n v="11138000"/>
    <n v="2"/>
    <n v="0"/>
  </r>
  <r>
    <n v="1454"/>
    <x v="903"/>
    <x v="873"/>
    <n v="119"/>
    <x v="10"/>
    <s v="Tony Kaye"/>
    <s v="New Line Cinema"/>
    <x v="19"/>
    <x v="0"/>
    <n v="18"/>
    <n v="20000000"/>
    <n v="23900000"/>
    <n v="1"/>
    <n v="0"/>
  </r>
  <r>
    <n v="1455"/>
    <x v="904"/>
    <x v="874"/>
    <n v="112"/>
    <x v="3"/>
    <s v="Sam Peckinpah"/>
    <s v="EMI Films"/>
    <x v="19"/>
    <x v="0"/>
    <n v="15"/>
    <n v="12000000"/>
    <n v="45000000"/>
    <n v="0"/>
    <n v="0"/>
  </r>
  <r>
    <n v="1457"/>
    <x v="905"/>
    <x v="875"/>
    <n v="122"/>
    <x v="4"/>
    <s v="Sam Peckinpah"/>
    <s v="First Artists"/>
    <x v="19"/>
    <x v="0"/>
    <n v="18"/>
    <n v="3350000"/>
    <n v="36734000"/>
    <n v="0"/>
    <n v="0"/>
  </r>
  <r>
    <n v="1458"/>
    <x v="906"/>
    <x v="876"/>
    <n v="117"/>
    <x v="8"/>
    <s v="Sam Peckinpah"/>
    <s v="ABC Pictures"/>
    <x v="19"/>
    <x v="0"/>
    <n v="18"/>
    <n v="2200000"/>
    <n v="8000000"/>
    <n v="1"/>
    <n v="0"/>
  </r>
  <r>
    <n v="1459"/>
    <x v="907"/>
    <x v="877"/>
    <n v="179"/>
    <x v="10"/>
    <s v="Stanley Kramer"/>
    <s v="United Artists"/>
    <x v="19"/>
    <x v="0"/>
    <s v="PG"/>
    <n v="3000000"/>
    <n v="10000000"/>
    <n v="11"/>
    <n v="2"/>
  </r>
  <r>
    <n v="1460"/>
    <x v="908"/>
    <x v="878"/>
    <n v="172"/>
    <x v="7"/>
    <s v="John Sturges"/>
    <s v="The Mirisch Production Company"/>
    <x v="19"/>
    <x v="0"/>
    <s v="PG"/>
    <n v="3800000"/>
    <n v="11744000"/>
    <n v="1"/>
    <n v="0"/>
  </r>
  <r>
    <n v="1463"/>
    <x v="909"/>
    <x v="879"/>
    <n v="122"/>
    <x v="9"/>
    <s v="Justin Lin"/>
    <s v="Bad Robot Productions"/>
    <x v="19"/>
    <x v="0"/>
    <s v="12A"/>
    <n v="185000000"/>
    <n v="343500000"/>
    <n v="0"/>
    <n v="0"/>
  </r>
  <r>
    <n v="1464"/>
    <x v="910"/>
    <x v="880"/>
    <n v="133"/>
    <x v="9"/>
    <s v="J. J. Abrams"/>
    <s v="Bad Robot Productions"/>
    <x v="19"/>
    <x v="0"/>
    <n v="12"/>
    <n v="185000000"/>
    <n v="467400000"/>
    <n v="1"/>
    <n v="0"/>
  </r>
  <r>
    <n v="1465"/>
    <x v="911"/>
    <x v="881"/>
    <n v="127"/>
    <x v="9"/>
    <s v="J. J. Abrams"/>
    <s v="Bad Robot Productions"/>
    <x v="19"/>
    <x v="0"/>
    <n v="12"/>
    <n v="150000000"/>
    <n v="385700000"/>
    <n v="4"/>
    <n v="1"/>
  </r>
  <r>
    <n v="1466"/>
    <x v="912"/>
    <x v="882"/>
    <n v="101"/>
    <x v="9"/>
    <s v="Paul Verhoeven"/>
    <s v="Orion Pictures"/>
    <x v="19"/>
    <x v="0"/>
    <n v="18"/>
    <n v="13000000"/>
    <n v="53400000"/>
    <n v="2"/>
    <n v="0"/>
  </r>
  <r>
    <n v="1467"/>
    <x v="912"/>
    <x v="32"/>
    <n v="118"/>
    <x v="9"/>
    <s v="Jose Padilha"/>
    <s v="Metro-Goldwyn-Mayer"/>
    <x v="19"/>
    <x v="0"/>
    <s v="12A"/>
    <n v="100000000"/>
    <n v="242700000"/>
    <n v="0"/>
    <n v="0"/>
  </r>
  <r>
    <n v="1468"/>
    <x v="913"/>
    <x v="883"/>
    <n v="92"/>
    <x v="2"/>
    <s v="Kevin Smith"/>
    <s v="View Askew Productions"/>
    <x v="19"/>
    <x v="0"/>
    <n v="18"/>
    <n v="230000"/>
    <n v="3200000"/>
    <n v="0"/>
    <n v="0"/>
  </r>
  <r>
    <n v="1469"/>
    <x v="914"/>
    <x v="369"/>
    <n v="94"/>
    <x v="2"/>
    <s v="Kevin Smith"/>
    <s v="View Askew Productions"/>
    <x v="19"/>
    <x v="0"/>
    <n v="18"/>
    <n v="6100000"/>
    <n v="22100000"/>
    <n v="0"/>
    <n v="0"/>
  </r>
  <r>
    <n v="1470"/>
    <x v="915"/>
    <x v="884"/>
    <n v="113"/>
    <x v="17"/>
    <s v="Kevin Smith"/>
    <s v="View Askew Productions"/>
    <x v="19"/>
    <x v="0"/>
    <n v="18"/>
    <n v="250000"/>
    <n v="12000000"/>
    <n v="0"/>
    <n v="0"/>
  </r>
  <r>
    <n v="1471"/>
    <x v="916"/>
    <x v="138"/>
    <n v="128"/>
    <x v="2"/>
    <s v="Kevin Smith"/>
    <s v="View Askew Productions"/>
    <x v="19"/>
    <x v="0"/>
    <n v="15"/>
    <n v="10000000"/>
    <n v="31400000"/>
    <n v="0"/>
    <n v="0"/>
  </r>
  <r>
    <n v="1473"/>
    <x v="917"/>
    <x v="452"/>
    <n v="100"/>
    <x v="4"/>
    <s v="Nicolas Winding Refn"/>
    <s v="FilmDistrict"/>
    <x v="19"/>
    <x v="0"/>
    <n v="18"/>
    <n v="1500000"/>
    <n v="78100000"/>
    <n v="1"/>
    <n v="0"/>
  </r>
  <r>
    <n v="1475"/>
    <x v="918"/>
    <x v="885"/>
    <n v="113"/>
    <x v="10"/>
    <s v="Martin Scorsese"/>
    <s v="Columbia Pictures"/>
    <x v="19"/>
    <x v="0"/>
    <n v="18"/>
    <n v="1300000"/>
    <n v="28300000"/>
    <n v="4"/>
    <n v="0"/>
  </r>
  <r>
    <n v="1476"/>
    <x v="919"/>
    <x v="886"/>
    <n v="112"/>
    <x v="4"/>
    <s v="Martin Scorsese"/>
    <s v="Warner Bros. Pictures"/>
    <x v="19"/>
    <x v="0"/>
    <n v="18"/>
    <n v="500000"/>
    <n v="3000000"/>
    <n v="0"/>
    <n v="0"/>
  </r>
  <r>
    <n v="1478"/>
    <x v="920"/>
    <x v="887"/>
    <n v="163"/>
    <x v="16"/>
    <s v="Martin Scorsese"/>
    <s v="United Artists"/>
    <x v="19"/>
    <x v="0"/>
    <s v="PG"/>
    <n v="14000000"/>
    <n v="13800000"/>
    <n v="0"/>
    <n v="0"/>
  </r>
  <r>
    <n v="1479"/>
    <x v="921"/>
    <x v="888"/>
    <n v="109"/>
    <x v="2"/>
    <s v="Martin Scorsese"/>
    <s v="Embassy International"/>
    <x v="19"/>
    <x v="0"/>
    <s v="PG"/>
    <n v="19000000"/>
    <n v="2500000"/>
    <n v="0"/>
    <n v="0"/>
  </r>
  <r>
    <n v="1480"/>
    <x v="922"/>
    <x v="889"/>
    <n v="120"/>
    <x v="10"/>
    <s v="Martin Scorsese"/>
    <s v="Touchstone Pictures"/>
    <x v="19"/>
    <x v="0"/>
    <n v="15"/>
    <n v="13800000"/>
    <n v="52200000"/>
    <n v="4"/>
    <n v="1"/>
  </r>
  <r>
    <n v="1481"/>
    <x v="923"/>
    <x v="890"/>
    <n v="162"/>
    <x v="10"/>
    <s v="Martin Scorsese"/>
    <s v="Universal Pictures"/>
    <x v="19"/>
    <x v="0"/>
    <n v="18"/>
    <n v="7000000"/>
    <n v="8900000"/>
    <n v="1"/>
    <n v="0"/>
  </r>
  <r>
    <n v="1482"/>
    <x v="924"/>
    <x v="891"/>
    <n v="139"/>
    <x v="13"/>
    <s v="Martin Scorsese"/>
    <s v="Columbia Pictures"/>
    <x v="19"/>
    <x v="0"/>
    <s v="U"/>
    <n v="34000000"/>
    <n v="32300000"/>
    <n v="5"/>
    <n v="1"/>
  </r>
  <r>
    <n v="1483"/>
    <x v="925"/>
    <x v="892"/>
    <n v="159"/>
    <x v="10"/>
    <s v="Martin Scorsese"/>
    <s v="Paramount Pictures"/>
    <x v="19"/>
    <x v="0"/>
    <n v="15"/>
    <n v="50000000"/>
    <n v="50000000"/>
    <n v="0"/>
    <n v="0"/>
  </r>
  <r>
    <n v="1484"/>
    <x v="926"/>
    <x v="893"/>
    <n v="179"/>
    <x v="12"/>
    <s v="Martin Scorsese"/>
    <s v="Paramount Pictures"/>
    <x v="19"/>
    <x v="0"/>
    <n v="18"/>
    <n v="155000000"/>
    <n v="392000000"/>
    <n v="5"/>
    <n v="0"/>
  </r>
  <r>
    <n v="1486"/>
    <x v="927"/>
    <x v="894"/>
    <n v="138"/>
    <x v="8"/>
    <s v="Martin Scorsese"/>
    <s v="Paramount Pictures"/>
    <x v="19"/>
    <x v="0"/>
    <n v="15"/>
    <n v="80000000"/>
    <n v="294800000"/>
    <n v="0"/>
    <n v="0"/>
  </r>
  <r>
    <n v="1487"/>
    <x v="928"/>
    <x v="895"/>
    <n v="89"/>
    <x v="2"/>
    <s v="Ben Stiller"/>
    <s v="Village Roadshow Pictures"/>
    <x v="19"/>
    <x v="0"/>
    <n v="12"/>
    <n v="28000000"/>
    <n v="60800000"/>
    <n v="0"/>
    <n v="0"/>
  </r>
  <r>
    <n v="1489"/>
    <x v="929"/>
    <x v="896"/>
    <n v="126"/>
    <x v="6"/>
    <s v="Ron Howard"/>
    <s v="Lucasfilm"/>
    <x v="19"/>
    <x v="0"/>
    <s v="PG"/>
    <n v="35000000"/>
    <n v="57300000"/>
    <n v="2"/>
    <n v="0"/>
  </r>
  <r>
    <n v="1494"/>
    <x v="930"/>
    <x v="453"/>
    <n v="100"/>
    <x v="0"/>
    <s v="George Miller"/>
    <s v="Village Roadshow Pictures"/>
    <x v="19"/>
    <x v="0"/>
    <s v="U"/>
    <n v="135000000"/>
    <n v="150400000"/>
    <n v="0"/>
    <n v="0"/>
  </r>
  <r>
    <n v="1495"/>
    <x v="931"/>
    <x v="897"/>
    <n v="102"/>
    <x v="2"/>
    <s v="Ben Stiller"/>
    <s v="Paramount Pictures"/>
    <x v="19"/>
    <x v="0"/>
    <s v="12A"/>
    <n v="50000000"/>
    <n v="56000000"/>
    <n v="0"/>
    <n v="0"/>
  </r>
  <r>
    <n v="1496"/>
    <x v="932"/>
    <x v="898"/>
    <n v="136"/>
    <x v="9"/>
    <s v="David Lynch"/>
    <s v="Dino De Laurentiis Corporation"/>
    <x v="19"/>
    <x v="0"/>
    <s v="PG"/>
    <n v="40000000"/>
    <n v="30900000"/>
    <n v="1"/>
    <n v="0"/>
  </r>
  <r>
    <n v="1498"/>
    <x v="933"/>
    <x v="899"/>
    <n v="116"/>
    <x v="2"/>
    <s v="Shane Black"/>
    <s v="Silver Pictures"/>
    <x v="19"/>
    <x v="0"/>
    <n v="15"/>
    <n v="50000000"/>
    <n v="57300000"/>
    <n v="0"/>
    <n v="0"/>
  </r>
  <r>
    <n v="1499"/>
    <x v="934"/>
    <x v="900"/>
    <n v="103"/>
    <x v="2"/>
    <s v="Shane Black"/>
    <s v="Silver Pictures"/>
    <x v="19"/>
    <x v="0"/>
    <n v="15"/>
    <n v="15000000"/>
    <n v="15800000"/>
    <n v="0"/>
    <n v="0"/>
  </r>
  <r>
    <n v="1500"/>
    <x v="935"/>
    <x v="901"/>
    <n v="120"/>
    <x v="9"/>
    <s v="Roland Emmerich"/>
    <s v="Centropolis Entertainment"/>
    <x v="19"/>
    <x v="0"/>
    <s v="12A"/>
    <n v="165000000"/>
    <n v="389700000"/>
    <n v="0"/>
    <n v="0"/>
  </r>
  <r>
    <n v="1501"/>
    <x v="384"/>
    <x v="902"/>
    <n v="116"/>
    <x v="2"/>
    <s v="Paul Feig"/>
    <s v="Village Roadshow Pictures"/>
    <x v="19"/>
    <x v="0"/>
    <s v="12A"/>
    <n v="144000000"/>
    <n v="229100000"/>
    <n v="0"/>
    <n v="0"/>
  </r>
  <r>
    <n v="1503"/>
    <x v="936"/>
    <x v="903"/>
    <n v="123"/>
    <x v="8"/>
    <s v="Paul Greengrass"/>
    <s v="The Kennedy Marshall Company"/>
    <x v="19"/>
    <x v="0"/>
    <s v="12A"/>
    <n v="120000000"/>
    <n v="415200000"/>
    <n v="0"/>
    <n v="0"/>
  </r>
  <r>
    <n v="1504"/>
    <x v="937"/>
    <x v="904"/>
    <n v="88"/>
    <x v="0"/>
    <s v="Conrad Vernon"/>
    <s v="Columbia Pictures"/>
    <x v="19"/>
    <x v="0"/>
    <n v="15"/>
    <n v="19000000"/>
    <n v="140200000"/>
    <n v="0"/>
    <n v="0"/>
  </r>
  <r>
    <n v="1507"/>
    <x v="938"/>
    <x v="905"/>
    <n v="154"/>
    <x v="4"/>
    <s v="Quentin Tarantino"/>
    <s v="A Band Apart"/>
    <x v="19"/>
    <x v="0"/>
    <n v="15"/>
    <n v="12000000"/>
    <n v="74700000"/>
    <n v="1"/>
    <n v="0"/>
  </r>
  <r>
    <n v="1508"/>
    <x v="939"/>
    <x v="906"/>
    <n v="153"/>
    <x v="7"/>
    <s v="Quentin Tarantino"/>
    <s v="A Band Apart"/>
    <x v="19"/>
    <x v="0"/>
    <n v="18"/>
    <n v="70000000"/>
    <n v="321500000"/>
    <n v="8"/>
    <n v="1"/>
  </r>
  <r>
    <n v="1509"/>
    <x v="940"/>
    <x v="907"/>
    <n v="165"/>
    <x v="11"/>
    <s v="Quentin Tarantino"/>
    <s v="Columbia Pictures"/>
    <x v="19"/>
    <x v="0"/>
    <n v="18"/>
    <n v="100000000"/>
    <n v="425400000"/>
    <n v="5"/>
    <n v="2"/>
  </r>
  <r>
    <n v="1510"/>
    <x v="941"/>
    <x v="908"/>
    <n v="168"/>
    <x v="11"/>
    <s v="Quentin Tarantino"/>
    <s v="Double Feature Films"/>
    <x v="19"/>
    <x v="0"/>
    <n v="18"/>
    <n v="54000000"/>
    <n v="155800000"/>
    <n v="3"/>
    <n v="1"/>
  </r>
  <r>
    <n v="1511"/>
    <x v="942"/>
    <x v="909"/>
    <n v="89"/>
    <x v="1"/>
    <s v="Stephen Herek"/>
    <s v="Interscope Communications"/>
    <x v="19"/>
    <x v="0"/>
    <s v="PG"/>
    <n v="10000000"/>
    <n v="40500000"/>
    <n v="0"/>
    <n v="0"/>
  </r>
  <r>
    <n v="1512"/>
    <x v="943"/>
    <x v="910"/>
    <n v="93"/>
    <x v="1"/>
    <s v="Peter Hewitt"/>
    <s v="Interscope Communications"/>
    <x v="19"/>
    <x v="0"/>
    <s v="PG"/>
    <n v="20000000"/>
    <n v="38000000"/>
    <n v="0"/>
    <n v="0"/>
  </r>
  <r>
    <n v="1513"/>
    <x v="944"/>
    <x v="911"/>
    <n v="128"/>
    <x v="11"/>
    <s v="John Sturges"/>
    <s v="The Mirisch Production Company"/>
    <x v="19"/>
    <x v="0"/>
    <s v="U"/>
    <n v="2000000"/>
    <n v="2250000"/>
    <n v="1"/>
    <n v="0"/>
  </r>
  <r>
    <n v="1514"/>
    <x v="944"/>
    <x v="912"/>
    <n v="133"/>
    <x v="11"/>
    <s v="Antoine Fuqua"/>
    <s v="Village Roadshow Pictures"/>
    <x v="19"/>
    <x v="0"/>
    <s v="12A"/>
    <n v="107600000"/>
    <n v="161000000"/>
    <n v="0"/>
    <n v="0"/>
  </r>
  <r>
    <n v="1515"/>
    <x v="945"/>
    <x v="913"/>
    <n v="87"/>
    <x v="8"/>
    <s v="Antoine Fuqua"/>
    <s v="Columbia Pictures"/>
    <x v="19"/>
    <x v="0"/>
    <n v="18"/>
    <n v="30000000"/>
    <n v="19200000"/>
    <n v="0"/>
    <n v="0"/>
  </r>
  <r>
    <n v="1516"/>
    <x v="946"/>
    <x v="914"/>
    <n v="122"/>
    <x v="4"/>
    <s v="Antoine Fuqua"/>
    <s v="Village Roadshow Pictures"/>
    <x v="19"/>
    <x v="0"/>
    <n v="18"/>
    <n v="45000000"/>
    <n v="104900000"/>
    <n v="2"/>
    <n v="1"/>
  </r>
  <r>
    <n v="1517"/>
    <x v="947"/>
    <x v="915"/>
    <n v="121"/>
    <x v="7"/>
    <s v="Antoine Fuqua"/>
    <s v="Revolution Studios"/>
    <x v="19"/>
    <x v="0"/>
    <n v="15"/>
    <n v="75000000"/>
    <n v="86500000"/>
    <n v="0"/>
    <n v="0"/>
  </r>
  <r>
    <n v="1518"/>
    <x v="948"/>
    <x v="916"/>
    <n v="142"/>
    <x v="1"/>
    <s v="Antoine Fuqua"/>
    <s v="Touchstone Pictures"/>
    <x v="19"/>
    <x v="0"/>
    <s v="12A"/>
    <n v="120000000"/>
    <n v="203600000"/>
    <n v="0"/>
    <n v="0"/>
  </r>
  <r>
    <n v="1519"/>
    <x v="949"/>
    <x v="336"/>
    <n v="125"/>
    <x v="3"/>
    <s v="Antoine Fuqua"/>
    <s v="di Bonaventura Pictures"/>
    <x v="19"/>
    <x v="0"/>
    <n v="15"/>
    <n v="61000000"/>
    <n v="95700000"/>
    <n v="0"/>
    <n v="0"/>
  </r>
  <r>
    <n v="1520"/>
    <x v="950"/>
    <x v="917"/>
    <n v="119"/>
    <x v="3"/>
    <s v="Antoine Fuqua"/>
    <s v="Millennium Films"/>
    <x v="19"/>
    <x v="0"/>
    <n v="15"/>
    <n v="70000000"/>
    <n v="161000000"/>
    <n v="0"/>
    <n v="0"/>
  </r>
  <r>
    <n v="1521"/>
    <x v="951"/>
    <x v="217"/>
    <n v="132"/>
    <x v="8"/>
    <s v="Antoine Fuqua"/>
    <s v="Village Roadshow Pictures"/>
    <x v="19"/>
    <x v="0"/>
    <n v="15"/>
    <n v="55000000"/>
    <n v="192300000"/>
    <n v="0"/>
    <n v="0"/>
  </r>
  <r>
    <n v="1522"/>
    <x v="952"/>
    <x v="918"/>
    <n v="123"/>
    <x v="10"/>
    <s v="Antoine Fuqua"/>
    <s v="Fuqua Films"/>
    <x v="19"/>
    <x v="0"/>
    <n v="15"/>
    <n v="30000000"/>
    <n v="92000000"/>
    <n v="0"/>
    <n v="0"/>
  </r>
  <r>
    <n v="1523"/>
    <x v="953"/>
    <x v="919"/>
    <n v="127"/>
    <x v="6"/>
    <s v="Tim Burton"/>
    <s v="Tim Burton Productions"/>
    <x v="19"/>
    <x v="0"/>
    <s v="12A"/>
    <n v="110000000"/>
    <n v="271900000"/>
    <n v="0"/>
    <n v="0"/>
  </r>
  <r>
    <n v="1524"/>
    <x v="954"/>
    <x v="517"/>
    <n v="106"/>
    <x v="9"/>
    <s v="Tim Burton"/>
    <s v="Tim Burton Productions"/>
    <x v="19"/>
    <x v="0"/>
    <n v="12"/>
    <n v="70000000"/>
    <n v="101400000"/>
    <n v="0"/>
    <n v="0"/>
  </r>
  <r>
    <n v="1525"/>
    <x v="693"/>
    <x v="920"/>
    <n v="120"/>
    <x v="9"/>
    <s v="Tim Burton"/>
    <s v="The Zanuck Company"/>
    <x v="19"/>
    <x v="0"/>
    <n v="12"/>
    <n v="100000000"/>
    <n v="362200000"/>
    <n v="0"/>
    <n v="0"/>
  </r>
  <r>
    <n v="1526"/>
    <x v="955"/>
    <x v="921"/>
    <n v="125"/>
    <x v="6"/>
    <s v="Tim Burton"/>
    <s v="The Zanuck Company"/>
    <x v="19"/>
    <x v="0"/>
    <s v="PG"/>
    <n v="70000000"/>
    <n v="122900000"/>
    <n v="1"/>
    <n v="0"/>
  </r>
  <r>
    <n v="1527"/>
    <x v="956"/>
    <x v="922"/>
    <n v="113"/>
    <x v="2"/>
    <s v="Tim Burton"/>
    <s v="Village Roadshow Pictures"/>
    <x v="19"/>
    <x v="0"/>
    <s v="12A"/>
    <n v="150000000"/>
    <n v="245500000"/>
    <n v="0"/>
    <n v="0"/>
  </r>
  <r>
    <n v="1528"/>
    <x v="957"/>
    <x v="923"/>
    <n v="163"/>
    <x v="3"/>
    <s v="Zack Snyder"/>
    <s v="Legendary Pictures"/>
    <x v="19"/>
    <x v="0"/>
    <n v="18"/>
    <n v="130000000"/>
    <n v="185300000"/>
    <n v="0"/>
    <n v="0"/>
  </r>
  <r>
    <n v="1529"/>
    <x v="453"/>
    <x v="924"/>
    <n v="143"/>
    <x v="3"/>
    <s v="Zack Snyder"/>
    <s v="Legendary Pictures"/>
    <x v="19"/>
    <x v="0"/>
    <s v="12A"/>
    <n v="225000000"/>
    <n v="668000000"/>
    <n v="0"/>
    <n v="0"/>
  </r>
  <r>
    <n v="1530"/>
    <x v="958"/>
    <x v="226"/>
    <n v="109"/>
    <x v="3"/>
    <s v="Zack Snyder"/>
    <s v="Legendary Pictures"/>
    <x v="19"/>
    <x v="0"/>
    <s v="12A"/>
    <n v="82000000"/>
    <n v="89800000"/>
    <n v="0"/>
    <n v="0"/>
  </r>
  <r>
    <n v="1531"/>
    <x v="647"/>
    <x v="334"/>
    <n v="100"/>
    <x v="14"/>
    <s v="Zack Snyder"/>
    <s v="Strike Entertainment"/>
    <x v="19"/>
    <x v="0"/>
    <n v="18"/>
    <n v="26000000"/>
    <n v="102400000"/>
    <n v="0"/>
    <n v="0"/>
  </r>
  <r>
    <n v="1532"/>
    <x v="959"/>
    <x v="925"/>
    <n v="118"/>
    <x v="8"/>
    <s v="Edward Zwick"/>
    <s v="Paramount Pictures"/>
    <x v="19"/>
    <x v="0"/>
    <s v="12A"/>
    <n v="60000000"/>
    <n v="156200000"/>
    <n v="0"/>
    <n v="0"/>
  </r>
  <r>
    <n v="1533"/>
    <x v="960"/>
    <x v="926"/>
    <n v="130"/>
    <x v="8"/>
    <s v="Christopher McQuarrie"/>
    <s v="Paramount Pictures"/>
    <x v="19"/>
    <x v="0"/>
    <n v="15"/>
    <n v="60000000"/>
    <n v="218300000"/>
    <n v="0"/>
    <n v="0"/>
  </r>
  <r>
    <n v="1534"/>
    <x v="961"/>
    <x v="927"/>
    <n v="119"/>
    <x v="3"/>
    <s v="Christopher McQuarrie"/>
    <s v="Artisan Entertainment"/>
    <x v="19"/>
    <x v="0"/>
    <n v="18"/>
    <n v="8500000"/>
    <n v="13069000"/>
    <n v="0"/>
    <n v="0"/>
  </r>
  <r>
    <n v="1536"/>
    <x v="962"/>
    <x v="928"/>
    <n v="107"/>
    <x v="0"/>
    <s v="Ron Clements"/>
    <s v="Walt Disney Pictures"/>
    <x v="19"/>
    <x v="0"/>
    <s v="PG"/>
    <n v="150000000"/>
    <n v="190100000"/>
    <n v="0"/>
    <n v="0"/>
  </r>
  <r>
    <n v="1537"/>
    <x v="963"/>
    <x v="929"/>
    <n v="91"/>
    <x v="2"/>
    <s v="Terry Zwigoff"/>
    <s v="Dimension Films"/>
    <x v="19"/>
    <x v="0"/>
    <n v="15"/>
    <n v="23000000"/>
    <n v="76500000"/>
    <n v="0"/>
    <n v="0"/>
  </r>
  <r>
    <n v="1538"/>
    <x v="964"/>
    <x v="930"/>
    <n v="92"/>
    <x v="2"/>
    <s v="Mark Waters"/>
    <s v="Miramax Films"/>
    <x v="19"/>
    <x v="0"/>
    <n v="15"/>
    <n v="26000000"/>
    <n v="22800000"/>
    <n v="0"/>
    <n v="0"/>
  </r>
  <r>
    <n v="1539"/>
    <x v="965"/>
    <x v="931"/>
    <n v="133"/>
    <x v="9"/>
    <s v="Gareth Edwards"/>
    <s v="Lucasfilm"/>
    <x v="19"/>
    <x v="0"/>
    <s v="12A"/>
    <n v="200000000"/>
    <n v="388100000"/>
    <n v="0"/>
    <n v="0"/>
  </r>
  <r>
    <n v="1540"/>
    <x v="966"/>
    <x v="932"/>
    <n v="116"/>
    <x v="9"/>
    <s v="Morten Tyldum"/>
    <s v="Village Roadshow Pictures"/>
    <x v="19"/>
    <x v="0"/>
    <s v="12A"/>
    <n v="110000000"/>
    <n v="110000000"/>
    <n v="0"/>
    <n v="0"/>
  </r>
  <r>
    <n v="1541"/>
    <x v="967"/>
    <x v="933"/>
    <n v="114"/>
    <x v="12"/>
    <s v="Morten Tyldum"/>
    <s v="Black Bear Pictures"/>
    <x v="19"/>
    <x v="0"/>
    <s v="12A"/>
    <n v="14000000"/>
    <n v="233600000"/>
    <n v="8"/>
    <n v="1"/>
  </r>
  <r>
    <n v="1545"/>
    <x v="71"/>
    <x v="934"/>
    <n v="123"/>
    <x v="3"/>
    <s v="Gareth Edwards"/>
    <s v="Legendary Pictures"/>
    <x v="19"/>
    <x v="0"/>
    <s v="12A"/>
    <n v="160000000"/>
    <n v="529100000"/>
    <n v="0"/>
    <n v="0"/>
  </r>
  <r>
    <n v="1548"/>
    <x v="968"/>
    <x v="935"/>
    <n v="95"/>
    <x v="14"/>
    <s v="Kathryn Bigelow"/>
    <s v="Dino De Laurentiis Corporation"/>
    <x v="19"/>
    <x v="0"/>
    <n v="18"/>
    <n v="5000000"/>
    <n v="3400000"/>
    <n v="0"/>
    <n v="0"/>
  </r>
  <r>
    <n v="1550"/>
    <x v="969"/>
    <x v="936"/>
    <n v="122"/>
    <x v="3"/>
    <s v="Kathryn Bigelow"/>
    <s v="20th Century Fox"/>
    <x v="19"/>
    <x v="0"/>
    <n v="18"/>
    <n v="24000000"/>
    <n v="83500000"/>
    <n v="0"/>
    <n v="0"/>
  </r>
  <r>
    <n v="1551"/>
    <x v="969"/>
    <x v="937"/>
    <n v="114"/>
    <x v="3"/>
    <s v="Ericson Core"/>
    <s v="Summit Entertainment"/>
    <x v="19"/>
    <x v="0"/>
    <s v="12A"/>
    <n v="105000000"/>
    <n v="133700000"/>
    <n v="0"/>
    <n v="0"/>
  </r>
  <r>
    <n v="1552"/>
    <x v="970"/>
    <x v="938"/>
    <n v="104"/>
    <x v="18"/>
    <s v="Ericson Core"/>
    <s v="Walt Disney Pictures"/>
    <x v="19"/>
    <x v="0"/>
    <s v="PG"/>
    <n v="30000000"/>
    <n v="58500000"/>
    <n v="0"/>
    <n v="0"/>
  </r>
  <r>
    <n v="1553"/>
    <x v="971"/>
    <x v="939"/>
    <n v="145"/>
    <x v="9"/>
    <s v="Kathryn Bigelow"/>
    <s v="Lightstorm Entertainment"/>
    <x v="19"/>
    <x v="0"/>
    <n v="18"/>
    <n v="42000000"/>
    <n v="8000000"/>
    <n v="0"/>
    <n v="0"/>
  </r>
  <r>
    <n v="1554"/>
    <x v="972"/>
    <x v="940"/>
    <n v="138"/>
    <x v="8"/>
    <s v="Kathryn Bigelow"/>
    <s v="Intermedia"/>
    <x v="19"/>
    <x v="0"/>
    <s v="12A"/>
    <n v="100000000"/>
    <n v="65700000"/>
    <n v="0"/>
    <n v="0"/>
  </r>
  <r>
    <n v="1555"/>
    <x v="973"/>
    <x v="214"/>
    <n v="131"/>
    <x v="7"/>
    <s v="Kathryn Bigelow"/>
    <s v="Summit Entertainment"/>
    <x v="19"/>
    <x v="0"/>
    <n v="15"/>
    <n v="15000000"/>
    <n v="49200000"/>
    <n v="9"/>
    <n v="6"/>
  </r>
  <r>
    <n v="1556"/>
    <x v="974"/>
    <x v="941"/>
    <n v="157"/>
    <x v="8"/>
    <s v="Kathryn Bigelow"/>
    <s v="Columbia Pictures"/>
    <x v="19"/>
    <x v="0"/>
    <n v="15"/>
    <n v="40000000"/>
    <n v="132800000"/>
    <n v="5"/>
    <n v="1"/>
  </r>
  <r>
    <n v="1562"/>
    <x v="975"/>
    <x v="942"/>
    <n v="116"/>
    <x v="3"/>
    <s v="Guy Ritchie"/>
    <s v="Davis Entertainment"/>
    <x v="19"/>
    <x v="0"/>
    <s v="12A"/>
    <n v="75000000"/>
    <n v="109800000"/>
    <n v="0"/>
    <n v="0"/>
  </r>
  <r>
    <n v="1563"/>
    <x v="976"/>
    <x v="943"/>
    <n v="124"/>
    <x v="9"/>
    <s v="Ridley Scott"/>
    <s v="Scott Free Productions"/>
    <x v="19"/>
    <x v="0"/>
    <n v="15"/>
    <n v="130000000"/>
    <n v="403400000"/>
    <n v="1"/>
    <n v="0"/>
  </r>
  <r>
    <n v="1564"/>
    <x v="977"/>
    <x v="944"/>
    <n v="125"/>
    <x v="6"/>
    <s v="Ridley Scott"/>
    <s v="Embassy International"/>
    <x v="19"/>
    <x v="0"/>
    <s v="PG"/>
    <n v="24500000"/>
    <n v="15500000"/>
    <n v="1"/>
    <n v="0"/>
  </r>
  <r>
    <n v="1565"/>
    <x v="978"/>
    <x v="945"/>
    <n v="125"/>
    <x v="8"/>
    <s v="Ridley Scott"/>
    <s v="Paramount Pictures"/>
    <x v="19"/>
    <x v="0"/>
    <n v="18"/>
    <n v="30000000"/>
    <n v="134200000"/>
    <n v="2"/>
    <n v="0"/>
  </r>
  <r>
    <n v="1566"/>
    <x v="979"/>
    <x v="946"/>
    <n v="129"/>
    <x v="1"/>
    <s v="Ridley Scott"/>
    <s v="Pathe"/>
    <x v="19"/>
    <x v="0"/>
    <n v="15"/>
    <n v="16500000"/>
    <n v="45400000"/>
    <n v="6"/>
    <n v="1"/>
  </r>
  <r>
    <n v="1567"/>
    <x v="980"/>
    <x v="824"/>
    <n v="142"/>
    <x v="1"/>
    <s v="Ridley Scott"/>
    <s v="Paramount Pictures"/>
    <x v="19"/>
    <x v="0"/>
    <n v="15"/>
    <n v="47000000"/>
    <n v="7200000"/>
    <n v="0"/>
    <n v="0"/>
  </r>
  <r>
    <n v="1568"/>
    <x v="981"/>
    <x v="947"/>
    <n v="124"/>
    <x v="7"/>
    <s v="Ridley Scott"/>
    <s v="Scott Free Productions"/>
    <x v="19"/>
    <x v="0"/>
    <n v="15"/>
    <n v="50000000"/>
    <n v="97100000"/>
    <n v="0"/>
    <n v="0"/>
  </r>
  <r>
    <n v="1569"/>
    <x v="982"/>
    <x v="948"/>
    <n v="116"/>
    <x v="4"/>
    <s v="Ridley Scott"/>
    <s v="Scott Free Productions"/>
    <x v="19"/>
    <x v="0"/>
    <s v="12A"/>
    <n v="62000000"/>
    <n v="65600000"/>
    <n v="0"/>
    <n v="0"/>
  </r>
  <r>
    <n v="1570"/>
    <x v="983"/>
    <x v="949"/>
    <n v="128"/>
    <x v="3"/>
    <s v="Ridley Scott"/>
    <s v="Scott Free Productions"/>
    <x v="19"/>
    <x v="0"/>
    <n v="15"/>
    <n v="70000000"/>
    <n v="115100000"/>
    <n v="0"/>
    <n v="0"/>
  </r>
  <r>
    <n v="1571"/>
    <x v="675"/>
    <x v="950"/>
    <n v="140"/>
    <x v="1"/>
    <s v="Ridley Scott"/>
    <s v="Scott Free Productions"/>
    <x v="19"/>
    <x v="0"/>
    <s v="12A"/>
    <n v="200000000"/>
    <n v="321700000"/>
    <n v="0"/>
    <n v="0"/>
  </r>
  <r>
    <n v="1573"/>
    <x v="984"/>
    <x v="951"/>
    <n v="150"/>
    <x v="1"/>
    <s v="Ridley Scott"/>
    <s v="Scott Free Productions"/>
    <x v="19"/>
    <x v="0"/>
    <s v="12A"/>
    <n v="145000000"/>
    <n v="268200000"/>
    <n v="0"/>
    <n v="0"/>
  </r>
  <r>
    <n v="1574"/>
    <x v="985"/>
    <x v="952"/>
    <n v="121"/>
    <x v="21"/>
    <s v="Catherine Hardwicke"/>
    <s v="Temple Hill Entertainment"/>
    <x v="19"/>
    <x v="0"/>
    <s v="12A"/>
    <n v="37000000"/>
    <n v="393616000"/>
    <n v="0"/>
    <n v="0"/>
  </r>
  <r>
    <n v="1577"/>
    <x v="986"/>
    <x v="953"/>
    <n v="117"/>
    <x v="4"/>
    <s v="Niels Arden Oplev"/>
    <s v="Original Film"/>
    <x v="19"/>
    <x v="0"/>
    <n v="15"/>
    <n v="30000000"/>
    <n v="18100000"/>
    <n v="0"/>
    <n v="0"/>
  </r>
  <r>
    <n v="1580"/>
    <x v="87"/>
    <x v="954"/>
    <n v="158"/>
    <x v="8"/>
    <s v="David Fincher"/>
    <s v="Scott Rudin Productions"/>
    <x v="19"/>
    <x v="0"/>
    <n v="18"/>
    <n v="90000000"/>
    <n v="232600000"/>
    <n v="5"/>
    <n v="1"/>
  </r>
  <r>
    <n v="1581"/>
    <x v="987"/>
    <x v="955"/>
    <n v="101"/>
    <x v="3"/>
    <s v="Chad Stahelski"/>
    <s v="Summit Entertainment"/>
    <x v="19"/>
    <x v="0"/>
    <n v="15"/>
    <n v="20000000"/>
    <n v="86000000"/>
    <n v="0"/>
    <n v="0"/>
  </r>
  <r>
    <n v="1583"/>
    <x v="988"/>
    <x v="52"/>
    <n v="156"/>
    <x v="1"/>
    <s v="Alejandro G. Inarritu"/>
    <s v="Regency Enterprises"/>
    <x v="19"/>
    <x v="0"/>
    <n v="15"/>
    <n v="135000000"/>
    <n v="533000000"/>
    <n v="12"/>
    <n v="3"/>
  </r>
  <r>
    <n v="1584"/>
    <x v="989"/>
    <x v="956"/>
    <n v="119"/>
    <x v="2"/>
    <s v="Alejandro G. Inarritu"/>
    <s v="Regency Enterprises"/>
    <x v="19"/>
    <x v="0"/>
    <n v="15"/>
    <n v="18000000"/>
    <n v="103200000"/>
    <n v="9"/>
    <n v="4"/>
  </r>
  <r>
    <n v="1585"/>
    <x v="990"/>
    <x v="957"/>
    <n v="124"/>
    <x v="10"/>
    <s v="Alejandro G. Inarritu"/>
    <s v="This Is That"/>
    <x v="19"/>
    <x v="0"/>
    <n v="15"/>
    <n v="20000000"/>
    <n v="60400000"/>
    <n v="2"/>
    <n v="0"/>
  </r>
  <r>
    <n v="1586"/>
    <x v="991"/>
    <x v="958"/>
    <n v="106"/>
    <x v="2"/>
    <s v="Seth MacFarlane"/>
    <s v="Universal Pictures"/>
    <x v="19"/>
    <x v="0"/>
    <n v="15"/>
    <n v="51000000"/>
    <n v="549400000"/>
    <n v="1"/>
    <n v="0"/>
  </r>
  <r>
    <n v="1587"/>
    <x v="992"/>
    <x v="959"/>
    <n v="115"/>
    <x v="2"/>
    <s v="Seth MacFarlane"/>
    <s v="Universal Pictures"/>
    <x v="19"/>
    <x v="0"/>
    <n v="15"/>
    <n v="68000000"/>
    <n v="216700000"/>
    <n v="0"/>
    <n v="0"/>
  </r>
  <r>
    <n v="1588"/>
    <x v="993"/>
    <x v="960"/>
    <n v="116"/>
    <x v="2"/>
    <s v="Seth MacFarlane"/>
    <s v="Universal Pictures"/>
    <x v="19"/>
    <x v="0"/>
    <n v="15"/>
    <n v="40000000"/>
    <n v="87200000"/>
    <n v="0"/>
    <n v="0"/>
  </r>
  <r>
    <n v="1589"/>
    <x v="994"/>
    <x v="961"/>
    <n v="88"/>
    <x v="3"/>
    <s v="Tommy Wirkola"/>
    <s v="Paramount Pictures"/>
    <x v="19"/>
    <x v="0"/>
    <n v="15"/>
    <n v="50000000"/>
    <n v="226300000"/>
    <n v="0"/>
    <n v="0"/>
  </r>
  <r>
    <n v="1590"/>
    <x v="995"/>
    <x v="962"/>
    <n v="158"/>
    <x v="10"/>
    <s v="Paul Thomas Anderson"/>
    <s v="Miramax Films"/>
    <x v="19"/>
    <x v="0"/>
    <n v="15"/>
    <n v="25000000"/>
    <n v="76200000"/>
    <n v="8"/>
    <n v="2"/>
  </r>
  <r>
    <n v="1591"/>
    <x v="996"/>
    <x v="963"/>
    <n v="95"/>
    <x v="13"/>
    <s v="Paul Thomas Anderson"/>
    <s v="New Line Cinema"/>
    <x v="19"/>
    <x v="0"/>
    <n v="15"/>
    <n v="25000000"/>
    <n v="24700000"/>
    <n v="0"/>
    <n v="0"/>
  </r>
  <r>
    <n v="1592"/>
    <x v="997"/>
    <x v="964"/>
    <n v="137"/>
    <x v="10"/>
    <s v="Paul Thomas Anderson"/>
    <s v="The Weinstein Company"/>
    <x v="19"/>
    <x v="0"/>
    <n v="15"/>
    <n v="32000000"/>
    <n v="28300000"/>
    <n v="3"/>
    <n v="0"/>
  </r>
  <r>
    <n v="1593"/>
    <x v="998"/>
    <x v="965"/>
    <n v="149"/>
    <x v="4"/>
    <s v="Paul Thomas Anderson"/>
    <s v="Warner Bros. Pictures"/>
    <x v="19"/>
    <x v="0"/>
    <n v="15"/>
    <n v="20000000"/>
    <n v="14700000"/>
    <n v="2"/>
    <n v="0"/>
  </r>
  <r>
    <n v="1594"/>
    <x v="999"/>
    <x v="966"/>
    <n v="155"/>
    <x v="10"/>
    <s v="Paul Thomas Anderson"/>
    <s v="New Line Cinema"/>
    <x v="19"/>
    <x v="0"/>
    <n v="18"/>
    <n v="15000000"/>
    <n v="43100000"/>
    <n v="3"/>
    <n v="0"/>
  </r>
  <r>
    <n v="1596"/>
    <x v="1000"/>
    <x v="967"/>
    <n v="106"/>
    <x v="2"/>
    <s v="Joe Dante"/>
    <s v="Amblin Entertainment"/>
    <x v="19"/>
    <x v="0"/>
    <n v="12"/>
    <n v="50000000"/>
    <n v="41500000"/>
    <n v="0"/>
    <n v="0"/>
  </r>
  <r>
    <n v="1597"/>
    <x v="1001"/>
    <x v="968"/>
    <n v="123"/>
    <x v="3"/>
    <s v="Jonathan Hensleigh"/>
    <s v="Marvel Entertainment"/>
    <x v="19"/>
    <x v="0"/>
    <n v="18"/>
    <n v="33000000"/>
    <n v="54700000"/>
    <n v="0"/>
    <n v="0"/>
  </r>
  <r>
    <n v="1600"/>
    <x v="1002"/>
    <x v="969"/>
    <n v="118"/>
    <x v="9"/>
    <s v="Rian Johnson"/>
    <s v="TriStar Pictures"/>
    <x v="19"/>
    <x v="0"/>
    <n v="15"/>
    <n v="30000000"/>
    <n v="176500000"/>
    <n v="0"/>
    <n v="0"/>
  </r>
  <r>
    <n v="1601"/>
    <x v="1003"/>
    <x v="970"/>
    <n v="134"/>
    <x v="12"/>
    <s v="Steve McQueen"/>
    <s v="Summit Entertainment"/>
    <x v="19"/>
    <x v="0"/>
    <n v="15"/>
    <n v="22000000"/>
    <n v="187700000"/>
    <n v="9"/>
    <n v="3"/>
  </r>
  <r>
    <n v="1602"/>
    <x v="1004"/>
    <x v="970"/>
    <n v="153"/>
    <x v="8"/>
    <s v="Denis Villeneuve"/>
    <s v="Warner Bros. Pictures"/>
    <x v="19"/>
    <x v="0"/>
    <n v="15"/>
    <n v="46000000"/>
    <n v="122100000"/>
    <n v="1"/>
    <n v="0"/>
  </r>
  <r>
    <n v="1603"/>
    <x v="1005"/>
    <x v="456"/>
    <n v="118"/>
    <x v="9"/>
    <s v="Jon Favreau"/>
    <s v="Dreamworks"/>
    <x v="19"/>
    <x v="0"/>
    <s v="12A"/>
    <n v="163000000"/>
    <n v="174800000"/>
    <n v="0"/>
    <n v="0"/>
  </r>
  <r>
    <n v="1604"/>
    <x v="1006"/>
    <x v="971"/>
    <n v="110"/>
    <x v="3"/>
    <s v="James Mangold"/>
    <s v="Regency Enterprises"/>
    <x v="19"/>
    <x v="0"/>
    <s v="12A"/>
    <n v="125000000"/>
    <n v="261900000"/>
    <n v="0"/>
    <n v="0"/>
  </r>
  <r>
    <n v="1607"/>
    <x v="1007"/>
    <x v="972"/>
    <n v="127"/>
    <x v="9"/>
    <s v="Lana (Larry) Wachowski"/>
    <s v="Village Roadshow Pictures"/>
    <x v="19"/>
    <x v="0"/>
    <s v="12A"/>
    <n v="176000000"/>
    <n v="184000000"/>
    <n v="0"/>
    <n v="0"/>
  </r>
  <r>
    <n v="1614"/>
    <x v="1008"/>
    <x v="973"/>
    <n v="121"/>
    <x v="8"/>
    <s v="Denis Villeneuve"/>
    <s v="Lionsgate"/>
    <x v="19"/>
    <x v="0"/>
    <n v="15"/>
    <n v="30000000"/>
    <n v="85000000"/>
    <n v="3"/>
    <n v="0"/>
  </r>
  <r>
    <n v="1615"/>
    <x v="1009"/>
    <x v="427"/>
    <n v="113"/>
    <x v="9"/>
    <s v="Doug Liman"/>
    <s v="Village Roadshow Pictures"/>
    <x v="19"/>
    <x v="0"/>
    <s v="12A"/>
    <n v="178000000"/>
    <n v="370500000"/>
    <n v="0"/>
    <n v="0"/>
  </r>
  <r>
    <n v="1616"/>
    <x v="1010"/>
    <x v="974"/>
    <n v="106"/>
    <x v="9"/>
    <s v="George Nolfi"/>
    <s v="Universal Pictures"/>
    <x v="19"/>
    <x v="0"/>
    <s v="12A"/>
    <n v="50200000"/>
    <n v="127900000"/>
    <n v="0"/>
    <n v="0"/>
  </r>
  <r>
    <n v="1617"/>
    <x v="1011"/>
    <x v="975"/>
    <n v="103"/>
    <x v="14"/>
    <s v="Joe Johnston"/>
    <s v="Relativity Media"/>
    <x v="19"/>
    <x v="0"/>
    <n v="15"/>
    <n v="150000000"/>
    <n v="139800000"/>
    <n v="1"/>
    <n v="1"/>
  </r>
  <r>
    <n v="1618"/>
    <x v="1012"/>
    <x v="479"/>
    <n v="100"/>
    <x v="2"/>
    <s v="Mike Nichols"/>
    <s v="Relativity Media"/>
    <x v="19"/>
    <x v="0"/>
    <n v="15"/>
    <n v="75000000"/>
    <n v="119000000"/>
    <n v="1"/>
    <n v="0"/>
  </r>
  <r>
    <n v="1619"/>
    <x v="1013"/>
    <x v="976"/>
    <n v="102"/>
    <x v="3"/>
    <s v="Robert Rodriguez"/>
    <s v="Dimension Films"/>
    <x v="19"/>
    <x v="0"/>
    <n v="18"/>
    <n v="65000000"/>
    <n v="39400000"/>
    <n v="0"/>
    <n v="0"/>
  </r>
  <r>
    <n v="1621"/>
    <x v="1014"/>
    <x v="977"/>
    <n v="117"/>
    <x v="3"/>
    <s v="Peyton Reed"/>
    <s v="Marvel Entertainment"/>
    <x v="19"/>
    <x v="0"/>
    <s v="12A"/>
    <n v="130000000"/>
    <n v="519300000"/>
    <n v="0"/>
    <n v="0"/>
  </r>
  <r>
    <n v="1622"/>
    <x v="1015"/>
    <x v="786"/>
    <n v="122"/>
    <x v="11"/>
    <s v="James Mangold"/>
    <s v="Relativity Media"/>
    <x v="19"/>
    <x v="0"/>
    <n v="15"/>
    <n v="55000000"/>
    <n v="70000000"/>
    <n v="2"/>
    <n v="0"/>
  </r>
  <r>
    <n v="1624"/>
    <x v="1016"/>
    <x v="978"/>
    <n v="126"/>
    <x v="3"/>
    <s v="James Mangold"/>
    <s v="Marvel Entertainment"/>
    <x v="19"/>
    <x v="0"/>
    <s v="12A"/>
    <n v="120000000"/>
    <n v="414800000"/>
    <n v="0"/>
    <n v="0"/>
  </r>
  <r>
    <n v="1626"/>
    <x v="1017"/>
    <x v="979"/>
    <n v="98"/>
    <x v="9"/>
    <s v="Steven Soderbergh"/>
    <s v="Lightstorm Entertainment"/>
    <x v="19"/>
    <x v="0"/>
    <s v="12A"/>
    <n v="47000000"/>
    <n v="30000000"/>
    <n v="0"/>
    <n v="0"/>
  </r>
  <r>
    <n v="1627"/>
    <x v="1018"/>
    <x v="980"/>
    <n v="110"/>
    <x v="10"/>
    <s v="Steven Soderbergh"/>
    <s v="Warner Bros. Pictures"/>
    <x v="19"/>
    <x v="0"/>
    <n v="15"/>
    <n v="7000000"/>
    <n v="167200000"/>
    <n v="0"/>
    <n v="0"/>
  </r>
  <r>
    <n v="1628"/>
    <x v="790"/>
    <x v="981"/>
    <n v="105"/>
    <x v="1"/>
    <s v="Stephen Herek"/>
    <s v="Walt Disney Pictures"/>
    <x v="19"/>
    <x v="0"/>
    <s v="PG"/>
    <n v="30000000"/>
    <n v="53900000"/>
    <n v="0"/>
    <n v="0"/>
  </r>
  <r>
    <n v="1629"/>
    <x v="1019"/>
    <x v="982"/>
    <n v="143"/>
    <x v="10"/>
    <s v="Stephen Herek"/>
    <s v="Polygram Filmed Entertainment"/>
    <x v="19"/>
    <x v="0"/>
    <s v="PG"/>
    <n v="31000000"/>
    <n v="106269000"/>
    <n v="1"/>
    <n v="0"/>
  </r>
  <r>
    <n v="1630"/>
    <x v="1020"/>
    <x v="983"/>
    <n v="101"/>
    <x v="2"/>
    <s v="Stephen Herek"/>
    <s v="Walt Disney Pictures"/>
    <x v="19"/>
    <x v="0"/>
    <s v="PG"/>
    <n v="10000000"/>
    <n v="50700000"/>
    <n v="0"/>
    <n v="0"/>
  </r>
  <r>
    <n v="1631"/>
    <x v="1021"/>
    <x v="890"/>
    <n v="103"/>
    <x v="11"/>
    <s v="Christopher Cain"/>
    <s v="Morgan Creek Productions"/>
    <x v="19"/>
    <x v="0"/>
    <n v="18"/>
    <n v="11000000"/>
    <n v="45661000"/>
    <n v="0"/>
    <n v="0"/>
  </r>
  <r>
    <n v="1632"/>
    <x v="1022"/>
    <x v="984"/>
    <n v="104"/>
    <x v="11"/>
    <s v="Geoff Murphy"/>
    <s v="Morgan Creek Productions"/>
    <x v="19"/>
    <x v="0"/>
    <n v="12"/>
    <n v="10000000"/>
    <n v="44143000"/>
    <n v="1"/>
    <n v="0"/>
  </r>
  <r>
    <n v="1633"/>
    <x v="1023"/>
    <x v="985"/>
    <n v="98"/>
    <x v="14"/>
    <s v="Joel Schumacher"/>
    <s v="Warner Bros. Pictures"/>
    <x v="19"/>
    <x v="0"/>
    <n v="15"/>
    <n v="8500000"/>
    <n v="32200000"/>
    <n v="0"/>
    <n v="0"/>
  </r>
  <r>
    <n v="1634"/>
    <x v="1024"/>
    <x v="986"/>
    <n v="115"/>
    <x v="14"/>
    <s v="Joel Schumacher"/>
    <s v="Columbia Pictures"/>
    <x v="19"/>
    <x v="0"/>
    <n v="15"/>
    <n v="26000000"/>
    <n v="61500000"/>
    <n v="1"/>
    <n v="0"/>
  </r>
  <r>
    <n v="1635"/>
    <x v="1025"/>
    <x v="987"/>
    <n v="109"/>
    <x v="2"/>
    <s v="Phil Lord"/>
    <s v="Relativity Media"/>
    <x v="19"/>
    <x v="0"/>
    <n v="15"/>
    <n v="55000000"/>
    <n v="201500000"/>
    <n v="0"/>
    <n v="0"/>
  </r>
  <r>
    <n v="1636"/>
    <x v="1026"/>
    <x v="988"/>
    <n v="90"/>
    <x v="0"/>
    <s v="Phil Lord"/>
    <s v="Sony Pictures"/>
    <x v="19"/>
    <x v="0"/>
    <s v="U"/>
    <n v="100000000"/>
    <n v="243000000"/>
    <n v="0"/>
    <n v="0"/>
  </r>
  <r>
    <n v="1637"/>
    <x v="1027"/>
    <x v="989"/>
    <n v="105"/>
    <x v="10"/>
    <s v="Anatole Litvak"/>
    <s v="20th Century Fox"/>
    <x v="19"/>
    <x v="0"/>
    <s v="U"/>
    <n v="3520000"/>
    <n v="5000000"/>
    <n v="2"/>
    <n v="1"/>
  </r>
  <r>
    <n v="1638"/>
    <x v="1028"/>
    <x v="990"/>
    <n v="88"/>
    <x v="2"/>
    <s v="Akiva Schaffer"/>
    <s v="Paramount Pictures"/>
    <x v="19"/>
    <x v="0"/>
    <s v="12A"/>
    <n v="25300000"/>
    <n v="14334000"/>
    <n v="0"/>
    <n v="0"/>
  </r>
  <r>
    <n v="1639"/>
    <x v="1029"/>
    <x v="991"/>
    <n v="95"/>
    <x v="0"/>
    <s v="Cody Cameron"/>
    <s v="Sony Pictures"/>
    <x v="19"/>
    <x v="0"/>
    <s v="U"/>
    <n v="78000000"/>
    <n v="274300000"/>
    <n v="0"/>
    <n v="0"/>
  </r>
  <r>
    <n v="1640"/>
    <x v="1030"/>
    <x v="992"/>
    <n v="100"/>
    <x v="0"/>
    <s v="Phil Lord"/>
    <s v="Village Roadshow Pictures"/>
    <x v="19"/>
    <x v="0"/>
    <s v="U"/>
    <n v="60000000"/>
    <n v="469200000"/>
    <n v="1"/>
    <n v="0"/>
  </r>
  <r>
    <n v="1641"/>
    <x v="1031"/>
    <x v="993"/>
    <n v="119"/>
    <x v="3"/>
    <s v="Michael Bay"/>
    <s v="Jerry Bruckheimer Films"/>
    <x v="19"/>
    <x v="0"/>
    <n v="18"/>
    <n v="23000000"/>
    <n v="141400000"/>
    <n v="0"/>
    <n v="0"/>
  </r>
  <r>
    <n v="1642"/>
    <x v="1032"/>
    <x v="994"/>
    <n v="112"/>
    <x v="2"/>
    <s v="Phil Lord"/>
    <s v="Original Film"/>
    <x v="19"/>
    <x v="0"/>
    <n v="15"/>
    <n v="84500000"/>
    <n v="331300000"/>
    <n v="0"/>
    <n v="0"/>
  </r>
  <r>
    <n v="1643"/>
    <x v="1033"/>
    <x v="995"/>
    <n v="94"/>
    <x v="0"/>
    <s v="Mike Thurmeier"/>
    <s v="20th Century Fox"/>
    <x v="19"/>
    <x v="0"/>
    <s v="U"/>
    <n v="105000000"/>
    <n v="407700000"/>
    <n v="0"/>
    <n v="0"/>
  </r>
  <r>
    <n v="1648"/>
    <x v="1034"/>
    <x v="996"/>
    <n v="134"/>
    <x v="6"/>
    <s v="Don Chaffey"/>
    <s v="Walt Disney Pictures"/>
    <x v="19"/>
    <x v="0"/>
    <s v="U"/>
    <n v="10000000"/>
    <n v="39600000"/>
    <n v="2"/>
    <n v="0"/>
  </r>
  <r>
    <n v="1649"/>
    <x v="1034"/>
    <x v="997"/>
    <n v="102"/>
    <x v="6"/>
    <s v="David Lowery"/>
    <s v="Walt Disney Pictures"/>
    <x v="19"/>
    <x v="0"/>
    <s v="PG"/>
    <n v="65000000"/>
    <n v="142400000"/>
    <n v="0"/>
    <n v="0"/>
  </r>
  <r>
    <n v="1655"/>
    <x v="1035"/>
    <x v="998"/>
    <n v="100"/>
    <x v="9"/>
    <s v="Richard Fleischer"/>
    <s v="20th Century Fox"/>
    <x v="19"/>
    <x v="0"/>
    <s v="PG"/>
    <n v="5100000"/>
    <n v="12000000"/>
    <n v="5"/>
    <n v="2"/>
  </r>
  <r>
    <n v="1658"/>
    <x v="1036"/>
    <x v="999"/>
    <n v="121"/>
    <x v="19"/>
    <s v="Joseph L. Mankiewicz"/>
    <s v="Metro-Goldwyn-Mayer"/>
    <x v="19"/>
    <x v="0"/>
    <s v="PG"/>
    <n v="2070000"/>
    <n v="3920000"/>
    <n v="5"/>
    <n v="1"/>
  </r>
  <r>
    <n v="1660"/>
    <x v="747"/>
    <x v="1000"/>
    <n v="100"/>
    <x v="1"/>
    <s v="J. Lee Thompson"/>
    <s v="Cannon Productions"/>
    <x v="19"/>
    <x v="0"/>
    <s v="PG"/>
    <n v="11000000"/>
    <n v="15057000"/>
    <n v="0"/>
    <n v="0"/>
  </r>
  <r>
    <n v="1663"/>
    <x v="1037"/>
    <x v="1001"/>
    <n v="201"/>
    <x v="11"/>
    <s v="George Stevens"/>
    <s v="Warner Bros. Pictures"/>
    <x v="19"/>
    <x v="0"/>
    <s v="PG"/>
    <n v="5400000"/>
    <n v="39000000"/>
    <n v="10"/>
    <n v="1"/>
  </r>
  <r>
    <n v="1664"/>
    <x v="1038"/>
    <x v="1002"/>
    <n v="111"/>
    <x v="10"/>
    <s v="Nicholas Ray"/>
    <s v="Warner Bros. Pictures"/>
    <x v="19"/>
    <x v="0"/>
    <s v="PG"/>
    <n v="1500000"/>
    <n v="4500000"/>
    <n v="3"/>
    <n v="0"/>
  </r>
  <r>
    <n v="1666"/>
    <x v="1039"/>
    <x v="1003"/>
    <n v="118"/>
    <x v="10"/>
    <s v="Elia Kazan"/>
    <s v="20th Century Fox"/>
    <x v="19"/>
    <x v="0"/>
    <s v="PG"/>
    <n v="1985000"/>
    <n v="7800000"/>
    <n v="8"/>
    <n v="3"/>
  </r>
  <r>
    <n v="1667"/>
    <x v="1040"/>
    <x v="1004"/>
    <n v="113"/>
    <x v="12"/>
    <s v="Elia Kazan"/>
    <s v="20th Century Fox"/>
    <x v="19"/>
    <x v="0"/>
    <s v="PG"/>
    <n v="1800000"/>
    <n v="1900000"/>
    <n v="5"/>
    <n v="1"/>
  </r>
  <r>
    <n v="1668"/>
    <x v="1041"/>
    <x v="1005"/>
    <n v="108"/>
    <x v="4"/>
    <s v="Elia Kazan"/>
    <s v="Horizon Pictures"/>
    <x v="19"/>
    <x v="0"/>
    <s v="PG"/>
    <n v="910000"/>
    <n v="9600000"/>
    <n v="12"/>
    <n v="8"/>
  </r>
  <r>
    <n v="1670"/>
    <x v="1042"/>
    <x v="1006"/>
    <n v="180"/>
    <x v="10"/>
    <s v="George Stevens"/>
    <s v="20th Century Fox"/>
    <x v="19"/>
    <x v="0"/>
    <s v="U"/>
    <n v="3800000"/>
    <n v="2300000"/>
    <n v="8"/>
    <n v="3"/>
  </r>
  <r>
    <n v="1671"/>
    <x v="1043"/>
    <x v="1007"/>
    <n v="260"/>
    <x v="10"/>
    <s v="George Stevens"/>
    <s v="United Artists"/>
    <x v="19"/>
    <x v="0"/>
    <s v="U"/>
    <n v="21000000"/>
    <n v="15473000"/>
    <n v="5"/>
    <n v="0"/>
  </r>
  <r>
    <n v="1672"/>
    <x v="1044"/>
    <x v="1008"/>
    <n v="122"/>
    <x v="10"/>
    <s v="George Stevens"/>
    <s v="Paramount Pictures"/>
    <x v="19"/>
    <x v="0"/>
    <s v="PG"/>
    <n v="2295000"/>
    <n v="7000000"/>
    <n v="9"/>
    <n v="6"/>
  </r>
  <r>
    <n v="1673"/>
    <x v="1045"/>
    <x v="1009"/>
    <n v="118"/>
    <x v="2"/>
    <s v="George Stevens"/>
    <s v="Columbia Pictures"/>
    <x v="19"/>
    <x v="0"/>
    <s v="U"/>
    <n v="1000000"/>
    <n v="1100000"/>
    <n v="7"/>
    <n v="0"/>
  </r>
  <r>
    <n v="1674"/>
    <x v="1046"/>
    <x v="1010"/>
    <n v="128"/>
    <x v="10"/>
    <s v="Cecil B. DeMille"/>
    <s v="Paramount Pictures"/>
    <x v="19"/>
    <x v="0"/>
    <s v="U"/>
    <n v="2900000"/>
    <n v="25600000"/>
    <n v="5"/>
    <n v="2"/>
  </r>
  <r>
    <n v="1676"/>
    <x v="1047"/>
    <x v="1011"/>
    <n v="108"/>
    <x v="9"/>
    <s v="Wolfgang Peterson"/>
    <s v="Kings Road Entertainment"/>
    <x v="19"/>
    <x v="0"/>
    <n v="15"/>
    <n v="29000000"/>
    <n v="12300000"/>
    <n v="0"/>
    <n v="0"/>
  </r>
  <r>
    <n v="1677"/>
    <x v="1048"/>
    <x v="1012"/>
    <n v="128"/>
    <x v="8"/>
    <s v="Wolfgang Peterson"/>
    <s v="Castle Rock Entertainment"/>
    <x v="19"/>
    <x v="0"/>
    <n v="15"/>
    <n v="40000000"/>
    <n v="177000000"/>
    <n v="3"/>
    <n v="0"/>
  </r>
  <r>
    <n v="1678"/>
    <x v="1049"/>
    <x v="1013"/>
    <n v="128"/>
    <x v="8"/>
    <s v="Wolfgang Peterson"/>
    <s v="Warner Bros. Pictures"/>
    <x v="19"/>
    <x v="0"/>
    <n v="15"/>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053085-623B-4162-A43C-52C107129B4C}" name="PivotTable3" cacheId="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V159:AC160" firstHeaderRow="0" firstDataRow="1" firstDataCol="2"/>
  <pivotFields count="16">
    <pivotField compact="0" outline="0" showAll="0" defaultSubtotal="0"/>
    <pivotField axis="axisRow" compact="0" outline="0" multipleItemSelectionAllowed="1" showAll="0" measureFilter="1" sortType="descending" defaultSubtotal="0">
      <items count="1050">
        <item x="640"/>
        <item x="342"/>
        <item x="483"/>
        <item x="531"/>
        <item x="1003"/>
        <item x="185"/>
        <item x="67"/>
        <item x="980"/>
        <item x="736"/>
        <item x="149"/>
        <item x="990"/>
        <item x="1025"/>
        <item x="1032"/>
        <item x="112"/>
        <item x="184"/>
        <item x="32"/>
        <item x="1015"/>
        <item x="807"/>
        <item x="624"/>
        <item x="629"/>
        <item x="305"/>
        <item x="144"/>
        <item x="522"/>
        <item x="147"/>
        <item x="726"/>
        <item x="559"/>
        <item x="176"/>
        <item x="58"/>
        <item x="153"/>
        <item x="378"/>
        <item x="819"/>
        <item x="183"/>
        <item x="993"/>
        <item x="1044"/>
        <item x="30"/>
        <item x="743"/>
        <item x="857"/>
        <item x="861"/>
        <item x="526"/>
        <item x="631"/>
        <item x="684"/>
        <item x="669"/>
        <item x="554"/>
        <item x="279"/>
        <item x="129"/>
        <item x="425"/>
        <item x="350"/>
        <item x="410"/>
        <item x="759"/>
        <item x="655"/>
        <item x="21"/>
        <item x="413"/>
        <item x="284"/>
        <item x="673"/>
        <item x="903"/>
        <item x="891"/>
        <item x="856"/>
        <item x="622"/>
        <item x="1027"/>
        <item x="399"/>
        <item x="486"/>
        <item x="163"/>
        <item x="626"/>
        <item x="748"/>
        <item x="653"/>
        <item x="1014"/>
        <item x="632"/>
        <item x="639"/>
        <item x="366"/>
        <item x="328"/>
        <item x="249"/>
        <item x="275"/>
        <item x="627"/>
        <item x="815"/>
        <item x="520"/>
        <item x="480"/>
        <item x="764"/>
        <item x="406"/>
        <item x="369"/>
        <item x="368"/>
        <item x="1031"/>
        <item x="506"/>
        <item x="963"/>
        <item x="964"/>
        <item x="557"/>
        <item x="575"/>
        <item x="831"/>
        <item x="245"/>
        <item x="538"/>
        <item x="558"/>
        <item x="773"/>
        <item x="68"/>
        <item x="809"/>
        <item x="563"/>
        <item x="148"/>
        <item x="240"/>
        <item x="587"/>
        <item x="719"/>
        <item x="239"/>
        <item x="609"/>
        <item x="590"/>
        <item x="584"/>
        <item x="955"/>
        <item x="943"/>
        <item x="942"/>
        <item x="989"/>
        <item x="289"/>
        <item x="978"/>
        <item x="361"/>
        <item x="353"/>
        <item x="387"/>
        <item x="895"/>
        <item x="664"/>
        <item x="285"/>
        <item x="876"/>
        <item x="983"/>
        <item x="696"/>
        <item x="999"/>
        <item x="109"/>
        <item x="581"/>
        <item x="561"/>
        <item x="316"/>
        <item x="853"/>
        <item x="164"/>
        <item x="416"/>
        <item x="803"/>
        <item x="203"/>
        <item x="877"/>
        <item x="301"/>
        <item x="692"/>
        <item x="686"/>
        <item x="679"/>
        <item x="791"/>
        <item x="568"/>
        <item x="770"/>
        <item x="441"/>
        <item x="780"/>
        <item x="498"/>
        <item x="471"/>
        <item x="751"/>
        <item x="355"/>
        <item x="101"/>
        <item x="539"/>
        <item x="298"/>
        <item x="858"/>
        <item x="283"/>
        <item x="227"/>
        <item x="894"/>
        <item x="817"/>
        <item x="141"/>
        <item x="246"/>
        <item x="1012"/>
        <item x="846"/>
        <item x="847"/>
        <item x="915"/>
        <item x="306"/>
        <item x="209"/>
        <item x="746"/>
        <item x="295"/>
        <item x="784"/>
        <item x="7"/>
        <item x="570"/>
        <item x="170"/>
        <item x="334"/>
        <item x="703"/>
        <item x="913"/>
        <item x="300"/>
        <item x="333"/>
        <item x="650"/>
        <item x="1026"/>
        <item x="1029"/>
        <item x="586"/>
        <item x="605"/>
        <item x="412"/>
        <item x="828"/>
        <item x="583"/>
        <item x="838"/>
        <item x="841"/>
        <item x="840"/>
        <item x="312"/>
        <item x="904"/>
        <item x="883"/>
        <item x="1005"/>
        <item x="794"/>
        <item x="345"/>
        <item x="2"/>
        <item x="1"/>
        <item x="201"/>
        <item x="11"/>
        <item x="806"/>
        <item x="875"/>
        <item x="407"/>
        <item x="956"/>
        <item x="34"/>
        <item x="647"/>
        <item x="444"/>
        <item x="84"/>
        <item x="986"/>
        <item x="172"/>
        <item x="577"/>
        <item x="775"/>
        <item x="873"/>
        <item x="303"/>
        <item x="812"/>
        <item x="346"/>
        <item x="678"/>
        <item x="898"/>
        <item x="478"/>
        <item x="448"/>
        <item x="14"/>
        <item x="118"/>
        <item x="96"/>
        <item x="388"/>
        <item x="326"/>
        <item x="294"/>
        <item x="513"/>
        <item x="682"/>
        <item x="26"/>
        <item x="27"/>
        <item x="86"/>
        <item x="940"/>
        <item x="778"/>
        <item x="152"/>
        <item x="662"/>
        <item x="916"/>
        <item x="546"/>
        <item x="872"/>
        <item x="174"/>
        <item x="33"/>
        <item x="524"/>
        <item x="124"/>
        <item x="197"/>
        <item x="758"/>
        <item x="47"/>
        <item x="917"/>
        <item x="897"/>
        <item x="854"/>
        <item x="545"/>
        <item x="932"/>
        <item x="423"/>
        <item x="667"/>
        <item x="688"/>
        <item x="1009"/>
        <item x="712"/>
        <item x="816"/>
        <item x="855"/>
        <item x="830"/>
        <item x="1047"/>
        <item x="348"/>
        <item x="43"/>
        <item x="403"/>
        <item x="535"/>
        <item x="825"/>
        <item x="235"/>
        <item x="337"/>
        <item x="645"/>
        <item x="208"/>
        <item x="984"/>
        <item x="195"/>
        <item x="804"/>
        <item x="207"/>
        <item x="1035"/>
        <item x="427"/>
        <item x="450"/>
        <item x="468"/>
        <item x="589"/>
        <item x="600"/>
        <item x="680"/>
        <item x="330"/>
        <item x="254"/>
        <item x="771"/>
        <item x="504"/>
        <item x="40"/>
        <item x="354"/>
        <item x="199"/>
        <item x="616"/>
        <item x="1024"/>
        <item x="126"/>
        <item x="15"/>
        <item x="613"/>
        <item x="59"/>
        <item x="750"/>
        <item x="107"/>
        <item x="122"/>
        <item x="757"/>
        <item x="404"/>
        <item x="738"/>
        <item x="29"/>
        <item x="123"/>
        <item x="495"/>
        <item x="446"/>
        <item x="194"/>
        <item x="763"/>
        <item x="981"/>
        <item x="42"/>
        <item x="108"/>
        <item x="288"/>
        <item x="1039"/>
        <item x="741"/>
        <item x="379"/>
        <item x="571"/>
        <item x="384"/>
        <item x="579"/>
        <item x="1037"/>
        <item x="286"/>
        <item x="71"/>
        <item x="103"/>
        <item x="433"/>
        <item x="754"/>
        <item x="591"/>
        <item x="428"/>
        <item x="159"/>
        <item x="395"/>
        <item x="889"/>
        <item x="699"/>
        <item x="452"/>
        <item x="643"/>
        <item x="166"/>
        <item x="610"/>
        <item x="1000"/>
        <item x="438"/>
        <item x="727"/>
        <item x="734"/>
        <item x="167"/>
        <item x="490"/>
        <item x="882"/>
        <item x="511"/>
        <item x="994"/>
        <item x="0"/>
        <item x="930"/>
        <item x="49"/>
        <item x="802"/>
        <item x="102"/>
        <item x="130"/>
        <item x="128"/>
        <item x="95"/>
        <item x="131"/>
        <item x="94"/>
        <item x="99"/>
        <item x="98"/>
        <item x="886"/>
        <item x="339"/>
        <item x="10"/>
        <item x="411"/>
        <item x="732"/>
        <item x="177"/>
        <item x="500"/>
        <item x="572"/>
        <item x="556"/>
        <item x="578"/>
        <item x="564"/>
        <item x="110"/>
        <item x="1028"/>
        <item x="569"/>
        <item x="12"/>
        <item x="514"/>
        <item x="704"/>
        <item x="479"/>
        <item x="204"/>
        <item x="417"/>
        <item x="242"/>
        <item x="280"/>
        <item x="508"/>
        <item x="1033"/>
        <item x="457"/>
        <item x="481"/>
        <item x="496"/>
        <item x="66"/>
        <item x="1048"/>
        <item x="473"/>
        <item x="550"/>
        <item x="308"/>
        <item x="935"/>
        <item x="436"/>
        <item x="359"/>
        <item x="386"/>
        <item x="939"/>
        <item x="998"/>
        <item x="864"/>
        <item x="766"/>
        <item x="445"/>
        <item x="547"/>
        <item x="341"/>
        <item x="890"/>
        <item x="970"/>
        <item x="50"/>
        <item x="51"/>
        <item x="52"/>
        <item x="492"/>
        <item x="476"/>
        <item x="447"/>
        <item x="53"/>
        <item x="181"/>
        <item x="705"/>
        <item x="786"/>
        <item x="157"/>
        <item x="893"/>
        <item x="960"/>
        <item x="959"/>
        <item x="938"/>
        <item x="317"/>
        <item x="228"/>
        <item x="936"/>
        <item x="660"/>
        <item x="646"/>
        <item x="534"/>
        <item x="566"/>
        <item x="832"/>
        <item x="789"/>
        <item x="818"/>
        <item x="987"/>
        <item x="907"/>
        <item x="1036"/>
        <item x="540"/>
        <item x="833"/>
        <item x="1007"/>
        <item x="231"/>
        <item x="510"/>
        <item x="762"/>
        <item x="972"/>
        <item x="62"/>
        <item x="884"/>
        <item x="188"/>
        <item x="874"/>
        <item x="349"/>
        <item x="352"/>
        <item x="175"/>
        <item x="393"/>
        <item x="948"/>
        <item x="74"/>
        <item x="72"/>
        <item x="747"/>
        <item x="276"/>
        <item x="187"/>
        <item x="934"/>
        <item x="22"/>
        <item x="1006"/>
        <item x="636"/>
        <item x="54"/>
        <item x="489"/>
        <item x="467"/>
        <item x="870"/>
        <item x="205"/>
        <item x="735"/>
        <item x="297"/>
        <item x="154"/>
        <item x="190"/>
        <item x="977"/>
        <item x="20"/>
        <item x="221"/>
        <item x="414"/>
        <item x="415"/>
        <item x="376"/>
        <item x="248"/>
        <item x="420"/>
        <item x="527"/>
        <item x="104"/>
        <item x="821"/>
        <item x="860"/>
        <item x="119"/>
        <item x="274"/>
        <item x="211"/>
        <item x="161"/>
        <item x="811"/>
        <item x="576"/>
        <item x="1002"/>
        <item x="683"/>
        <item x="36"/>
        <item x="3"/>
        <item x="4"/>
        <item x="5"/>
        <item x="6"/>
        <item x="499"/>
        <item x="460"/>
        <item x="491"/>
        <item x="823"/>
        <item x="1018"/>
        <item x="439"/>
        <item x="914"/>
        <item x="133"/>
        <item x="453"/>
        <item x="347"/>
        <item x="217"/>
        <item x="220"/>
        <item x="954"/>
        <item x="256"/>
        <item x="982"/>
        <item x="919"/>
        <item x="502"/>
        <item x="515"/>
        <item x="432"/>
        <item x="292"/>
        <item x="462"/>
        <item x="250"/>
        <item x="255"/>
        <item x="687"/>
        <item x="659"/>
        <item x="867"/>
        <item x="381"/>
        <item x="765"/>
        <item x="281"/>
        <item x="788"/>
        <item x="953"/>
        <item x="302"/>
        <item x="466"/>
        <item x="767"/>
        <item x="266"/>
        <item x="265"/>
        <item x="962"/>
        <item x="85"/>
        <item x="451"/>
        <item x="269"/>
        <item x="168"/>
        <item x="169"/>
        <item x="106"/>
        <item x="592"/>
        <item x="158"/>
        <item x="277"/>
        <item x="1019"/>
        <item x="787"/>
        <item x="548"/>
        <item x="523"/>
        <item x="307"/>
        <item x="198"/>
        <item x="709"/>
        <item x="528"/>
        <item x="8"/>
        <item x="702"/>
        <item x="644"/>
        <item x="494"/>
        <item x="968"/>
        <item x="373"/>
        <item x="920"/>
        <item x="497"/>
        <item x="698"/>
        <item x="83"/>
        <item x="82"/>
        <item x="721"/>
        <item x="137"/>
        <item x="801"/>
        <item x="394"/>
        <item x="718"/>
        <item x="273"/>
        <item x="299"/>
        <item x="389"/>
        <item x="733"/>
        <item x="151"/>
        <item x="950"/>
        <item x="117"/>
        <item x="1041"/>
        <item x="848"/>
        <item x="60"/>
        <item x="78"/>
        <item x="661"/>
        <item x="713"/>
        <item x="229"/>
        <item x="90"/>
        <item x="91"/>
        <item x="18"/>
        <item x="392"/>
        <item x="604"/>
        <item x="1049"/>
        <item x="193"/>
        <item x="868"/>
        <item x="689"/>
        <item x="429"/>
        <item x="674"/>
        <item x="899"/>
        <item x="966"/>
        <item x="878"/>
        <item x="362"/>
        <item x="685"/>
        <item x="805"/>
        <item x="237"/>
        <item x="740"/>
        <item x="1034"/>
        <item x="552"/>
        <item x="241"/>
        <item x="262"/>
        <item x="247"/>
        <item x="464"/>
        <item x="693"/>
        <item x="597"/>
        <item x="537"/>
        <item x="969"/>
        <item x="612"/>
        <item x="44"/>
        <item x="625"/>
        <item x="9"/>
        <item x="836"/>
        <item x="573"/>
        <item x="1004"/>
        <item x="633"/>
        <item x="976"/>
        <item x="715"/>
        <item x="426"/>
        <item x="842"/>
        <item x="996"/>
        <item x="134"/>
        <item x="409"/>
        <item x="405"/>
        <item x="582"/>
        <item x="601"/>
        <item x="63"/>
        <item x="532"/>
        <item x="65"/>
        <item x="243"/>
        <item x="837"/>
        <item x="1038"/>
        <item x="16"/>
        <item x="17"/>
        <item x="835"/>
        <item x="73"/>
        <item x="434"/>
        <item x="143"/>
        <item x="418"/>
        <item x="304"/>
        <item x="675"/>
        <item x="356"/>
        <item x="912"/>
        <item x="213"/>
        <item x="654"/>
        <item x="638"/>
        <item x="623"/>
        <item x="602"/>
        <item x="965"/>
        <item x="614"/>
        <item x="150"/>
        <item x="792"/>
        <item x="38"/>
        <item x="224"/>
        <item x="375"/>
        <item x="291"/>
        <item x="290"/>
        <item x="824"/>
        <item x="1046"/>
        <item x="749"/>
        <item x="651"/>
        <item x="937"/>
        <item x="329"/>
        <item x="400"/>
        <item x="398"/>
        <item x="206"/>
        <item x="111"/>
        <item x="371"/>
        <item x="382"/>
        <item x="61"/>
        <item x="48"/>
        <item x="138"/>
        <item x="182"/>
        <item x="223"/>
        <item x="663"/>
        <item x="739"/>
        <item x="358"/>
        <item x="351"/>
        <item x="503"/>
        <item x="121"/>
        <item x="132"/>
        <item x="214"/>
        <item x="949"/>
        <item x="357"/>
        <item x="320"/>
        <item x="474"/>
        <item x="319"/>
        <item x="927"/>
        <item x="1008"/>
        <item x="507"/>
        <item x="925"/>
        <item x="657"/>
        <item x="370"/>
        <item x="1013"/>
        <item x="742"/>
        <item x="560"/>
        <item x="127"/>
        <item x="720"/>
        <item x="551"/>
        <item x="324"/>
        <item x="178"/>
        <item x="649"/>
        <item x="634"/>
        <item x="212"/>
        <item x="756"/>
        <item x="1017"/>
        <item x="31"/>
        <item x="722"/>
        <item x="723"/>
        <item x="952"/>
        <item x="888"/>
        <item x="714"/>
        <item x="160"/>
        <item x="543"/>
        <item x="232"/>
        <item x="252"/>
        <item x="251"/>
        <item x="608"/>
        <item x="594"/>
        <item x="911"/>
        <item x="909"/>
        <item x="421"/>
        <item x="408"/>
        <item x="910"/>
        <item x="401"/>
        <item x="385"/>
        <item x="390"/>
        <item x="360"/>
        <item x="372"/>
        <item x="322"/>
        <item x="343"/>
        <item x="374"/>
        <item x="270"/>
        <item x="268"/>
        <item x="271"/>
        <item x="422"/>
        <item x="402"/>
        <item x="377"/>
        <item x="761"/>
        <item x="189"/>
        <item x="851"/>
        <item x="340"/>
        <item x="620"/>
        <item x="253"/>
        <item x="820"/>
        <item x="630"/>
        <item x="971"/>
        <item x="745"/>
        <item x="906"/>
        <item x="958"/>
        <item x="619"/>
        <item x="776"/>
        <item x="892"/>
        <item x="125"/>
        <item x="435"/>
        <item x="344"/>
        <item x="140"/>
        <item x="230"/>
        <item x="233"/>
        <item x="716"/>
        <item x="28"/>
        <item x="314"/>
        <item x="477"/>
        <item x="518"/>
        <item x="918"/>
        <item x="947"/>
        <item x="991"/>
        <item x="992"/>
        <item x="574"/>
        <item x="282"/>
        <item x="505"/>
        <item x="822"/>
        <item x="827"/>
        <item x="615"/>
        <item x="162"/>
        <item x="829"/>
        <item x="321"/>
        <item x="567"/>
        <item x="1010"/>
        <item x="781"/>
        <item x="744"/>
        <item x="924"/>
        <item x="717"/>
        <item x="459"/>
        <item x="443"/>
        <item x="637"/>
        <item x="380"/>
        <item x="455"/>
        <item x="278"/>
        <item x="113"/>
        <item x="179"/>
        <item x="862"/>
        <item x="39"/>
        <item x="866"/>
        <item x="707"/>
        <item x="335"/>
        <item x="635"/>
        <item x="555"/>
        <item x="338"/>
        <item x="296"/>
        <item x="258"/>
        <item x="156"/>
        <item x="628"/>
        <item x="782"/>
        <item x="135"/>
        <item x="136"/>
        <item x="922"/>
        <item x="603"/>
        <item x="215"/>
        <item x="260"/>
        <item x="218"/>
        <item x="488"/>
        <item x="456"/>
        <item x="261"/>
        <item x="887"/>
        <item x="652"/>
        <item x="648"/>
        <item x="293"/>
        <item x="1042"/>
        <item x="697"/>
        <item x="225"/>
        <item x="658"/>
        <item x="210"/>
        <item x="951"/>
        <item x="672"/>
        <item x="797"/>
        <item x="798"/>
        <item x="799"/>
        <item x="813"/>
        <item x="19"/>
        <item x="549"/>
        <item x="544"/>
        <item x="795"/>
        <item x="681"/>
        <item x="363"/>
        <item x="139"/>
        <item x="905"/>
        <item x="88"/>
        <item x="87"/>
        <item x="676"/>
        <item x="668"/>
        <item x="599"/>
        <item x="57"/>
        <item x="607"/>
        <item x="694"/>
        <item x="753"/>
        <item x="752"/>
        <item x="908"/>
        <item x="1043"/>
        <item x="814"/>
        <item x="155"/>
        <item x="487"/>
        <item x="469"/>
        <item x="941"/>
        <item x="81"/>
        <item x="79"/>
        <item x="80"/>
        <item x="530"/>
        <item x="461"/>
        <item x="449"/>
        <item x="768"/>
        <item x="442"/>
        <item x="383"/>
        <item x="973"/>
        <item x="967"/>
        <item x="800"/>
        <item x="501"/>
        <item x="641"/>
        <item x="606"/>
        <item x="695"/>
        <item x="611"/>
        <item x="598"/>
        <item x="760"/>
        <item x="730"/>
        <item x="921"/>
        <item x="810"/>
        <item x="222"/>
        <item x="865"/>
        <item x="226"/>
        <item x="365"/>
        <item x="263"/>
        <item x="826"/>
        <item x="923"/>
        <item x="173"/>
        <item x="1030"/>
        <item x="541"/>
        <item x="580"/>
        <item x="35"/>
        <item x="105"/>
        <item x="327"/>
        <item x="901"/>
        <item x="708"/>
        <item x="670"/>
        <item x="75"/>
        <item x="76"/>
        <item x="77"/>
        <item x="1023"/>
        <item x="525"/>
        <item x="690"/>
        <item x="944"/>
        <item x="975"/>
        <item x="120"/>
        <item x="769"/>
        <item x="542"/>
        <item x="997"/>
        <item x="331"/>
        <item x="259"/>
        <item x="272"/>
        <item x="13"/>
        <item x="1020"/>
        <item x="783"/>
        <item x="519"/>
        <item x="509"/>
        <item x="796"/>
        <item x="642"/>
        <item x="585"/>
        <item x="37"/>
        <item x="933"/>
        <item x="533"/>
        <item x="691"/>
        <item x="656"/>
        <item x="793"/>
        <item x="219"/>
        <item x="885"/>
        <item x="779"/>
        <item x="396"/>
        <item x="553"/>
        <item x="264"/>
        <item x="677"/>
        <item x="364"/>
        <item x="900"/>
        <item x="785"/>
        <item x="1001"/>
        <item x="55"/>
        <item x="56"/>
        <item x="945"/>
        <item x="146"/>
        <item x="988"/>
        <item x="737"/>
        <item x="311"/>
        <item x="145"/>
        <item x="391"/>
        <item x="731"/>
        <item x="180"/>
        <item x="774"/>
        <item x="593"/>
        <item x="89"/>
        <item x="165"/>
        <item x="196"/>
        <item x="565"/>
        <item x="315"/>
        <item x="470"/>
        <item x="700"/>
        <item x="115"/>
        <item x="671"/>
        <item x="706"/>
        <item x="1045"/>
        <item x="728"/>
        <item x="859"/>
        <item x="430"/>
        <item x="216"/>
        <item x="790"/>
        <item x="665"/>
        <item x="24"/>
        <item x="879"/>
        <item x="336"/>
        <item x="465"/>
        <item x="458"/>
        <item x="475"/>
        <item x="485"/>
        <item x="70"/>
        <item x="880"/>
        <item x="397"/>
        <item x="431"/>
        <item x="724"/>
        <item x="318"/>
        <item x="46"/>
        <item x="961"/>
        <item x="902"/>
        <item x="595"/>
        <item x="755"/>
        <item x="926"/>
        <item x="1011"/>
        <item x="1016"/>
        <item x="97"/>
        <item x="979"/>
        <item x="995"/>
        <item x="521"/>
        <item x="171"/>
        <item x="843"/>
        <item x="808"/>
        <item x="454"/>
        <item x="588"/>
        <item x="116"/>
        <item x="142"/>
        <item x="869"/>
        <item x="234"/>
        <item x="710"/>
        <item x="100"/>
        <item x="621"/>
        <item x="596"/>
        <item x="64"/>
        <item x="332"/>
        <item x="536"/>
        <item x="517"/>
        <item x="472"/>
        <item x="617"/>
        <item x="946"/>
        <item x="114"/>
        <item x="186"/>
        <item x="238"/>
        <item x="437"/>
        <item x="463"/>
        <item x="482"/>
        <item x="25"/>
        <item x="244"/>
        <item x="834"/>
        <item x="287"/>
        <item x="985"/>
        <item x="45"/>
        <item x="419"/>
        <item x="529"/>
        <item x="896"/>
        <item x="313"/>
        <item x="863"/>
        <item x="852"/>
        <item x="191"/>
        <item x="850"/>
        <item x="192"/>
        <item x="849"/>
        <item x="881"/>
        <item x="871"/>
        <item x="23"/>
        <item x="484"/>
        <item x="725"/>
        <item x="1040"/>
        <item x="701"/>
        <item x="493"/>
        <item x="729"/>
        <item x="257"/>
        <item x="618"/>
        <item x="92"/>
        <item x="93"/>
        <item x="957"/>
        <item x="236"/>
        <item x="41"/>
        <item x="562"/>
        <item x="844"/>
        <item x="367"/>
        <item x="711"/>
        <item x="516"/>
        <item x="512"/>
        <item x="69"/>
        <item x="200"/>
        <item x="323"/>
        <item x="929"/>
        <item x="267"/>
        <item x="310"/>
        <item x="309"/>
        <item x="777"/>
        <item x="440"/>
        <item x="845"/>
        <item x="839"/>
        <item x="325"/>
        <item x="424"/>
        <item x="666"/>
        <item x="1021"/>
        <item x="1022"/>
        <item x="974"/>
        <item x="928"/>
        <item x="931"/>
        <item x="772"/>
        <item x="202"/>
      </items>
      <autoSortScope>
        <pivotArea dataOnly="0" outline="0" fieldPosition="0">
          <references count="1">
            <reference field="4294967294" count="1" selected="0">
              <x v="3"/>
            </reference>
          </references>
        </pivotArea>
      </autoSortScope>
    </pivotField>
    <pivotField compact="0" numFmtId="14" outline="0" showAll="0" defaultSubtotal="0">
      <items count="1014">
        <item x="733"/>
        <item x="732"/>
        <item x="731"/>
        <item x="760"/>
        <item x="730"/>
        <item x="423"/>
        <item x="163"/>
        <item x="729"/>
        <item x="757"/>
        <item x="754"/>
        <item x="756"/>
        <item x="728"/>
        <item x="755"/>
        <item x="160"/>
        <item x="727"/>
        <item x="762"/>
        <item x="726"/>
        <item x="725"/>
        <item x="724"/>
        <item x="759"/>
        <item x="1009"/>
        <item x="723"/>
        <item x="722"/>
        <item x="166"/>
        <item x="165"/>
        <item x="761"/>
        <item x="167"/>
        <item x="763"/>
        <item x="1003"/>
        <item x="850"/>
        <item x="164"/>
        <item x="168"/>
        <item x="765"/>
        <item x="764"/>
        <item x="721"/>
        <item x="1010"/>
        <item x="718"/>
        <item x="720"/>
        <item x="65"/>
        <item x="719"/>
        <item x="714"/>
        <item x="717"/>
        <item x="1008"/>
        <item x="715"/>
        <item x="716"/>
        <item x="1004"/>
        <item x="713"/>
        <item x="158"/>
        <item x="159"/>
        <item x="711"/>
        <item x="710"/>
        <item x="999"/>
        <item x="712"/>
        <item x="709"/>
        <item x="708"/>
        <item x="61"/>
        <item x="1005"/>
        <item x="71"/>
        <item x="707"/>
        <item x="706"/>
        <item x="704"/>
        <item x="1002"/>
        <item x="705"/>
        <item x="702"/>
        <item x="701"/>
        <item x="703"/>
        <item x="700"/>
        <item x="699"/>
        <item x="418"/>
        <item x="1001"/>
        <item x="989"/>
        <item x="89"/>
        <item x="698"/>
        <item x="157"/>
        <item x="697"/>
        <item x="849"/>
        <item x="694"/>
        <item x="696"/>
        <item x="695"/>
        <item x="691"/>
        <item x="1006"/>
        <item x="693"/>
        <item x="692"/>
        <item x="690"/>
        <item x="851"/>
        <item x="686"/>
        <item x="689"/>
        <item x="685"/>
        <item x="911"/>
        <item x="688"/>
        <item x="687"/>
        <item x="684"/>
        <item x="758"/>
        <item x="156"/>
        <item x="682"/>
        <item x="683"/>
        <item x="877"/>
        <item x="162"/>
        <item x="72"/>
        <item x="679"/>
        <item x="125"/>
        <item x="680"/>
        <item x="155"/>
        <item x="681"/>
        <item x="675"/>
        <item x="678"/>
        <item x="674"/>
        <item x="229"/>
        <item x="878"/>
        <item x="124"/>
        <item x="676"/>
        <item x="677"/>
        <item x="202"/>
        <item x="197"/>
        <item x="154"/>
        <item x="58"/>
        <item x="421"/>
        <item x="673"/>
        <item x="671"/>
        <item x="1007"/>
        <item x="672"/>
        <item x="59"/>
        <item x="117"/>
        <item x="153"/>
        <item x="998"/>
        <item x="57"/>
        <item x="670"/>
        <item x="230"/>
        <item x="116"/>
        <item x="412"/>
        <item x="668"/>
        <item x="667"/>
        <item x="666"/>
        <item x="665"/>
        <item x="150"/>
        <item x="663"/>
        <item x="853"/>
        <item x="152"/>
        <item x="669"/>
        <item x="854"/>
        <item x="151"/>
        <item x="664"/>
        <item x="200"/>
        <item x="60"/>
        <item x="662"/>
        <item x="659"/>
        <item x="872"/>
        <item x="660"/>
        <item x="661"/>
        <item x="658"/>
        <item x="118"/>
        <item x="656"/>
        <item x="657"/>
        <item x="855"/>
        <item x="64"/>
        <item x="655"/>
        <item x="39"/>
        <item x="149"/>
        <item x="653"/>
        <item x="652"/>
        <item x="826"/>
        <item x="119"/>
        <item x="148"/>
        <item x="654"/>
        <item x="876"/>
        <item x="651"/>
        <item x="40"/>
        <item x="648"/>
        <item x="650"/>
        <item x="649"/>
        <item x="875"/>
        <item x="41"/>
        <item x="120"/>
        <item x="43"/>
        <item x="645"/>
        <item x="400"/>
        <item x="886"/>
        <item x="647"/>
        <item x="646"/>
        <item x="644"/>
        <item x="637"/>
        <item x="643"/>
        <item x="642"/>
        <item x="640"/>
        <item x="198"/>
        <item x="641"/>
        <item x="638"/>
        <item x="639"/>
        <item x="121"/>
        <item x="636"/>
        <item x="169"/>
        <item x="147"/>
        <item x="633"/>
        <item x="146"/>
        <item x="635"/>
        <item x="634"/>
        <item x="885"/>
        <item x="628"/>
        <item x="629"/>
        <item x="632"/>
        <item x="856"/>
        <item x="627"/>
        <item x="630"/>
        <item x="392"/>
        <item x="631"/>
        <item x="816"/>
        <item x="201"/>
        <item x="626"/>
        <item x="410"/>
        <item x="622"/>
        <item x="145"/>
        <item x="625"/>
        <item x="887"/>
        <item x="115"/>
        <item x="996"/>
        <item x="623"/>
        <item x="624"/>
        <item x="42"/>
        <item x="617"/>
        <item x="874"/>
        <item x="144"/>
        <item x="618"/>
        <item x="620"/>
        <item x="621"/>
        <item x="338"/>
        <item x="619"/>
        <item x="3"/>
        <item x="413"/>
        <item x="616"/>
        <item x="612"/>
        <item x="106"/>
        <item x="611"/>
        <item x="613"/>
        <item x="170"/>
        <item x="614"/>
        <item x="364"/>
        <item x="615"/>
        <item x="610"/>
        <item x="62"/>
        <item x="871"/>
        <item x="393"/>
        <item x="196"/>
        <item x="609"/>
        <item x="605"/>
        <item x="608"/>
        <item x="607"/>
        <item x="398"/>
        <item x="199"/>
        <item x="604"/>
        <item x="606"/>
        <item x="603"/>
        <item x="142"/>
        <item x="141"/>
        <item x="193"/>
        <item x="171"/>
        <item x="602"/>
        <item x="107"/>
        <item x="143"/>
        <item x="601"/>
        <item x="34"/>
        <item x="4"/>
        <item x="814"/>
        <item x="9"/>
        <item x="598"/>
        <item x="409"/>
        <item x="411"/>
        <item x="600"/>
        <item x="377"/>
        <item x="597"/>
        <item x="108"/>
        <item x="599"/>
        <item x="596"/>
        <item x="888"/>
        <item x="592"/>
        <item x="367"/>
        <item x="594"/>
        <item x="379"/>
        <item x="593"/>
        <item x="231"/>
        <item x="595"/>
        <item x="363"/>
        <item x="390"/>
        <item x="590"/>
        <item x="589"/>
        <item x="591"/>
        <item x="37"/>
        <item x="376"/>
        <item x="397"/>
        <item x="374"/>
        <item x="587"/>
        <item x="588"/>
        <item x="766"/>
        <item x="417"/>
        <item x="586"/>
        <item x="898"/>
        <item x="579"/>
        <item x="63"/>
        <item x="584"/>
        <item x="582"/>
        <item x="416"/>
        <item x="73"/>
        <item x="5"/>
        <item x="812"/>
        <item x="1000"/>
        <item x="580"/>
        <item x="585"/>
        <item x="583"/>
        <item x="944"/>
        <item x="581"/>
        <item x="1011"/>
        <item x="574"/>
        <item x="811"/>
        <item x="578"/>
        <item x="576"/>
        <item x="205"/>
        <item x="399"/>
        <item x="2"/>
        <item x="889"/>
        <item x="391"/>
        <item x="857"/>
        <item x="577"/>
        <item x="575"/>
        <item x="403"/>
        <item x="571"/>
        <item x="568"/>
        <item x="387"/>
        <item x="573"/>
        <item x="194"/>
        <item x="105"/>
        <item x="882"/>
        <item x="985"/>
        <item x="572"/>
        <item x="567"/>
        <item x="870"/>
        <item x="935"/>
        <item x="381"/>
        <item x="566"/>
        <item x="827"/>
        <item x="570"/>
        <item x="569"/>
        <item x="847"/>
        <item x="565"/>
        <item x="896"/>
        <item x="1"/>
        <item x="810"/>
        <item x="318"/>
        <item x="561"/>
        <item x="858"/>
        <item x="378"/>
        <item x="564"/>
        <item x="890"/>
        <item x="563"/>
        <item x="562"/>
        <item x="407"/>
        <item x="560"/>
        <item x="909"/>
        <item x="846"/>
        <item x="352"/>
        <item x="556"/>
        <item x="375"/>
        <item x="104"/>
        <item x="557"/>
        <item x="554"/>
        <item x="404"/>
        <item x="316"/>
        <item x="845"/>
        <item x="945"/>
        <item x="555"/>
        <item x="558"/>
        <item x="359"/>
        <item x="559"/>
        <item x="373"/>
        <item x="552"/>
        <item x="553"/>
        <item x="358"/>
        <item x="327"/>
        <item x="967"/>
        <item x="321"/>
        <item x="550"/>
        <item x="984"/>
        <item x="986"/>
        <item x="844"/>
        <item x="385"/>
        <item x="838"/>
        <item x="396"/>
        <item x="551"/>
        <item x="383"/>
        <item x="545"/>
        <item x="946"/>
        <item x="549"/>
        <item x="349"/>
        <item x="936"/>
        <item x="910"/>
        <item x="548"/>
        <item x="843"/>
        <item x="281"/>
        <item x="547"/>
        <item x="543"/>
        <item x="380"/>
        <item x="544"/>
        <item x="546"/>
        <item x="45"/>
        <item x="542"/>
        <item x="49"/>
        <item x="537"/>
        <item x="344"/>
        <item x="540"/>
        <item x="355"/>
        <item x="538"/>
        <item x="44"/>
        <item x="842"/>
        <item x="852"/>
        <item x="366"/>
        <item x="357"/>
        <item x="983"/>
        <item x="824"/>
        <item x="422"/>
        <item x="869"/>
        <item x="541"/>
        <item x="536"/>
        <item x="535"/>
        <item x="539"/>
        <item x="532"/>
        <item x="232"/>
        <item x="328"/>
        <item x="531"/>
        <item x="1012"/>
        <item x="293"/>
        <item x="356"/>
        <item x="778"/>
        <item x="53"/>
        <item x="891"/>
        <item x="868"/>
        <item x="981"/>
        <item x="530"/>
        <item x="388"/>
        <item x="534"/>
        <item x="533"/>
        <item x="123"/>
        <item x="183"/>
        <item x="526"/>
        <item x="525"/>
        <item x="523"/>
        <item x="285"/>
        <item x="524"/>
        <item x="329"/>
        <item x="20"/>
        <item x="840"/>
        <item x="414"/>
        <item x="883"/>
        <item x="823"/>
        <item x="529"/>
        <item x="362"/>
        <item x="807"/>
        <item x="867"/>
        <item x="527"/>
        <item x="38"/>
        <item x="1013"/>
        <item x="993"/>
        <item x="78"/>
        <item x="339"/>
        <item x="312"/>
        <item x="521"/>
        <item x="520"/>
        <item x="519"/>
        <item x="323"/>
        <item x="237"/>
        <item x="290"/>
        <item x="419"/>
        <item x="372"/>
        <item x="939"/>
        <item x="369"/>
        <item x="518"/>
        <item x="103"/>
        <item x="111"/>
        <item x="522"/>
        <item x="982"/>
        <item x="395"/>
        <item x="779"/>
        <item x="114"/>
        <item x="415"/>
        <item x="512"/>
        <item x="298"/>
        <item x="307"/>
        <item x="513"/>
        <item x="516"/>
        <item x="304"/>
        <item x="515"/>
        <item x="211"/>
        <item x="806"/>
        <item x="353"/>
        <item x="514"/>
        <item x="322"/>
        <item x="517"/>
        <item x="528"/>
        <item x="510"/>
        <item x="884"/>
        <item x="19"/>
        <item x="508"/>
        <item x="511"/>
        <item x="780"/>
        <item x="288"/>
        <item x="509"/>
        <item x="331"/>
        <item x="947"/>
        <item x="140"/>
        <item x="966"/>
        <item x="184"/>
        <item x="828"/>
        <item x="100"/>
        <item x="905"/>
        <item x="235"/>
        <item x="913"/>
        <item x="837"/>
        <item x="299"/>
        <item x="503"/>
        <item x="330"/>
        <item x="506"/>
        <item x="507"/>
        <item x="249"/>
        <item x="248"/>
        <item x="504"/>
        <item x="324"/>
        <item x="753"/>
        <item x="354"/>
        <item x="212"/>
        <item x="873"/>
        <item x="505"/>
        <item x="139"/>
        <item x="365"/>
        <item x="317"/>
        <item x="342"/>
        <item x="502"/>
        <item x="269"/>
        <item x="138"/>
        <item x="326"/>
        <item x="501"/>
        <item x="195"/>
        <item x="402"/>
        <item x="325"/>
        <item x="805"/>
        <item x="319"/>
        <item x="500"/>
        <item x="97"/>
        <item x="113"/>
        <item x="767"/>
        <item x="284"/>
        <item x="496"/>
        <item x="266"/>
        <item x="345"/>
        <item x="264"/>
        <item x="11"/>
        <item x="499"/>
        <item x="859"/>
        <item x="305"/>
        <item x="213"/>
        <item x="420"/>
        <item x="927"/>
        <item x="384"/>
        <item x="498"/>
        <item x="804"/>
        <item x="819"/>
        <item x="497"/>
        <item x="210"/>
        <item x="68"/>
        <item x="309"/>
        <item x="294"/>
        <item x="495"/>
        <item x="21"/>
        <item x="493"/>
        <item x="795"/>
        <item x="350"/>
        <item x="238"/>
        <item x="829"/>
        <item x="22"/>
        <item x="494"/>
        <item x="920"/>
        <item x="254"/>
        <item x="66"/>
        <item x="895"/>
        <item x="914"/>
        <item x="768"/>
        <item x="99"/>
        <item x="75"/>
        <item x="301"/>
        <item x="278"/>
        <item x="287"/>
        <item x="803"/>
        <item x="268"/>
        <item x="272"/>
        <item x="492"/>
        <item x="347"/>
        <item x="8"/>
        <item x="233"/>
        <item x="267"/>
        <item x="963"/>
        <item x="332"/>
        <item x="250"/>
        <item x="280"/>
        <item x="300"/>
        <item x="940"/>
        <item x="491"/>
        <item x="320"/>
        <item x="7"/>
        <item x="24"/>
        <item x="10"/>
        <item x="112"/>
        <item x="70"/>
        <item x="69"/>
        <item x="102"/>
        <item x="96"/>
        <item x="979"/>
        <item x="394"/>
        <item x="77"/>
        <item x="286"/>
        <item x="830"/>
        <item x="337"/>
        <item x="90"/>
        <item x="351"/>
        <item x="769"/>
        <item x="915"/>
        <item x="306"/>
        <item x="259"/>
        <item x="297"/>
        <item x="488"/>
        <item x="406"/>
        <item x="820"/>
        <item x="489"/>
        <item x="262"/>
        <item x="490"/>
        <item x="382"/>
        <item x="948"/>
        <item x="191"/>
        <item x="335"/>
        <item x="343"/>
        <item x="271"/>
        <item x="256"/>
        <item x="929"/>
        <item x="263"/>
        <item x="921"/>
        <item x="76"/>
        <item x="781"/>
        <item x="957"/>
        <item x="334"/>
        <item x="386"/>
        <item x="333"/>
        <item x="122"/>
        <item x="968"/>
        <item x="341"/>
        <item x="346"/>
        <item x="244"/>
        <item x="12"/>
        <item x="261"/>
        <item x="98"/>
        <item x="274"/>
        <item x="831"/>
        <item x="252"/>
        <item x="916"/>
        <item x="83"/>
        <item x="279"/>
        <item x="292"/>
        <item x="401"/>
        <item x="282"/>
        <item x="314"/>
        <item x="389"/>
        <item x="54"/>
        <item x="33"/>
        <item x="173"/>
        <item x="486"/>
        <item x="26"/>
        <item x="866"/>
        <item x="487"/>
        <item x="277"/>
        <item x="371"/>
        <item x="791"/>
        <item x="23"/>
        <item x="295"/>
        <item x="485"/>
        <item x="308"/>
        <item x="360"/>
        <item x="275"/>
        <item x="900"/>
        <item x="270"/>
        <item x="484"/>
        <item x="174"/>
        <item x="276"/>
        <item x="245"/>
        <item x="257"/>
        <item x="246"/>
        <item x="48"/>
        <item x="25"/>
        <item x="253"/>
        <item x="92"/>
        <item x="291"/>
        <item x="368"/>
        <item x="361"/>
        <item x="95"/>
        <item x="137"/>
        <item x="405"/>
        <item x="74"/>
        <item x="303"/>
        <item x="84"/>
        <item x="313"/>
        <item x="192"/>
        <item x="36"/>
        <item x="35"/>
        <item x="481"/>
        <item x="265"/>
        <item x="260"/>
        <item x="813"/>
        <item x="789"/>
        <item x="483"/>
        <item x="247"/>
        <item x="234"/>
        <item x="255"/>
        <item x="938"/>
        <item x="172"/>
        <item x="310"/>
        <item x="302"/>
        <item x="296"/>
        <item x="289"/>
        <item x="348"/>
        <item x="109"/>
        <item x="127"/>
        <item x="101"/>
        <item x="0"/>
        <item x="340"/>
        <item x="283"/>
        <item x="408"/>
        <item x="482"/>
        <item x="227"/>
        <item x="110"/>
        <item x="336"/>
        <item x="126"/>
        <item x="185"/>
        <item x="251"/>
        <item x="315"/>
        <item x="82"/>
        <item x="242"/>
        <item x="236"/>
        <item x="273"/>
        <item x="239"/>
        <item x="94"/>
        <item x="311"/>
        <item x="990"/>
        <item x="190"/>
        <item x="258"/>
        <item x="786"/>
        <item x="370"/>
        <item x="962"/>
        <item x="241"/>
        <item x="240"/>
        <item x="46"/>
        <item x="243"/>
        <item x="479"/>
        <item x="218"/>
        <item x="220"/>
        <item x="28"/>
        <item x="770"/>
        <item x="477"/>
        <item x="136"/>
        <item x="424"/>
        <item x="474"/>
        <item x="775"/>
        <item x="478"/>
        <item x="134"/>
        <item x="475"/>
        <item x="16"/>
        <item x="839"/>
        <item x="473"/>
        <item x="771"/>
        <item x="179"/>
        <item x="214"/>
        <item x="949"/>
        <item x="480"/>
        <item x="203"/>
        <item x="865"/>
        <item x="135"/>
        <item x="476"/>
        <item x="952"/>
        <item x="91"/>
        <item x="860"/>
        <item x="50"/>
        <item x="17"/>
        <item x="848"/>
        <item x="821"/>
        <item x="27"/>
        <item x="923"/>
        <item x="87"/>
        <item x="881"/>
        <item x="471"/>
        <item x="30"/>
        <item x="906"/>
        <item x="802"/>
        <item x="469"/>
        <item x="472"/>
        <item x="467"/>
        <item x="466"/>
        <item x="132"/>
        <item x="86"/>
        <item x="988"/>
        <item x="175"/>
        <item x="468"/>
        <item x="470"/>
        <item x="88"/>
        <item x="861"/>
        <item x="465"/>
        <item x="31"/>
        <item x="133"/>
        <item x="975"/>
        <item x="29"/>
        <item x="894"/>
        <item x="130"/>
        <item x="189"/>
        <item x="777"/>
        <item x="228"/>
        <item x="51"/>
        <item x="462"/>
        <item x="950"/>
        <item x="460"/>
        <item x="971"/>
        <item x="458"/>
        <item x="461"/>
        <item x="464"/>
        <item x="459"/>
        <item x="206"/>
        <item x="772"/>
        <item x="186"/>
        <item x="223"/>
        <item x="67"/>
        <item x="14"/>
        <item x="131"/>
        <item x="463"/>
        <item x="809"/>
        <item x="974"/>
        <item x="182"/>
        <item x="176"/>
        <item x="226"/>
        <item x="784"/>
        <item x="455"/>
        <item x="47"/>
        <item x="452"/>
        <item x="818"/>
        <item x="454"/>
        <item x="457"/>
        <item x="451"/>
        <item x="129"/>
        <item x="456"/>
        <item x="815"/>
        <item x="224"/>
        <item x="55"/>
        <item x="204"/>
        <item x="864"/>
        <item x="453"/>
        <item x="180"/>
        <item x="954"/>
        <item x="15"/>
        <item x="215"/>
        <item x="822"/>
        <item x="817"/>
        <item x="794"/>
        <item x="987"/>
        <item x="449"/>
        <item x="785"/>
        <item x="443"/>
        <item x="922"/>
        <item x="450"/>
        <item x="943"/>
        <item x="448"/>
        <item x="833"/>
        <item x="980"/>
        <item x="445"/>
        <item x="958"/>
        <item x="447"/>
        <item x="444"/>
        <item x="808"/>
        <item x="773"/>
        <item x="964"/>
        <item x="969"/>
        <item x="209"/>
        <item x="796"/>
        <item x="832"/>
        <item x="128"/>
        <item x="446"/>
        <item x="222"/>
        <item x="907"/>
        <item x="81"/>
        <item x="941"/>
        <item x="926"/>
        <item x="961"/>
        <item x="801"/>
        <item x="953"/>
        <item x="187"/>
        <item x="917"/>
        <item x="880"/>
        <item x="435"/>
        <item x="438"/>
        <item x="836"/>
        <item x="776"/>
        <item x="18"/>
        <item x="924"/>
        <item x="441"/>
        <item x="439"/>
        <item x="436"/>
        <item x="177"/>
        <item x="978"/>
        <item x="792"/>
        <item x="970"/>
        <item x="225"/>
        <item x="221"/>
        <item x="991"/>
        <item x="216"/>
        <item x="440"/>
        <item x="800"/>
        <item x="442"/>
        <item x="93"/>
        <item x="437"/>
        <item x="787"/>
        <item x="434"/>
        <item x="783"/>
        <item x="80"/>
        <item x="893"/>
        <item x="56"/>
        <item x="992"/>
        <item x="32"/>
        <item x="799"/>
        <item x="429"/>
        <item x="431"/>
        <item x="934"/>
        <item x="428"/>
        <item x="427"/>
        <item x="960"/>
        <item x="994"/>
        <item x="425"/>
        <item x="432"/>
        <item x="426"/>
        <item x="774"/>
        <item x="976"/>
        <item x="956"/>
        <item x="933"/>
        <item x="217"/>
        <item x="965"/>
        <item x="955"/>
        <item x="433"/>
        <item x="430"/>
        <item x="862"/>
        <item x="835"/>
        <item x="79"/>
        <item x="951"/>
        <item x="188"/>
        <item x="208"/>
        <item x="972"/>
        <item x="181"/>
        <item x="793"/>
        <item x="790"/>
        <item x="736"/>
        <item x="798"/>
        <item x="737"/>
        <item x="6"/>
        <item x="973"/>
        <item x="738"/>
        <item x="735"/>
        <item x="918"/>
        <item x="739"/>
        <item x="797"/>
        <item x="959"/>
        <item x="977"/>
        <item x="740"/>
        <item x="942"/>
        <item x="219"/>
        <item x="178"/>
        <item x="742"/>
        <item x="825"/>
        <item x="85"/>
        <item x="161"/>
        <item x="741"/>
        <item x="937"/>
        <item x="908"/>
        <item x="52"/>
        <item x="734"/>
        <item x="841"/>
        <item x="897"/>
        <item x="13"/>
        <item x="749"/>
        <item x="782"/>
        <item x="904"/>
        <item x="747"/>
        <item x="745"/>
        <item x="746"/>
        <item x="743"/>
        <item x="751"/>
        <item x="834"/>
        <item x="899"/>
        <item x="744"/>
        <item x="901"/>
        <item x="879"/>
        <item x="748"/>
        <item x="902"/>
        <item x="903"/>
        <item x="995"/>
        <item x="750"/>
        <item x="997"/>
        <item x="863"/>
        <item x="912"/>
        <item x="788"/>
        <item x="919"/>
        <item x="925"/>
        <item x="752"/>
        <item x="207"/>
        <item x="928"/>
        <item x="930"/>
        <item x="892"/>
        <item x="931"/>
        <item x="932"/>
      </items>
    </pivotField>
    <pivotField dataField="1"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dragToRow="0" dragToCol="0" dragToPage="0" showAll="0" defaultSubtotal="0"/>
    <pivotField axis="axisRow" compact="0" outline="0" subtotalTop="0" showAll="0" sortType="descending" defaultSubtotal="0">
      <items count="9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s>
      <autoSortScope>
        <pivotArea dataOnly="0" outline="0" fieldPosition="0">
          <references count="1">
            <reference field="4294967294" count="1" selected="0">
              <x v="3"/>
            </reference>
          </references>
        </pivotArea>
      </autoSortScope>
    </pivotField>
  </pivotFields>
  <rowFields count="2">
    <field x="1"/>
    <field x="15"/>
  </rowFields>
  <rowItems count="1">
    <i t="grand">
      <x/>
    </i>
  </rowItems>
  <colFields count="1">
    <field x="-2"/>
  </colFields>
  <colItems count="6">
    <i>
      <x/>
    </i>
    <i i="1">
      <x v="1"/>
    </i>
    <i i="2">
      <x v="2"/>
    </i>
    <i i="3">
      <x v="3"/>
    </i>
    <i i="4">
      <x v="4"/>
    </i>
    <i i="5">
      <x v="5"/>
    </i>
  </colItems>
  <dataFields count="6">
    <dataField name=" Budget" fld="10" baseField="4" baseItem="1" numFmtId="164"/>
    <dataField name=" Box Office" fld="11" baseField="4" baseItem="3" numFmtId="164"/>
    <dataField name=" Profit" fld="14" baseField="0" baseItem="0" numFmtId="164"/>
    <dataField name=" Oscar Wins" fld="13" baseField="0" baseItem="0"/>
    <dataField name=" Nominations" fld="12" baseField="0" baseItem="0"/>
    <dataField name="Run Time (Min." fld="3" baseField="0" baseItem="0"/>
  </dataFields>
  <formats count="27">
    <format dxfId="272">
      <pivotArea outline="0" collapsedLevelsAreSubtotals="1" fieldPosition="0"/>
    </format>
    <format dxfId="271">
      <pivotArea type="all" dataOnly="0" outline="0" fieldPosition="0"/>
    </format>
    <format dxfId="270">
      <pivotArea outline="0" collapsedLevelsAreSubtotals="1" fieldPosition="0"/>
    </format>
    <format dxfId="269">
      <pivotArea field="1" type="button" dataOnly="0" labelOnly="1" outline="0" axis="axisRow" fieldPosition="0"/>
    </format>
    <format dxfId="268">
      <pivotArea dataOnly="0" labelOnly="1" outline="0" fieldPosition="0">
        <references count="1">
          <reference field="1" count="50">
            <x v="44"/>
            <x v="75"/>
            <x v="76"/>
            <x v="134"/>
            <x v="200"/>
            <x v="208"/>
            <x v="239"/>
            <x v="270"/>
            <x v="271"/>
            <x v="290"/>
            <x v="292"/>
            <x v="332"/>
            <x v="333"/>
            <x v="334"/>
            <x v="335"/>
            <x v="337"/>
            <x v="338"/>
            <x v="364"/>
            <x v="365"/>
            <x v="371"/>
            <x v="390"/>
            <x v="416"/>
            <x v="418"/>
            <x v="480"/>
            <x v="499"/>
            <x v="579"/>
            <x v="661"/>
            <x v="673"/>
            <x v="709"/>
            <x v="711"/>
            <x v="712"/>
            <x v="715"/>
            <x v="764"/>
            <x v="788"/>
            <x v="789"/>
            <x v="831"/>
            <x v="833"/>
            <x v="836"/>
            <x v="846"/>
            <x v="862"/>
            <x v="870"/>
            <x v="871"/>
            <x v="872"/>
            <x v="921"/>
            <x v="944"/>
            <x v="973"/>
            <x v="982"/>
            <x v="988"/>
            <x v="989"/>
            <x v="1048"/>
          </reference>
        </references>
      </pivotArea>
    </format>
    <format dxfId="267">
      <pivotArea dataOnly="0" labelOnly="1" outline="0" fieldPosition="0">
        <references count="1">
          <reference field="1" count="50">
            <x v="2"/>
            <x v="90"/>
            <x v="135"/>
            <x v="195"/>
            <x v="263"/>
            <x v="305"/>
            <x v="315"/>
            <x v="320"/>
            <x v="336"/>
            <x v="339"/>
            <x v="366"/>
            <x v="369"/>
            <x v="373"/>
            <x v="379"/>
            <x v="440"/>
            <x v="473"/>
            <x v="477"/>
            <x v="479"/>
            <x v="504"/>
            <x v="505"/>
            <x v="510"/>
            <x v="577"/>
            <x v="578"/>
            <x v="580"/>
            <x v="662"/>
            <x v="663"/>
            <x v="689"/>
            <x v="691"/>
            <x v="692"/>
            <x v="693"/>
            <x v="710"/>
            <x v="728"/>
            <x v="760"/>
            <x v="782"/>
            <x v="786"/>
            <x v="832"/>
            <x v="835"/>
            <x v="838"/>
            <x v="843"/>
            <x v="874"/>
            <x v="879"/>
            <x v="883"/>
            <x v="902"/>
            <x v="943"/>
            <x v="945"/>
            <x v="946"/>
            <x v="987"/>
            <x v="990"/>
            <x v="1010"/>
            <x v="1037"/>
          </reference>
        </references>
      </pivotArea>
    </format>
    <format dxfId="266">
      <pivotArea dataOnly="0" labelOnly="1" outline="0" fieldPosition="0">
        <references count="1">
          <reference field="1" count="50">
            <x v="42"/>
            <x v="55"/>
            <x v="70"/>
            <x v="141"/>
            <x v="191"/>
            <x v="207"/>
            <x v="260"/>
            <x v="264"/>
            <x v="300"/>
            <x v="324"/>
            <x v="347"/>
            <x v="360"/>
            <x v="374"/>
            <x v="380"/>
            <x v="388"/>
            <x v="389"/>
            <x v="403"/>
            <x v="429"/>
            <x v="439"/>
            <x v="457"/>
            <x v="472"/>
            <x v="474"/>
            <x v="488"/>
            <x v="491"/>
            <x v="506"/>
            <x v="511"/>
            <x v="520"/>
            <x v="533"/>
            <x v="590"/>
            <x v="606"/>
            <x v="639"/>
            <x v="657"/>
            <x v="658"/>
            <x v="660"/>
            <x v="713"/>
            <x v="714"/>
            <x v="743"/>
            <x v="746"/>
            <x v="761"/>
            <x v="790"/>
            <x v="801"/>
            <x v="828"/>
            <x v="829"/>
            <x v="837"/>
            <x v="861"/>
            <x v="885"/>
            <x v="927"/>
            <x v="928"/>
            <x v="968"/>
            <x v="1016"/>
          </reference>
        </references>
      </pivotArea>
    </format>
    <format dxfId="265">
      <pivotArea dataOnly="0" labelOnly="1" outline="0" fieldPosition="0">
        <references count="1">
          <reference field="1" count="50">
            <x v="1"/>
            <x v="51"/>
            <x v="60"/>
            <x v="65"/>
            <x v="77"/>
            <x v="85"/>
            <x v="93"/>
            <x v="128"/>
            <x v="137"/>
            <x v="138"/>
            <x v="143"/>
            <x v="162"/>
            <x v="220"/>
            <x v="221"/>
            <x v="301"/>
            <x v="304"/>
            <x v="316"/>
            <x v="348"/>
            <x v="357"/>
            <x v="441"/>
            <x v="449"/>
            <x v="492"/>
            <x v="503"/>
            <x v="517"/>
            <x v="526"/>
            <x v="529"/>
            <x v="542"/>
            <x v="598"/>
            <x v="600"/>
            <x v="601"/>
            <x v="618"/>
            <x v="666"/>
            <x v="677"/>
            <x v="739"/>
            <x v="774"/>
            <x v="777"/>
            <x v="853"/>
            <x v="880"/>
            <x v="882"/>
            <x v="888"/>
            <x v="889"/>
            <x v="914"/>
            <x v="964"/>
            <x v="977"/>
            <x v="980"/>
            <x v="981"/>
            <x v="995"/>
            <x v="998"/>
            <x v="1014"/>
            <x v="1036"/>
          </reference>
        </references>
      </pivotArea>
    </format>
    <format dxfId="264">
      <pivotArea dataOnly="0" labelOnly="1" outline="0" fieldPosition="0">
        <references count="1">
          <reference field="1" count="50">
            <x v="69"/>
            <x v="74"/>
            <x v="78"/>
            <x v="84"/>
            <x v="99"/>
            <x v="100"/>
            <x v="144"/>
            <x v="150"/>
            <x v="168"/>
            <x v="185"/>
            <x v="211"/>
            <x v="214"/>
            <x v="265"/>
            <x v="306"/>
            <x v="328"/>
            <x v="346"/>
            <x v="362"/>
            <x v="363"/>
            <x v="375"/>
            <x v="402"/>
            <x v="417"/>
            <x v="433"/>
            <x v="452"/>
            <x v="464"/>
            <x v="489"/>
            <x v="493"/>
            <x v="538"/>
            <x v="539"/>
            <x v="573"/>
            <x v="581"/>
            <x v="583"/>
            <x v="641"/>
            <x v="645"/>
            <x v="655"/>
            <x v="678"/>
            <x v="690"/>
            <x v="700"/>
            <x v="740"/>
            <x v="748"/>
            <x v="808"/>
            <x v="811"/>
            <x v="857"/>
            <x v="884"/>
            <x v="929"/>
            <x v="960"/>
            <x v="967"/>
            <x v="992"/>
            <x v="994"/>
            <x v="1028"/>
            <x v="1034"/>
          </reference>
        </references>
      </pivotArea>
    </format>
    <format dxfId="263">
      <pivotArea dataOnly="0" labelOnly="1" outline="0" fieldPosition="0">
        <references count="1">
          <reference field="1" count="50">
            <x v="3"/>
            <x v="12"/>
            <x v="20"/>
            <x v="22"/>
            <x v="38"/>
            <x v="88"/>
            <x v="118"/>
            <x v="142"/>
            <x v="157"/>
            <x v="175"/>
            <x v="202"/>
            <x v="237"/>
            <x v="283"/>
            <x v="313"/>
            <x v="326"/>
            <x v="350"/>
            <x v="361"/>
            <x v="370"/>
            <x v="376"/>
            <x v="455"/>
            <x v="460"/>
            <x v="471"/>
            <x v="500"/>
            <x v="507"/>
            <x v="525"/>
            <x v="543"/>
            <x v="593"/>
            <x v="602"/>
            <x v="604"/>
            <x v="623"/>
            <x v="624"/>
            <x v="632"/>
            <x v="637"/>
            <x v="648"/>
            <x v="696"/>
            <x v="732"/>
            <x v="747"/>
            <x v="807"/>
            <x v="812"/>
            <x v="815"/>
            <x v="816"/>
            <x v="890"/>
            <x v="916"/>
            <x v="926"/>
            <x v="958"/>
            <x v="961"/>
            <x v="979"/>
            <x v="1025"/>
            <x v="1031"/>
            <x v="1039"/>
          </reference>
        </references>
      </pivotArea>
    </format>
    <format dxfId="262">
      <pivotArea dataOnly="0" labelOnly="1" outline="0" fieldPosition="0">
        <references count="1">
          <reference field="1" count="50">
            <x v="25"/>
            <x v="45"/>
            <x v="79"/>
            <x v="87"/>
            <x v="167"/>
            <x v="170"/>
            <x v="186"/>
            <x v="188"/>
            <x v="199"/>
            <x v="215"/>
            <x v="229"/>
            <x v="242"/>
            <x v="275"/>
            <x v="308"/>
            <x v="349"/>
            <x v="355"/>
            <x v="372"/>
            <x v="405"/>
            <x v="413"/>
            <x v="451"/>
            <x v="458"/>
            <x v="521"/>
            <x v="554"/>
            <x v="595"/>
            <x v="621"/>
            <x v="622"/>
            <x v="631"/>
            <x v="664"/>
            <x v="672"/>
            <x v="675"/>
            <x v="737"/>
            <x v="776"/>
            <x v="781"/>
            <x v="794"/>
            <x v="799"/>
            <x v="802"/>
            <x v="803"/>
            <x v="834"/>
            <x v="841"/>
            <x v="895"/>
            <x v="904"/>
            <x v="942"/>
            <x v="952"/>
            <x v="975"/>
            <x v="993"/>
            <x v="997"/>
            <x v="1027"/>
            <x v="1035"/>
            <x v="1038"/>
            <x v="1040"/>
          </reference>
        </references>
      </pivotArea>
    </format>
    <format dxfId="261">
      <pivotArea dataOnly="0" labelOnly="1" outline="0" fieldPosition="0">
        <references count="1">
          <reference field="1" count="50">
            <x v="4"/>
            <x v="9"/>
            <x v="47"/>
            <x v="50"/>
            <x v="52"/>
            <x v="89"/>
            <x v="120"/>
            <x v="124"/>
            <x v="152"/>
            <x v="163"/>
            <x v="166"/>
            <x v="213"/>
            <x v="219"/>
            <x v="244"/>
            <x v="248"/>
            <x v="259"/>
            <x v="282"/>
            <x v="302"/>
            <x v="327"/>
            <x v="353"/>
            <x v="381"/>
            <x v="397"/>
            <x v="404"/>
            <x v="406"/>
            <x v="427"/>
            <x v="453"/>
            <x v="476"/>
            <x v="498"/>
            <x v="502"/>
            <x v="514"/>
            <x v="544"/>
            <x v="576"/>
            <x v="619"/>
            <x v="625"/>
            <x v="681"/>
            <x v="697"/>
            <x v="735"/>
            <x v="745"/>
            <x v="749"/>
            <x v="754"/>
            <x v="775"/>
            <x v="806"/>
            <x v="839"/>
            <x v="863"/>
            <x v="930"/>
            <x v="931"/>
            <x v="935"/>
            <x v="976"/>
            <x v="1000"/>
            <x v="1023"/>
          </reference>
        </references>
      </pivotArea>
    </format>
    <format dxfId="260">
      <pivotArea dataOnly="0" labelOnly="1" outline="0" fieldPosition="0">
        <references count="1">
          <reference field="1" count="50">
            <x v="11"/>
            <x v="36"/>
            <x v="39"/>
            <x v="53"/>
            <x v="81"/>
            <x v="95"/>
            <x v="97"/>
            <x v="101"/>
            <x v="119"/>
            <x v="121"/>
            <x v="122"/>
            <x v="133"/>
            <x v="153"/>
            <x v="156"/>
            <x v="161"/>
            <x v="169"/>
            <x v="171"/>
            <x v="173"/>
            <x v="179"/>
            <x v="194"/>
            <x v="251"/>
            <x v="318"/>
            <x v="342"/>
            <x v="368"/>
            <x v="424"/>
            <x v="436"/>
            <x v="465"/>
            <x v="466"/>
            <x v="528"/>
            <x v="531"/>
            <x v="536"/>
            <x v="561"/>
            <x v="570"/>
            <x v="582"/>
            <x v="585"/>
            <x v="617"/>
            <x v="717"/>
            <x v="729"/>
            <x v="733"/>
            <x v="744"/>
            <x v="767"/>
            <x v="784"/>
            <x v="800"/>
            <x v="865"/>
            <x v="903"/>
            <x v="917"/>
            <x v="939"/>
            <x v="969"/>
            <x v="970"/>
            <x v="1007"/>
          </reference>
        </references>
      </pivotArea>
    </format>
    <format dxfId="259">
      <pivotArea dataOnly="0" labelOnly="1" outline="0" fieldPosition="0">
        <references count="1">
          <reference field="1" count="50">
            <x v="46"/>
            <x v="57"/>
            <x v="67"/>
            <x v="80"/>
            <x v="107"/>
            <x v="109"/>
            <x v="112"/>
            <x v="125"/>
            <x v="184"/>
            <x v="204"/>
            <x v="206"/>
            <x v="210"/>
            <x v="212"/>
            <x v="222"/>
            <x v="246"/>
            <x v="257"/>
            <x v="307"/>
            <x v="309"/>
            <x v="340"/>
            <x v="359"/>
            <x v="387"/>
            <x v="425"/>
            <x v="450"/>
            <x v="456"/>
            <x v="459"/>
            <x v="463"/>
            <x v="553"/>
            <x v="560"/>
            <x v="575"/>
            <x v="587"/>
            <x v="616"/>
            <x v="633"/>
            <x v="638"/>
            <x v="643"/>
            <x v="669"/>
            <x v="676"/>
            <x v="701"/>
            <x v="704"/>
            <x v="718"/>
            <x v="750"/>
            <x v="765"/>
            <x v="804"/>
            <x v="821"/>
            <x v="830"/>
            <x v="842"/>
            <x v="848"/>
            <x v="905"/>
            <x v="937"/>
            <x v="1002"/>
            <x v="1041"/>
          </reference>
        </references>
      </pivotArea>
    </format>
    <format dxfId="258">
      <pivotArea dataOnly="0" labelOnly="1" outline="0" fieldPosition="0">
        <references count="1">
          <reference field="1" count="50">
            <x v="19"/>
            <x v="40"/>
            <x v="68"/>
            <x v="72"/>
            <x v="86"/>
            <x v="92"/>
            <x v="105"/>
            <x v="106"/>
            <x v="108"/>
            <x v="130"/>
            <x v="178"/>
            <x v="192"/>
            <x v="225"/>
            <x v="252"/>
            <x v="255"/>
            <x v="258"/>
            <x v="296"/>
            <x v="299"/>
            <x v="354"/>
            <x v="398"/>
            <x v="428"/>
            <x v="432"/>
            <x v="437"/>
            <x v="438"/>
            <x v="443"/>
            <x v="468"/>
            <x v="547"/>
            <x v="574"/>
            <x v="584"/>
            <x v="588"/>
            <x v="589"/>
            <x v="698"/>
            <x v="705"/>
            <x v="708"/>
            <x v="722"/>
            <x v="738"/>
            <x v="755"/>
            <x v="762"/>
            <x v="766"/>
            <x v="773"/>
            <x v="847"/>
            <x v="878"/>
            <x v="922"/>
            <x v="949"/>
            <x v="966"/>
            <x v="1001"/>
            <x v="1004"/>
            <x v="1021"/>
            <x v="1042"/>
            <x v="1045"/>
          </reference>
        </references>
      </pivotArea>
    </format>
    <format dxfId="257">
      <pivotArea dataOnly="0" labelOnly="1" outline="0" fieldPosition="0">
        <references count="1">
          <reference field="1" count="50">
            <x v="0"/>
            <x v="13"/>
            <x v="18"/>
            <x v="59"/>
            <x v="111"/>
            <x v="113"/>
            <x v="116"/>
            <x v="140"/>
            <x v="172"/>
            <x v="177"/>
            <x v="193"/>
            <x v="234"/>
            <x v="240"/>
            <x v="266"/>
            <x v="267"/>
            <x v="278"/>
            <x v="279"/>
            <x v="288"/>
            <x v="351"/>
            <x v="399"/>
            <x v="410"/>
            <x v="422"/>
            <x v="515"/>
            <x v="518"/>
            <x v="546"/>
            <x v="591"/>
            <x v="626"/>
            <x v="628"/>
            <x v="680"/>
            <x v="687"/>
            <x v="699"/>
            <x v="703"/>
            <x v="805"/>
            <x v="809"/>
            <x v="844"/>
            <x v="845"/>
            <x v="864"/>
            <x v="891"/>
            <x v="892"/>
            <x v="893"/>
            <x v="906"/>
            <x v="920"/>
            <x v="934"/>
            <x v="936"/>
            <x v="972"/>
            <x v="983"/>
            <x v="985"/>
            <x v="1003"/>
            <x v="1005"/>
            <x v="1017"/>
          </reference>
        </references>
      </pivotArea>
    </format>
    <format dxfId="256">
      <pivotArea dataOnly="0" labelOnly="1" outline="0" fieldPosition="0">
        <references count="1">
          <reference field="1" count="50">
            <x v="30"/>
            <x v="49"/>
            <x v="66"/>
            <x v="82"/>
            <x v="96"/>
            <x v="102"/>
            <x v="114"/>
            <x v="147"/>
            <x v="148"/>
            <x v="149"/>
            <x v="226"/>
            <x v="228"/>
            <x v="230"/>
            <x v="241"/>
            <x v="262"/>
            <x v="310"/>
            <x v="331"/>
            <x v="382"/>
            <x v="383"/>
            <x v="393"/>
            <x v="396"/>
            <x v="407"/>
            <x v="444"/>
            <x v="445"/>
            <x v="454"/>
            <x v="481"/>
            <x v="485"/>
            <x v="522"/>
            <x v="527"/>
            <x v="548"/>
            <x v="571"/>
            <x v="592"/>
            <x v="630"/>
            <x v="651"/>
            <x v="665"/>
            <x v="686"/>
            <x v="695"/>
            <x v="706"/>
            <x v="779"/>
            <x v="787"/>
            <x v="810"/>
            <x v="818"/>
            <x v="876"/>
            <x v="897"/>
            <x v="963"/>
            <x v="984"/>
            <x v="991"/>
            <x v="999"/>
            <x v="1006"/>
            <x v="1020"/>
          </reference>
        </references>
      </pivotArea>
    </format>
    <format dxfId="255">
      <pivotArea dataOnly="0" labelOnly="1" outline="0" fieldPosition="0">
        <references count="1">
          <reference field="1" count="50">
            <x v="5"/>
            <x v="10"/>
            <x v="14"/>
            <x v="32"/>
            <x v="41"/>
            <x v="61"/>
            <x v="98"/>
            <x v="115"/>
            <x v="131"/>
            <x v="151"/>
            <x v="176"/>
            <x v="201"/>
            <x v="223"/>
            <x v="293"/>
            <x v="414"/>
            <x v="435"/>
            <x v="495"/>
            <x v="496"/>
            <x v="508"/>
            <x v="540"/>
            <x v="559"/>
            <x v="566"/>
            <x v="594"/>
            <x v="609"/>
            <x v="610"/>
            <x v="640"/>
            <x v="654"/>
            <x v="668"/>
            <x v="674"/>
            <x v="679"/>
            <x v="688"/>
            <x v="716"/>
            <x v="719"/>
            <x v="727"/>
            <x v="734"/>
            <x v="783"/>
            <x v="785"/>
            <x v="796"/>
            <x v="817"/>
            <x v="820"/>
            <x v="852"/>
            <x v="854"/>
            <x v="855"/>
            <x v="868"/>
            <x v="869"/>
            <x v="875"/>
            <x v="886"/>
            <x v="896"/>
            <x v="899"/>
            <x v="956"/>
          </reference>
        </references>
      </pivotArea>
    </format>
    <format dxfId="254">
      <pivotArea dataOnly="0" labelOnly="1" outline="0" fieldPosition="0">
        <references count="1">
          <reference field="1" count="50">
            <x v="64"/>
            <x v="104"/>
            <x v="129"/>
            <x v="180"/>
            <x v="183"/>
            <x v="196"/>
            <x v="209"/>
            <x v="216"/>
            <x v="245"/>
            <x v="268"/>
            <x v="276"/>
            <x v="295"/>
            <x v="303"/>
            <x v="341"/>
            <x v="356"/>
            <x v="386"/>
            <x v="484"/>
            <x v="490"/>
            <x v="534"/>
            <x v="535"/>
            <x v="565"/>
            <x v="572"/>
            <x v="614"/>
            <x v="627"/>
            <x v="653"/>
            <x v="659"/>
            <x v="684"/>
            <x v="685"/>
            <x v="694"/>
            <x v="702"/>
            <x v="731"/>
            <x v="736"/>
            <x v="768"/>
            <x v="770"/>
            <x v="792"/>
            <x v="793"/>
            <x v="798"/>
            <x v="813"/>
            <x v="814"/>
            <x v="840"/>
            <x v="856"/>
            <x v="877"/>
            <x v="913"/>
            <x v="915"/>
            <x v="919"/>
            <x v="971"/>
            <x v="1026"/>
            <x v="1043"/>
            <x v="1044"/>
            <x v="1046"/>
          </reference>
        </references>
      </pivotArea>
    </format>
    <format dxfId="253">
      <pivotArea dataOnly="0" labelOnly="1" outline="0" fieldPosition="0">
        <references count="1">
          <reference field="1" count="50">
            <x v="8"/>
            <x v="15"/>
            <x v="21"/>
            <x v="23"/>
            <x v="29"/>
            <x v="91"/>
            <x v="117"/>
            <x v="127"/>
            <x v="158"/>
            <x v="160"/>
            <x v="164"/>
            <x v="224"/>
            <x v="243"/>
            <x v="249"/>
            <x v="256"/>
            <x v="277"/>
            <x v="286"/>
            <x v="312"/>
            <x v="378"/>
            <x v="384"/>
            <x v="400"/>
            <x v="448"/>
            <x v="461"/>
            <x v="467"/>
            <x v="470"/>
            <x v="494"/>
            <x v="523"/>
            <x v="567"/>
            <x v="613"/>
            <x v="629"/>
            <x v="635"/>
            <x v="656"/>
            <x v="741"/>
            <x v="753"/>
            <x v="778"/>
            <x v="819"/>
            <x v="827"/>
            <x v="866"/>
            <x v="873"/>
            <x v="898"/>
            <x v="900"/>
            <x v="909"/>
            <x v="925"/>
            <x v="932"/>
            <x v="938"/>
            <x v="940"/>
            <x v="957"/>
            <x v="962"/>
            <x v="1018"/>
            <x v="1032"/>
          </reference>
        </references>
      </pivotArea>
    </format>
    <format dxfId="252">
      <pivotArea dataOnly="0" labelOnly="1" outline="0" fieldPosition="0">
        <references count="1">
          <reference field="1" count="50">
            <x v="6"/>
            <x v="16"/>
            <x v="24"/>
            <x v="27"/>
            <x v="28"/>
            <x v="37"/>
            <x v="103"/>
            <x v="154"/>
            <x v="182"/>
            <x v="189"/>
            <x v="190"/>
            <x v="233"/>
            <x v="273"/>
            <x v="280"/>
            <x v="284"/>
            <x v="291"/>
            <x v="314"/>
            <x v="321"/>
            <x v="322"/>
            <x v="329"/>
            <x v="343"/>
            <x v="358"/>
            <x v="385"/>
            <x v="420"/>
            <x v="423"/>
            <x v="431"/>
            <x v="469"/>
            <x v="478"/>
            <x v="513"/>
            <x v="556"/>
            <x v="564"/>
            <x v="586"/>
            <x v="620"/>
            <x v="649"/>
            <x v="650"/>
            <x v="652"/>
            <x v="671"/>
            <x v="742"/>
            <x v="752"/>
            <x v="757"/>
            <x v="797"/>
            <x v="850"/>
            <x v="901"/>
            <x v="907"/>
            <x v="918"/>
            <x v="950"/>
            <x v="974"/>
            <x v="1008"/>
            <x v="1013"/>
            <x v="1030"/>
          </reference>
        </references>
      </pivotArea>
    </format>
    <format dxfId="251">
      <pivotArea dataOnly="0" labelOnly="1" outline="0" fieldPosition="0">
        <references count="1">
          <reference field="1" count="50">
            <x v="33"/>
            <x v="34"/>
            <x v="35"/>
            <x v="56"/>
            <x v="62"/>
            <x v="73"/>
            <x v="110"/>
            <x v="132"/>
            <x v="203"/>
            <x v="231"/>
            <x v="261"/>
            <x v="274"/>
            <x v="285"/>
            <x v="297"/>
            <x v="325"/>
            <x v="344"/>
            <x v="395"/>
            <x v="411"/>
            <x v="415"/>
            <x v="446"/>
            <x v="462"/>
            <x v="512"/>
            <x v="519"/>
            <x v="537"/>
            <x v="549"/>
            <x v="555"/>
            <x v="558"/>
            <x v="599"/>
            <x v="607"/>
            <x v="611"/>
            <x v="707"/>
            <x v="724"/>
            <x v="725"/>
            <x v="726"/>
            <x v="759"/>
            <x v="771"/>
            <x v="791"/>
            <x v="824"/>
            <x v="867"/>
            <x v="894"/>
            <x v="910"/>
            <x v="954"/>
            <x v="955"/>
            <x v="965"/>
            <x v="1009"/>
            <x v="1011"/>
            <x v="1015"/>
            <x v="1022"/>
            <x v="1047"/>
            <x v="1049"/>
          </reference>
        </references>
      </pivotArea>
    </format>
    <format dxfId="250">
      <pivotArea dataOnly="0" labelOnly="1" outline="0" fieldPosition="0">
        <references count="1">
          <reference field="1" count="50">
            <x v="48"/>
            <x v="54"/>
            <x v="58"/>
            <x v="63"/>
            <x v="126"/>
            <x v="136"/>
            <x v="139"/>
            <x v="165"/>
            <x v="181"/>
            <x v="205"/>
            <x v="272"/>
            <x v="281"/>
            <x v="289"/>
            <x v="298"/>
            <x v="311"/>
            <x v="317"/>
            <x v="323"/>
            <x v="391"/>
            <x v="401"/>
            <x v="408"/>
            <x v="412"/>
            <x v="421"/>
            <x v="482"/>
            <x v="486"/>
            <x v="487"/>
            <x v="501"/>
            <x v="516"/>
            <x v="541"/>
            <x v="545"/>
            <x v="562"/>
            <x v="603"/>
            <x v="608"/>
            <x v="636"/>
            <x v="646"/>
            <x v="721"/>
            <x v="756"/>
            <x v="769"/>
            <x v="780"/>
            <x v="822"/>
            <x v="823"/>
            <x v="849"/>
            <x v="858"/>
            <x v="859"/>
            <x v="911"/>
            <x v="924"/>
            <x v="941"/>
            <x v="951"/>
            <x v="978"/>
            <x v="986"/>
            <x v="996"/>
          </reference>
        </references>
      </pivotArea>
    </format>
    <format dxfId="249">
      <pivotArea dataOnly="0" labelOnly="1" outline="0" fieldPosition="0">
        <references count="1">
          <reference field="1" count="50">
            <x v="26"/>
            <x v="94"/>
            <x v="123"/>
            <x v="159"/>
            <x v="187"/>
            <x v="198"/>
            <x v="217"/>
            <x v="218"/>
            <x v="227"/>
            <x v="232"/>
            <x v="236"/>
            <x v="253"/>
            <x v="287"/>
            <x v="294"/>
            <x v="330"/>
            <x v="367"/>
            <x v="392"/>
            <x v="394"/>
            <x v="426"/>
            <x v="430"/>
            <x v="434"/>
            <x v="509"/>
            <x v="530"/>
            <x v="532"/>
            <x v="551"/>
            <x v="552"/>
            <x v="557"/>
            <x v="568"/>
            <x v="569"/>
            <x v="596"/>
            <x v="597"/>
            <x v="605"/>
            <x v="644"/>
            <x v="647"/>
            <x v="667"/>
            <x v="751"/>
            <x v="758"/>
            <x v="772"/>
            <x v="795"/>
            <x v="860"/>
            <x v="887"/>
            <x v="908"/>
            <x v="923"/>
            <x v="933"/>
            <x v="947"/>
            <x v="948"/>
            <x v="953"/>
            <x v="1012"/>
            <x v="1019"/>
            <x v="1029"/>
          </reference>
        </references>
      </pivotArea>
    </format>
    <format dxfId="248">
      <pivotArea dataOnly="0" labelOnly="1" outline="0" fieldPosition="0">
        <references count="1">
          <reference field="1" count="50">
            <x v="7"/>
            <x v="17"/>
            <x v="31"/>
            <x v="43"/>
            <x v="71"/>
            <x v="83"/>
            <x v="145"/>
            <x v="146"/>
            <x v="155"/>
            <x v="174"/>
            <x v="197"/>
            <x v="235"/>
            <x v="238"/>
            <x v="247"/>
            <x v="250"/>
            <x v="254"/>
            <x v="269"/>
            <x v="319"/>
            <x v="345"/>
            <x v="352"/>
            <x v="377"/>
            <x v="409"/>
            <x v="419"/>
            <x v="442"/>
            <x v="447"/>
            <x v="475"/>
            <x v="483"/>
            <x v="497"/>
            <x v="524"/>
            <x v="550"/>
            <x v="563"/>
            <x v="612"/>
            <x v="615"/>
            <x v="634"/>
            <x v="642"/>
            <x v="670"/>
            <x v="682"/>
            <x v="683"/>
            <x v="720"/>
            <x v="723"/>
            <x v="730"/>
            <x v="763"/>
            <x v="825"/>
            <x v="826"/>
            <x v="851"/>
            <x v="881"/>
            <x v="912"/>
            <x v="959"/>
            <x v="1024"/>
            <x v="1033"/>
          </reference>
        </references>
      </pivotArea>
    </format>
    <format dxfId="247">
      <pivotArea dataOnly="0" labelOnly="1" grandRow="1" outline="0" fieldPosition="0"/>
    </format>
    <format dxfId="246">
      <pivotArea dataOnly="0" labelOnly="1" outline="0" fieldPosition="0">
        <references count="1">
          <reference field="4294967294" count="6">
            <x v="0"/>
            <x v="1"/>
            <x v="2"/>
            <x v="3"/>
            <x v="4"/>
            <x v="5"/>
          </reference>
        </references>
      </pivotArea>
    </format>
  </formats>
  <pivotTableStyleInfo name="PivotStyleMedium8" showRowHeaders="1" showColHeaders="1" showRowStripes="0" showColStripes="1" showLastColumn="1"/>
  <filters count="2">
    <filter fld="2" type="dateBetween" evalOrder="-1" id="70" name="Release Date">
      <autoFilter ref="A1">
        <filterColumn colId="0">
          <customFilters and="1">
            <customFilter operator="greaterThanOrEqual" val="11324"/>
            <customFilter operator="lessThanOrEqual" val="11688"/>
          </customFilters>
        </filterColumn>
      </autoFilter>
      <extLst>
        <ext xmlns:x15="http://schemas.microsoft.com/office/spreadsheetml/2010/11/main" uri="{0605FD5F-26C8-4aeb-8148-2DB25E43C511}">
          <x15:pivotFilter useWholeDay="1"/>
        </ext>
      </extLst>
    </filter>
    <filter fld="1" type="valueGreaterThanOrEqual" evalOrder="-1" id="46" iMeasureFld="3">
      <autoFilter ref="A1">
        <filterColumn colId="0">
          <customFilters>
            <customFilter operator="greaterThanOrEqual" val="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1F7545-0B83-49D8-818A-3D0E01C73252}" name="PivotTable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4:R19" firstHeaderRow="0" firstDataRow="1" firstDataCol="1"/>
  <pivotFields count="16">
    <pivotField showAll="0"/>
    <pivotField multipleItemSelectionAllowed="1" showAll="0" sortType="descending">
      <autoSortScope>
        <pivotArea dataOnly="0" outline="0" fieldPosition="0">
          <references count="1">
            <reference field="4294967294" count="1" selected="0">
              <x v="0"/>
            </reference>
          </references>
        </pivotArea>
      </autoSortScope>
    </pivotField>
    <pivotField axis="axisRow" numFmtId="14" showAll="0">
      <items count="1015">
        <item x="733"/>
        <item x="732"/>
        <item x="731"/>
        <item x="760"/>
        <item x="730"/>
        <item x="423"/>
        <item x="163"/>
        <item x="729"/>
        <item x="757"/>
        <item x="754"/>
        <item x="756"/>
        <item x="728"/>
        <item x="755"/>
        <item x="160"/>
        <item x="727"/>
        <item x="762"/>
        <item x="726"/>
        <item x="725"/>
        <item x="724"/>
        <item x="759"/>
        <item x="1009"/>
        <item x="723"/>
        <item x="722"/>
        <item x="166"/>
        <item x="165"/>
        <item x="761"/>
        <item x="167"/>
        <item x="763"/>
        <item x="1003"/>
        <item x="850"/>
        <item x="164"/>
        <item x="168"/>
        <item x="765"/>
        <item x="764"/>
        <item x="721"/>
        <item x="1010"/>
        <item x="718"/>
        <item x="720"/>
        <item x="65"/>
        <item x="719"/>
        <item x="714"/>
        <item x="717"/>
        <item x="1008"/>
        <item x="715"/>
        <item x="716"/>
        <item x="1004"/>
        <item x="713"/>
        <item x="158"/>
        <item x="159"/>
        <item x="711"/>
        <item x="710"/>
        <item x="999"/>
        <item x="712"/>
        <item x="709"/>
        <item x="708"/>
        <item x="61"/>
        <item x="1005"/>
        <item x="71"/>
        <item x="707"/>
        <item x="706"/>
        <item x="704"/>
        <item x="1002"/>
        <item x="705"/>
        <item x="702"/>
        <item x="701"/>
        <item x="703"/>
        <item x="700"/>
        <item x="699"/>
        <item x="418"/>
        <item x="1001"/>
        <item x="989"/>
        <item x="89"/>
        <item x="698"/>
        <item x="157"/>
        <item x="697"/>
        <item x="849"/>
        <item x="694"/>
        <item x="696"/>
        <item x="695"/>
        <item x="691"/>
        <item x="1006"/>
        <item x="693"/>
        <item x="692"/>
        <item x="690"/>
        <item x="851"/>
        <item x="686"/>
        <item x="689"/>
        <item x="685"/>
        <item x="911"/>
        <item x="688"/>
        <item x="687"/>
        <item x="684"/>
        <item x="758"/>
        <item x="156"/>
        <item x="682"/>
        <item x="683"/>
        <item x="877"/>
        <item x="162"/>
        <item x="72"/>
        <item x="679"/>
        <item x="125"/>
        <item x="680"/>
        <item x="155"/>
        <item x="681"/>
        <item x="675"/>
        <item x="678"/>
        <item x="674"/>
        <item x="229"/>
        <item x="878"/>
        <item x="124"/>
        <item x="676"/>
        <item x="677"/>
        <item x="202"/>
        <item x="197"/>
        <item x="154"/>
        <item x="58"/>
        <item x="421"/>
        <item x="673"/>
        <item x="671"/>
        <item x="1007"/>
        <item x="672"/>
        <item x="59"/>
        <item x="117"/>
        <item x="153"/>
        <item x="998"/>
        <item x="57"/>
        <item x="670"/>
        <item x="230"/>
        <item x="116"/>
        <item x="412"/>
        <item x="668"/>
        <item x="667"/>
        <item x="666"/>
        <item x="665"/>
        <item x="150"/>
        <item x="663"/>
        <item x="853"/>
        <item x="152"/>
        <item x="669"/>
        <item x="854"/>
        <item x="151"/>
        <item x="664"/>
        <item x="200"/>
        <item x="60"/>
        <item x="662"/>
        <item x="659"/>
        <item x="872"/>
        <item x="660"/>
        <item x="661"/>
        <item x="658"/>
        <item x="118"/>
        <item x="656"/>
        <item x="657"/>
        <item x="855"/>
        <item x="64"/>
        <item x="655"/>
        <item x="39"/>
        <item x="149"/>
        <item x="653"/>
        <item x="652"/>
        <item x="826"/>
        <item x="119"/>
        <item x="148"/>
        <item x="654"/>
        <item x="876"/>
        <item x="651"/>
        <item x="40"/>
        <item x="648"/>
        <item x="650"/>
        <item x="649"/>
        <item x="875"/>
        <item x="41"/>
        <item x="120"/>
        <item x="43"/>
        <item x="645"/>
        <item x="400"/>
        <item x="886"/>
        <item x="647"/>
        <item x="646"/>
        <item x="644"/>
        <item x="637"/>
        <item x="643"/>
        <item x="642"/>
        <item x="640"/>
        <item x="198"/>
        <item x="641"/>
        <item x="638"/>
        <item x="639"/>
        <item x="121"/>
        <item x="636"/>
        <item x="169"/>
        <item x="147"/>
        <item x="633"/>
        <item x="146"/>
        <item x="635"/>
        <item x="634"/>
        <item x="885"/>
        <item x="628"/>
        <item x="629"/>
        <item x="632"/>
        <item x="856"/>
        <item x="627"/>
        <item x="630"/>
        <item x="392"/>
        <item x="631"/>
        <item x="816"/>
        <item x="201"/>
        <item x="626"/>
        <item x="410"/>
        <item x="622"/>
        <item x="145"/>
        <item x="625"/>
        <item x="887"/>
        <item x="115"/>
        <item x="996"/>
        <item x="623"/>
        <item x="624"/>
        <item x="42"/>
        <item x="617"/>
        <item x="874"/>
        <item x="144"/>
        <item x="618"/>
        <item x="620"/>
        <item x="621"/>
        <item x="338"/>
        <item x="619"/>
        <item x="3"/>
        <item x="413"/>
        <item x="616"/>
        <item x="612"/>
        <item x="106"/>
        <item x="611"/>
        <item x="613"/>
        <item x="170"/>
        <item x="614"/>
        <item x="364"/>
        <item x="615"/>
        <item x="610"/>
        <item x="62"/>
        <item x="871"/>
        <item x="393"/>
        <item x="196"/>
        <item x="609"/>
        <item x="605"/>
        <item x="608"/>
        <item x="607"/>
        <item x="398"/>
        <item x="199"/>
        <item x="604"/>
        <item x="606"/>
        <item x="603"/>
        <item x="142"/>
        <item x="141"/>
        <item x="193"/>
        <item x="171"/>
        <item x="602"/>
        <item x="107"/>
        <item x="143"/>
        <item x="601"/>
        <item x="34"/>
        <item x="4"/>
        <item x="814"/>
        <item x="9"/>
        <item x="598"/>
        <item x="409"/>
        <item x="411"/>
        <item x="600"/>
        <item x="377"/>
        <item x="597"/>
        <item x="108"/>
        <item x="599"/>
        <item x="596"/>
        <item x="888"/>
        <item x="592"/>
        <item x="367"/>
        <item x="594"/>
        <item x="379"/>
        <item x="593"/>
        <item x="231"/>
        <item x="595"/>
        <item x="363"/>
        <item x="390"/>
        <item x="590"/>
        <item x="589"/>
        <item x="591"/>
        <item x="37"/>
        <item x="376"/>
        <item x="397"/>
        <item x="374"/>
        <item x="587"/>
        <item x="588"/>
        <item x="766"/>
        <item x="417"/>
        <item x="586"/>
        <item x="898"/>
        <item x="579"/>
        <item x="63"/>
        <item x="584"/>
        <item x="582"/>
        <item x="416"/>
        <item x="73"/>
        <item x="5"/>
        <item x="812"/>
        <item x="1000"/>
        <item x="580"/>
        <item x="585"/>
        <item x="583"/>
        <item x="944"/>
        <item x="581"/>
        <item x="1011"/>
        <item x="574"/>
        <item x="811"/>
        <item x="578"/>
        <item x="576"/>
        <item x="205"/>
        <item x="399"/>
        <item x="2"/>
        <item x="889"/>
        <item x="391"/>
        <item x="857"/>
        <item x="577"/>
        <item x="575"/>
        <item x="403"/>
        <item x="571"/>
        <item x="568"/>
        <item x="387"/>
        <item x="573"/>
        <item x="194"/>
        <item x="105"/>
        <item x="882"/>
        <item x="985"/>
        <item x="572"/>
        <item x="567"/>
        <item x="870"/>
        <item x="935"/>
        <item x="381"/>
        <item x="566"/>
        <item x="827"/>
        <item x="570"/>
        <item x="569"/>
        <item x="847"/>
        <item x="565"/>
        <item x="896"/>
        <item x="1"/>
        <item x="810"/>
        <item x="318"/>
        <item x="561"/>
        <item x="858"/>
        <item x="378"/>
        <item x="564"/>
        <item x="890"/>
        <item x="563"/>
        <item x="562"/>
        <item x="407"/>
        <item x="560"/>
        <item x="909"/>
        <item x="846"/>
        <item x="352"/>
        <item x="556"/>
        <item x="375"/>
        <item x="104"/>
        <item x="557"/>
        <item x="554"/>
        <item x="404"/>
        <item x="316"/>
        <item x="845"/>
        <item x="945"/>
        <item x="555"/>
        <item x="558"/>
        <item x="359"/>
        <item x="559"/>
        <item x="373"/>
        <item x="552"/>
        <item x="553"/>
        <item x="358"/>
        <item x="327"/>
        <item x="967"/>
        <item x="321"/>
        <item x="550"/>
        <item x="984"/>
        <item x="986"/>
        <item x="844"/>
        <item x="385"/>
        <item x="838"/>
        <item x="396"/>
        <item x="551"/>
        <item x="383"/>
        <item x="545"/>
        <item x="946"/>
        <item x="549"/>
        <item x="349"/>
        <item x="936"/>
        <item x="910"/>
        <item x="548"/>
        <item x="843"/>
        <item x="281"/>
        <item x="547"/>
        <item x="543"/>
        <item x="380"/>
        <item x="544"/>
        <item x="546"/>
        <item x="45"/>
        <item x="542"/>
        <item x="49"/>
        <item x="537"/>
        <item x="344"/>
        <item x="540"/>
        <item x="355"/>
        <item x="538"/>
        <item x="44"/>
        <item x="842"/>
        <item x="852"/>
        <item x="366"/>
        <item x="357"/>
        <item x="983"/>
        <item x="824"/>
        <item x="422"/>
        <item x="869"/>
        <item x="541"/>
        <item x="536"/>
        <item x="535"/>
        <item x="539"/>
        <item x="532"/>
        <item x="232"/>
        <item x="328"/>
        <item x="531"/>
        <item x="1012"/>
        <item x="293"/>
        <item x="356"/>
        <item x="778"/>
        <item x="53"/>
        <item x="891"/>
        <item x="868"/>
        <item x="981"/>
        <item x="530"/>
        <item x="388"/>
        <item x="534"/>
        <item x="533"/>
        <item x="123"/>
        <item x="183"/>
        <item x="526"/>
        <item x="525"/>
        <item x="523"/>
        <item x="285"/>
        <item x="524"/>
        <item x="329"/>
        <item x="20"/>
        <item x="840"/>
        <item x="414"/>
        <item x="883"/>
        <item x="823"/>
        <item x="529"/>
        <item x="362"/>
        <item x="807"/>
        <item x="867"/>
        <item x="527"/>
        <item x="38"/>
        <item x="1013"/>
        <item x="993"/>
        <item x="78"/>
        <item x="339"/>
        <item x="312"/>
        <item x="521"/>
        <item x="520"/>
        <item x="519"/>
        <item x="323"/>
        <item x="237"/>
        <item x="290"/>
        <item x="419"/>
        <item x="372"/>
        <item x="939"/>
        <item x="369"/>
        <item x="518"/>
        <item x="103"/>
        <item x="111"/>
        <item x="522"/>
        <item x="982"/>
        <item x="395"/>
        <item x="779"/>
        <item x="114"/>
        <item x="415"/>
        <item x="512"/>
        <item x="298"/>
        <item x="307"/>
        <item x="513"/>
        <item x="516"/>
        <item x="304"/>
        <item x="515"/>
        <item x="211"/>
        <item x="806"/>
        <item x="353"/>
        <item x="514"/>
        <item x="322"/>
        <item x="517"/>
        <item x="528"/>
        <item x="510"/>
        <item x="884"/>
        <item x="19"/>
        <item x="508"/>
        <item x="511"/>
        <item x="780"/>
        <item x="288"/>
        <item x="509"/>
        <item x="331"/>
        <item x="947"/>
        <item x="140"/>
        <item x="966"/>
        <item x="184"/>
        <item x="828"/>
        <item x="100"/>
        <item x="905"/>
        <item x="235"/>
        <item x="913"/>
        <item x="837"/>
        <item x="299"/>
        <item x="503"/>
        <item x="330"/>
        <item x="506"/>
        <item x="507"/>
        <item x="249"/>
        <item x="248"/>
        <item x="504"/>
        <item x="324"/>
        <item x="753"/>
        <item x="354"/>
        <item x="212"/>
        <item x="873"/>
        <item x="505"/>
        <item x="139"/>
        <item x="365"/>
        <item x="317"/>
        <item x="342"/>
        <item x="502"/>
        <item x="269"/>
        <item x="138"/>
        <item x="326"/>
        <item x="501"/>
        <item x="195"/>
        <item x="402"/>
        <item x="325"/>
        <item x="805"/>
        <item x="319"/>
        <item x="500"/>
        <item x="97"/>
        <item x="113"/>
        <item x="767"/>
        <item x="284"/>
        <item x="496"/>
        <item x="266"/>
        <item x="345"/>
        <item x="264"/>
        <item x="11"/>
        <item x="499"/>
        <item x="859"/>
        <item x="305"/>
        <item x="213"/>
        <item x="420"/>
        <item x="927"/>
        <item x="384"/>
        <item x="498"/>
        <item x="804"/>
        <item x="819"/>
        <item x="497"/>
        <item x="210"/>
        <item x="68"/>
        <item x="309"/>
        <item x="294"/>
        <item x="495"/>
        <item x="21"/>
        <item x="493"/>
        <item x="795"/>
        <item x="350"/>
        <item x="238"/>
        <item x="829"/>
        <item x="22"/>
        <item x="494"/>
        <item x="920"/>
        <item x="254"/>
        <item x="66"/>
        <item x="895"/>
        <item x="914"/>
        <item x="768"/>
        <item x="99"/>
        <item x="75"/>
        <item x="301"/>
        <item x="278"/>
        <item x="287"/>
        <item x="803"/>
        <item x="268"/>
        <item x="272"/>
        <item x="492"/>
        <item x="347"/>
        <item x="8"/>
        <item x="233"/>
        <item x="267"/>
        <item x="963"/>
        <item x="332"/>
        <item x="250"/>
        <item x="280"/>
        <item x="300"/>
        <item x="940"/>
        <item x="491"/>
        <item x="320"/>
        <item x="7"/>
        <item x="24"/>
        <item x="10"/>
        <item x="112"/>
        <item x="70"/>
        <item x="69"/>
        <item x="102"/>
        <item x="96"/>
        <item x="979"/>
        <item x="394"/>
        <item x="77"/>
        <item x="286"/>
        <item x="830"/>
        <item x="337"/>
        <item x="90"/>
        <item x="351"/>
        <item x="769"/>
        <item x="915"/>
        <item x="306"/>
        <item x="259"/>
        <item x="297"/>
        <item x="488"/>
        <item x="406"/>
        <item x="820"/>
        <item x="489"/>
        <item x="262"/>
        <item x="490"/>
        <item x="382"/>
        <item x="948"/>
        <item x="191"/>
        <item x="335"/>
        <item x="343"/>
        <item x="271"/>
        <item x="256"/>
        <item x="929"/>
        <item x="263"/>
        <item x="921"/>
        <item x="76"/>
        <item x="781"/>
        <item x="957"/>
        <item x="334"/>
        <item x="386"/>
        <item x="333"/>
        <item x="122"/>
        <item x="968"/>
        <item x="341"/>
        <item x="346"/>
        <item x="244"/>
        <item x="12"/>
        <item x="261"/>
        <item x="98"/>
        <item x="274"/>
        <item x="831"/>
        <item x="252"/>
        <item x="916"/>
        <item x="83"/>
        <item x="279"/>
        <item x="292"/>
        <item x="401"/>
        <item x="282"/>
        <item x="314"/>
        <item x="389"/>
        <item x="54"/>
        <item x="33"/>
        <item x="173"/>
        <item x="486"/>
        <item x="26"/>
        <item x="866"/>
        <item x="487"/>
        <item x="277"/>
        <item x="371"/>
        <item x="791"/>
        <item x="23"/>
        <item x="295"/>
        <item x="485"/>
        <item x="308"/>
        <item x="360"/>
        <item x="275"/>
        <item x="900"/>
        <item x="270"/>
        <item x="484"/>
        <item x="174"/>
        <item x="276"/>
        <item x="245"/>
        <item x="257"/>
        <item x="246"/>
        <item x="48"/>
        <item x="25"/>
        <item x="253"/>
        <item x="92"/>
        <item x="291"/>
        <item x="368"/>
        <item x="361"/>
        <item x="95"/>
        <item x="137"/>
        <item x="405"/>
        <item x="74"/>
        <item x="303"/>
        <item x="84"/>
        <item x="313"/>
        <item x="192"/>
        <item x="36"/>
        <item x="35"/>
        <item x="481"/>
        <item x="265"/>
        <item x="260"/>
        <item x="813"/>
        <item x="789"/>
        <item x="483"/>
        <item x="247"/>
        <item x="234"/>
        <item x="255"/>
        <item x="938"/>
        <item x="172"/>
        <item x="310"/>
        <item x="302"/>
        <item x="296"/>
        <item x="289"/>
        <item x="348"/>
        <item x="109"/>
        <item x="127"/>
        <item x="101"/>
        <item x="0"/>
        <item x="340"/>
        <item x="283"/>
        <item x="408"/>
        <item x="482"/>
        <item x="227"/>
        <item x="110"/>
        <item x="336"/>
        <item x="126"/>
        <item x="185"/>
        <item x="251"/>
        <item x="315"/>
        <item x="82"/>
        <item x="242"/>
        <item x="236"/>
        <item x="273"/>
        <item x="239"/>
        <item x="94"/>
        <item x="311"/>
        <item x="990"/>
        <item x="190"/>
        <item x="258"/>
        <item x="786"/>
        <item x="370"/>
        <item x="962"/>
        <item x="241"/>
        <item x="240"/>
        <item x="46"/>
        <item x="243"/>
        <item x="479"/>
        <item x="218"/>
        <item x="220"/>
        <item x="28"/>
        <item x="770"/>
        <item x="477"/>
        <item x="136"/>
        <item x="424"/>
        <item x="474"/>
        <item x="775"/>
        <item x="478"/>
        <item x="134"/>
        <item x="475"/>
        <item x="16"/>
        <item x="839"/>
        <item x="473"/>
        <item x="771"/>
        <item x="179"/>
        <item x="214"/>
        <item x="949"/>
        <item x="480"/>
        <item x="203"/>
        <item x="865"/>
        <item x="135"/>
        <item x="476"/>
        <item x="952"/>
        <item x="91"/>
        <item x="860"/>
        <item x="50"/>
        <item x="17"/>
        <item x="848"/>
        <item x="821"/>
        <item x="27"/>
        <item x="923"/>
        <item x="87"/>
        <item x="881"/>
        <item x="471"/>
        <item x="30"/>
        <item x="906"/>
        <item x="802"/>
        <item x="469"/>
        <item x="472"/>
        <item x="467"/>
        <item x="466"/>
        <item x="132"/>
        <item x="86"/>
        <item x="988"/>
        <item x="175"/>
        <item x="468"/>
        <item x="470"/>
        <item x="88"/>
        <item x="861"/>
        <item x="465"/>
        <item x="31"/>
        <item x="133"/>
        <item x="975"/>
        <item x="29"/>
        <item x="894"/>
        <item x="130"/>
        <item x="189"/>
        <item x="777"/>
        <item x="228"/>
        <item x="51"/>
        <item x="462"/>
        <item x="950"/>
        <item x="460"/>
        <item x="971"/>
        <item x="458"/>
        <item x="461"/>
        <item x="464"/>
        <item x="459"/>
        <item x="206"/>
        <item x="772"/>
        <item x="186"/>
        <item x="223"/>
        <item x="67"/>
        <item x="14"/>
        <item x="131"/>
        <item x="463"/>
        <item x="809"/>
        <item x="974"/>
        <item x="182"/>
        <item x="176"/>
        <item x="226"/>
        <item x="784"/>
        <item x="455"/>
        <item x="47"/>
        <item x="452"/>
        <item x="818"/>
        <item x="454"/>
        <item x="457"/>
        <item x="451"/>
        <item x="129"/>
        <item x="456"/>
        <item x="815"/>
        <item x="224"/>
        <item x="55"/>
        <item x="204"/>
        <item x="864"/>
        <item x="453"/>
        <item x="180"/>
        <item x="954"/>
        <item x="15"/>
        <item x="215"/>
        <item x="822"/>
        <item x="817"/>
        <item x="794"/>
        <item x="987"/>
        <item x="449"/>
        <item x="785"/>
        <item x="443"/>
        <item x="922"/>
        <item x="450"/>
        <item x="943"/>
        <item x="448"/>
        <item x="833"/>
        <item x="980"/>
        <item x="445"/>
        <item x="958"/>
        <item x="447"/>
        <item x="444"/>
        <item x="808"/>
        <item x="773"/>
        <item x="964"/>
        <item x="969"/>
        <item x="209"/>
        <item x="796"/>
        <item x="832"/>
        <item x="128"/>
        <item x="446"/>
        <item x="222"/>
        <item x="907"/>
        <item x="81"/>
        <item x="941"/>
        <item x="926"/>
        <item x="961"/>
        <item x="801"/>
        <item x="953"/>
        <item x="187"/>
        <item x="917"/>
        <item x="880"/>
        <item x="435"/>
        <item x="438"/>
        <item x="836"/>
        <item x="776"/>
        <item x="18"/>
        <item x="924"/>
        <item x="441"/>
        <item x="439"/>
        <item x="436"/>
        <item x="177"/>
        <item x="978"/>
        <item x="792"/>
        <item x="970"/>
        <item x="225"/>
        <item x="221"/>
        <item x="991"/>
        <item x="216"/>
        <item x="440"/>
        <item x="800"/>
        <item x="442"/>
        <item x="93"/>
        <item x="437"/>
        <item x="787"/>
        <item x="434"/>
        <item x="783"/>
        <item x="80"/>
        <item x="893"/>
        <item x="56"/>
        <item x="992"/>
        <item x="32"/>
        <item x="799"/>
        <item x="429"/>
        <item x="431"/>
        <item x="934"/>
        <item x="428"/>
        <item x="427"/>
        <item x="960"/>
        <item x="994"/>
        <item x="425"/>
        <item x="432"/>
        <item x="426"/>
        <item x="774"/>
        <item x="976"/>
        <item x="956"/>
        <item x="933"/>
        <item x="217"/>
        <item x="965"/>
        <item x="955"/>
        <item x="433"/>
        <item x="430"/>
        <item x="862"/>
        <item x="835"/>
        <item x="79"/>
        <item x="951"/>
        <item x="188"/>
        <item x="208"/>
        <item x="972"/>
        <item x="181"/>
        <item x="793"/>
        <item x="790"/>
        <item x="736"/>
        <item x="798"/>
        <item x="737"/>
        <item x="6"/>
        <item x="973"/>
        <item x="738"/>
        <item x="735"/>
        <item x="918"/>
        <item x="739"/>
        <item x="797"/>
        <item x="959"/>
        <item x="977"/>
        <item x="740"/>
        <item x="942"/>
        <item x="219"/>
        <item x="178"/>
        <item x="742"/>
        <item x="825"/>
        <item x="85"/>
        <item x="161"/>
        <item x="741"/>
        <item x="937"/>
        <item x="908"/>
        <item x="52"/>
        <item x="734"/>
        <item x="841"/>
        <item x="897"/>
        <item x="13"/>
        <item x="749"/>
        <item x="782"/>
        <item x="904"/>
        <item x="747"/>
        <item x="745"/>
        <item x="746"/>
        <item x="743"/>
        <item x="751"/>
        <item x="834"/>
        <item x="899"/>
        <item x="744"/>
        <item x="901"/>
        <item x="879"/>
        <item x="748"/>
        <item x="902"/>
        <item x="903"/>
        <item x="995"/>
        <item x="750"/>
        <item x="997"/>
        <item x="863"/>
        <item x="912"/>
        <item x="788"/>
        <item x="919"/>
        <item x="925"/>
        <item x="752"/>
        <item x="207"/>
        <item x="928"/>
        <item x="930"/>
        <item x="892"/>
        <item x="931"/>
        <item x="932"/>
        <item t="default"/>
      </items>
    </pivotField>
    <pivotField dataField="1"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dataField="1" showAll="0"/>
    <pivotField dataField="1" showAll="0"/>
    <pivotField dataField="1" showAll="0"/>
    <pivotField dataField="1" dragToRow="0" dragToCol="0" dragToPage="0" showAll="0" defaultSubtotal="0"/>
    <pivotField axis="axisRow"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2">
    <field x="15"/>
    <field x="2"/>
  </rowFields>
  <rowItems count="5">
    <i>
      <x v="11"/>
    </i>
    <i r="1">
      <x v="2"/>
    </i>
    <i r="1">
      <x v="3"/>
    </i>
    <i r="1">
      <x v="4"/>
    </i>
    <i t="grand">
      <x/>
    </i>
  </rowItems>
  <colFields count="1">
    <field x="-2"/>
  </colFields>
  <colItems count="6">
    <i>
      <x/>
    </i>
    <i i="1">
      <x v="1"/>
    </i>
    <i i="2">
      <x v="2"/>
    </i>
    <i i="3">
      <x v="3"/>
    </i>
    <i i="4">
      <x v="4"/>
    </i>
    <i i="5">
      <x v="5"/>
    </i>
  </colItems>
  <dataFields count="6">
    <dataField name=" Budget" fld="10" baseField="4" baseItem="1" numFmtId="164"/>
    <dataField name=" Box Office" fld="11" baseField="4" baseItem="3" numFmtId="164"/>
    <dataField name=" Profit" fld="14" baseField="0" baseItem="0" numFmtId="164"/>
    <dataField name=" Oscar Wins" fld="13" baseField="0" baseItem="0"/>
    <dataField name=" Nominations" fld="12" baseField="0" baseItem="0"/>
    <dataField name="Run Time (Min." fld="3" baseField="0" baseItem="0"/>
  </dataFields>
  <formats count="2">
    <format dxfId="274">
      <pivotArea outline="0" collapsedLevelsAreSubtotals="1" fieldPosition="0"/>
    </format>
    <format dxfId="273">
      <pivotArea dataOnly="0" labelOnly="1" outline="0" fieldPosition="0">
        <references count="1">
          <reference field="4294967294" count="6">
            <x v="0"/>
            <x v="1"/>
            <x v="2"/>
            <x v="3"/>
            <x v="4"/>
            <x v="5"/>
          </reference>
        </references>
      </pivotArea>
    </format>
  </formats>
  <pivotTableStyleInfo name="PivotStyleMedium21" showRowHeaders="1" showColHeaders="1" showRowStripes="0" showColStripes="1" showLastColumn="1"/>
  <filters count="1">
    <filter fld="2" type="dateBetween" evalOrder="-1" id="24" name="Release Date">
      <autoFilter ref="A1">
        <filterColumn colId="0">
          <customFilters and="1">
            <customFilter operator="greaterThanOrEqual" val="11324"/>
            <customFilter operator="lessThanOrEqual" val="11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802BCD-05DA-43CB-98A7-F68C51B1B12B}"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H23" firstHeaderRow="0" firstDataRow="1" firstDataCol="2"/>
  <pivotFields count="16">
    <pivotField compact="0" outline="0" showAll="0"/>
    <pivotField compact="0" outline="0" multipleItemSelectionAllowed="1" showAll="0"/>
    <pivotField compact="0" numFmtId="14" outline="0" showAll="0">
      <items count="1015">
        <item x="733"/>
        <item x="732"/>
        <item x="731"/>
        <item x="760"/>
        <item x="730"/>
        <item x="423"/>
        <item x="163"/>
        <item x="729"/>
        <item x="757"/>
        <item x="754"/>
        <item x="756"/>
        <item x="728"/>
        <item x="755"/>
        <item x="160"/>
        <item x="727"/>
        <item x="762"/>
        <item x="726"/>
        <item x="725"/>
        <item x="724"/>
        <item x="759"/>
        <item x="1009"/>
        <item x="723"/>
        <item x="722"/>
        <item x="166"/>
        <item x="165"/>
        <item x="761"/>
        <item x="167"/>
        <item x="763"/>
        <item x="1003"/>
        <item x="850"/>
        <item x="164"/>
        <item x="168"/>
        <item x="765"/>
        <item x="764"/>
        <item x="721"/>
        <item x="1010"/>
        <item x="718"/>
        <item x="720"/>
        <item x="65"/>
        <item x="719"/>
        <item x="714"/>
        <item x="717"/>
        <item x="1008"/>
        <item x="715"/>
        <item x="716"/>
        <item x="1004"/>
        <item x="713"/>
        <item x="158"/>
        <item x="159"/>
        <item x="711"/>
        <item x="710"/>
        <item x="999"/>
        <item x="712"/>
        <item x="709"/>
        <item x="708"/>
        <item x="61"/>
        <item x="1005"/>
        <item x="71"/>
        <item x="707"/>
        <item x="706"/>
        <item x="704"/>
        <item x="1002"/>
        <item x="705"/>
        <item x="702"/>
        <item x="701"/>
        <item x="703"/>
        <item x="700"/>
        <item x="699"/>
        <item x="418"/>
        <item x="1001"/>
        <item x="989"/>
        <item x="89"/>
        <item x="698"/>
        <item x="157"/>
        <item x="697"/>
        <item x="849"/>
        <item x="694"/>
        <item x="696"/>
        <item x="695"/>
        <item x="691"/>
        <item x="1006"/>
        <item x="693"/>
        <item x="692"/>
        <item x="690"/>
        <item x="851"/>
        <item x="686"/>
        <item x="689"/>
        <item x="685"/>
        <item x="911"/>
        <item x="688"/>
        <item x="687"/>
        <item x="684"/>
        <item x="758"/>
        <item x="156"/>
        <item x="682"/>
        <item x="683"/>
        <item x="877"/>
        <item x="162"/>
        <item x="72"/>
        <item x="679"/>
        <item x="125"/>
        <item x="680"/>
        <item x="155"/>
        <item x="681"/>
        <item x="675"/>
        <item x="678"/>
        <item x="674"/>
        <item x="229"/>
        <item x="878"/>
        <item x="124"/>
        <item x="676"/>
        <item x="677"/>
        <item x="202"/>
        <item x="197"/>
        <item x="154"/>
        <item x="58"/>
        <item x="421"/>
        <item x="673"/>
        <item x="671"/>
        <item x="1007"/>
        <item x="672"/>
        <item x="59"/>
        <item x="117"/>
        <item x="153"/>
        <item x="998"/>
        <item x="57"/>
        <item x="670"/>
        <item x="230"/>
        <item x="116"/>
        <item x="412"/>
        <item x="668"/>
        <item x="667"/>
        <item x="666"/>
        <item x="665"/>
        <item x="150"/>
        <item x="663"/>
        <item x="853"/>
        <item x="152"/>
        <item x="669"/>
        <item x="854"/>
        <item x="151"/>
        <item x="664"/>
        <item x="200"/>
        <item x="60"/>
        <item x="662"/>
        <item x="659"/>
        <item x="872"/>
        <item x="660"/>
        <item x="661"/>
        <item x="658"/>
        <item x="118"/>
        <item x="656"/>
        <item x="657"/>
        <item x="855"/>
        <item x="64"/>
        <item x="655"/>
        <item x="39"/>
        <item x="149"/>
        <item x="653"/>
        <item x="652"/>
        <item x="826"/>
        <item x="119"/>
        <item x="148"/>
        <item x="654"/>
        <item x="876"/>
        <item x="651"/>
        <item x="40"/>
        <item x="648"/>
        <item x="650"/>
        <item x="649"/>
        <item x="875"/>
        <item x="41"/>
        <item x="120"/>
        <item x="43"/>
        <item x="645"/>
        <item x="400"/>
        <item x="886"/>
        <item x="647"/>
        <item x="646"/>
        <item x="644"/>
        <item x="637"/>
        <item x="643"/>
        <item x="642"/>
        <item x="640"/>
        <item x="198"/>
        <item x="641"/>
        <item x="638"/>
        <item x="639"/>
        <item x="121"/>
        <item x="636"/>
        <item x="169"/>
        <item x="147"/>
        <item x="633"/>
        <item x="146"/>
        <item x="635"/>
        <item x="634"/>
        <item x="885"/>
        <item x="628"/>
        <item x="629"/>
        <item x="632"/>
        <item x="856"/>
        <item x="627"/>
        <item x="630"/>
        <item x="392"/>
        <item x="631"/>
        <item x="816"/>
        <item x="201"/>
        <item x="626"/>
        <item x="410"/>
        <item x="622"/>
        <item x="145"/>
        <item x="625"/>
        <item x="887"/>
        <item x="115"/>
        <item x="996"/>
        <item x="623"/>
        <item x="624"/>
        <item x="42"/>
        <item x="617"/>
        <item x="874"/>
        <item x="144"/>
        <item x="618"/>
        <item x="620"/>
        <item x="621"/>
        <item x="338"/>
        <item x="619"/>
        <item x="3"/>
        <item x="413"/>
        <item x="616"/>
        <item x="612"/>
        <item x="106"/>
        <item x="611"/>
        <item x="613"/>
        <item x="170"/>
        <item x="614"/>
        <item x="364"/>
        <item x="615"/>
        <item x="610"/>
        <item x="62"/>
        <item x="871"/>
        <item x="393"/>
        <item x="196"/>
        <item x="609"/>
        <item x="605"/>
        <item x="608"/>
        <item x="607"/>
        <item x="398"/>
        <item x="199"/>
        <item x="604"/>
        <item x="606"/>
        <item x="603"/>
        <item x="142"/>
        <item x="141"/>
        <item x="193"/>
        <item x="171"/>
        <item x="602"/>
        <item x="107"/>
        <item x="143"/>
        <item x="601"/>
        <item x="34"/>
        <item x="4"/>
        <item x="814"/>
        <item x="9"/>
        <item x="598"/>
        <item x="409"/>
        <item x="411"/>
        <item x="600"/>
        <item x="377"/>
        <item x="597"/>
        <item x="108"/>
        <item x="599"/>
        <item x="596"/>
        <item x="888"/>
        <item x="592"/>
        <item x="367"/>
        <item x="594"/>
        <item x="379"/>
        <item x="593"/>
        <item x="231"/>
        <item x="595"/>
        <item x="363"/>
        <item x="390"/>
        <item x="590"/>
        <item x="589"/>
        <item x="591"/>
        <item x="37"/>
        <item x="376"/>
        <item x="397"/>
        <item x="374"/>
        <item x="587"/>
        <item x="588"/>
        <item x="766"/>
        <item x="417"/>
        <item x="586"/>
        <item x="898"/>
        <item x="579"/>
        <item x="63"/>
        <item x="584"/>
        <item x="582"/>
        <item x="416"/>
        <item x="73"/>
        <item x="5"/>
        <item x="812"/>
        <item x="1000"/>
        <item x="580"/>
        <item x="585"/>
        <item x="583"/>
        <item x="944"/>
        <item x="581"/>
        <item x="1011"/>
        <item x="574"/>
        <item x="811"/>
        <item x="578"/>
        <item x="576"/>
        <item x="205"/>
        <item x="399"/>
        <item x="2"/>
        <item x="889"/>
        <item x="391"/>
        <item x="857"/>
        <item x="577"/>
        <item x="575"/>
        <item x="403"/>
        <item x="571"/>
        <item x="568"/>
        <item x="387"/>
        <item x="573"/>
        <item x="194"/>
        <item x="105"/>
        <item x="882"/>
        <item x="985"/>
        <item x="572"/>
        <item x="567"/>
        <item x="870"/>
        <item x="935"/>
        <item x="381"/>
        <item x="566"/>
        <item x="827"/>
        <item x="570"/>
        <item x="569"/>
        <item x="847"/>
        <item x="565"/>
        <item x="896"/>
        <item x="1"/>
        <item x="810"/>
        <item x="318"/>
        <item x="561"/>
        <item x="858"/>
        <item x="378"/>
        <item x="564"/>
        <item x="890"/>
        <item x="563"/>
        <item x="562"/>
        <item x="407"/>
        <item x="560"/>
        <item x="909"/>
        <item x="846"/>
        <item x="352"/>
        <item x="556"/>
        <item x="375"/>
        <item x="104"/>
        <item x="557"/>
        <item x="554"/>
        <item x="404"/>
        <item x="316"/>
        <item x="845"/>
        <item x="945"/>
        <item x="555"/>
        <item x="558"/>
        <item x="359"/>
        <item x="559"/>
        <item x="373"/>
        <item x="552"/>
        <item x="553"/>
        <item x="358"/>
        <item x="327"/>
        <item x="967"/>
        <item x="321"/>
        <item x="550"/>
        <item x="984"/>
        <item x="986"/>
        <item x="844"/>
        <item x="385"/>
        <item x="838"/>
        <item x="396"/>
        <item x="551"/>
        <item x="383"/>
        <item x="545"/>
        <item x="946"/>
        <item x="549"/>
        <item x="349"/>
        <item x="936"/>
        <item x="910"/>
        <item x="548"/>
        <item x="843"/>
        <item x="281"/>
        <item x="547"/>
        <item x="543"/>
        <item x="380"/>
        <item x="544"/>
        <item x="546"/>
        <item x="45"/>
        <item x="542"/>
        <item x="49"/>
        <item x="537"/>
        <item x="344"/>
        <item x="540"/>
        <item x="355"/>
        <item x="538"/>
        <item x="44"/>
        <item x="842"/>
        <item x="852"/>
        <item x="366"/>
        <item x="357"/>
        <item x="983"/>
        <item x="824"/>
        <item x="422"/>
        <item x="869"/>
        <item x="541"/>
        <item x="536"/>
        <item x="535"/>
        <item x="539"/>
        <item x="532"/>
        <item x="232"/>
        <item x="328"/>
        <item x="531"/>
        <item x="1012"/>
        <item x="293"/>
        <item x="356"/>
        <item x="778"/>
        <item x="53"/>
        <item x="891"/>
        <item x="868"/>
        <item x="981"/>
        <item x="530"/>
        <item x="388"/>
        <item x="534"/>
        <item x="533"/>
        <item x="123"/>
        <item x="183"/>
        <item x="526"/>
        <item x="525"/>
        <item x="523"/>
        <item x="285"/>
        <item x="524"/>
        <item x="329"/>
        <item x="20"/>
        <item x="840"/>
        <item x="414"/>
        <item x="883"/>
        <item x="823"/>
        <item x="529"/>
        <item x="362"/>
        <item x="807"/>
        <item x="867"/>
        <item x="527"/>
        <item x="38"/>
        <item x="1013"/>
        <item x="993"/>
        <item x="78"/>
        <item x="339"/>
        <item x="312"/>
        <item x="521"/>
        <item x="520"/>
        <item x="519"/>
        <item x="323"/>
        <item x="237"/>
        <item x="290"/>
        <item x="419"/>
        <item x="372"/>
        <item x="939"/>
        <item x="369"/>
        <item x="518"/>
        <item x="103"/>
        <item x="111"/>
        <item x="522"/>
        <item x="982"/>
        <item x="395"/>
        <item x="779"/>
        <item x="114"/>
        <item x="415"/>
        <item x="512"/>
        <item x="298"/>
        <item x="307"/>
        <item x="513"/>
        <item x="516"/>
        <item x="304"/>
        <item x="515"/>
        <item x="211"/>
        <item x="806"/>
        <item x="353"/>
        <item x="514"/>
        <item x="322"/>
        <item x="517"/>
        <item x="528"/>
        <item x="510"/>
        <item x="884"/>
        <item x="19"/>
        <item x="508"/>
        <item x="511"/>
        <item x="780"/>
        <item x="288"/>
        <item x="509"/>
        <item x="331"/>
        <item x="947"/>
        <item x="140"/>
        <item x="966"/>
        <item x="184"/>
        <item x="828"/>
        <item x="100"/>
        <item x="905"/>
        <item x="235"/>
        <item x="913"/>
        <item x="837"/>
        <item x="299"/>
        <item x="503"/>
        <item x="330"/>
        <item x="506"/>
        <item x="507"/>
        <item x="249"/>
        <item x="248"/>
        <item x="504"/>
        <item x="324"/>
        <item x="753"/>
        <item x="354"/>
        <item x="212"/>
        <item x="873"/>
        <item x="505"/>
        <item x="139"/>
        <item x="365"/>
        <item x="317"/>
        <item x="342"/>
        <item x="502"/>
        <item x="269"/>
        <item x="138"/>
        <item x="326"/>
        <item x="501"/>
        <item x="195"/>
        <item x="402"/>
        <item x="325"/>
        <item x="805"/>
        <item x="319"/>
        <item x="500"/>
        <item x="97"/>
        <item x="113"/>
        <item x="767"/>
        <item x="284"/>
        <item x="496"/>
        <item x="266"/>
        <item x="345"/>
        <item x="264"/>
        <item x="11"/>
        <item x="499"/>
        <item x="859"/>
        <item x="305"/>
        <item x="213"/>
        <item x="420"/>
        <item x="927"/>
        <item x="384"/>
        <item x="498"/>
        <item x="804"/>
        <item x="819"/>
        <item x="497"/>
        <item x="210"/>
        <item x="68"/>
        <item x="309"/>
        <item x="294"/>
        <item x="495"/>
        <item x="21"/>
        <item x="493"/>
        <item x="795"/>
        <item x="350"/>
        <item x="238"/>
        <item x="829"/>
        <item x="22"/>
        <item x="494"/>
        <item x="920"/>
        <item x="254"/>
        <item x="66"/>
        <item x="895"/>
        <item x="914"/>
        <item x="768"/>
        <item x="99"/>
        <item x="75"/>
        <item x="301"/>
        <item x="278"/>
        <item x="287"/>
        <item x="803"/>
        <item x="268"/>
        <item x="272"/>
        <item x="492"/>
        <item x="347"/>
        <item x="8"/>
        <item x="233"/>
        <item x="267"/>
        <item x="963"/>
        <item x="332"/>
        <item x="250"/>
        <item x="280"/>
        <item x="300"/>
        <item x="940"/>
        <item x="491"/>
        <item x="320"/>
        <item x="7"/>
        <item x="24"/>
        <item x="10"/>
        <item x="112"/>
        <item x="70"/>
        <item x="69"/>
        <item x="102"/>
        <item x="96"/>
        <item x="979"/>
        <item x="394"/>
        <item x="77"/>
        <item x="286"/>
        <item x="830"/>
        <item x="337"/>
        <item x="90"/>
        <item x="351"/>
        <item x="769"/>
        <item x="915"/>
        <item x="306"/>
        <item x="259"/>
        <item x="297"/>
        <item x="488"/>
        <item x="406"/>
        <item x="820"/>
        <item x="489"/>
        <item x="262"/>
        <item x="490"/>
        <item x="382"/>
        <item x="948"/>
        <item x="191"/>
        <item x="335"/>
        <item x="343"/>
        <item x="271"/>
        <item x="256"/>
        <item x="929"/>
        <item x="263"/>
        <item x="921"/>
        <item x="76"/>
        <item x="781"/>
        <item x="957"/>
        <item x="334"/>
        <item x="386"/>
        <item x="333"/>
        <item x="122"/>
        <item x="968"/>
        <item x="341"/>
        <item x="346"/>
        <item x="244"/>
        <item x="12"/>
        <item x="261"/>
        <item x="98"/>
        <item x="274"/>
        <item x="831"/>
        <item x="252"/>
        <item x="916"/>
        <item x="83"/>
        <item x="279"/>
        <item x="292"/>
        <item x="401"/>
        <item x="282"/>
        <item x="314"/>
        <item x="389"/>
        <item x="54"/>
        <item x="33"/>
        <item x="173"/>
        <item x="486"/>
        <item x="26"/>
        <item x="866"/>
        <item x="487"/>
        <item x="277"/>
        <item x="371"/>
        <item x="791"/>
        <item x="23"/>
        <item x="295"/>
        <item x="485"/>
        <item x="308"/>
        <item x="360"/>
        <item x="275"/>
        <item x="900"/>
        <item x="270"/>
        <item x="484"/>
        <item x="174"/>
        <item x="276"/>
        <item x="245"/>
        <item x="257"/>
        <item x="246"/>
        <item x="48"/>
        <item x="25"/>
        <item x="253"/>
        <item x="92"/>
        <item x="291"/>
        <item x="368"/>
        <item x="361"/>
        <item x="95"/>
        <item x="137"/>
        <item x="405"/>
        <item x="74"/>
        <item x="303"/>
        <item x="84"/>
        <item x="313"/>
        <item x="192"/>
        <item x="36"/>
        <item x="35"/>
        <item x="481"/>
        <item x="265"/>
        <item x="260"/>
        <item x="813"/>
        <item x="789"/>
        <item x="483"/>
        <item x="247"/>
        <item x="234"/>
        <item x="255"/>
        <item x="938"/>
        <item x="172"/>
        <item x="310"/>
        <item x="302"/>
        <item x="296"/>
        <item x="289"/>
        <item x="348"/>
        <item x="109"/>
        <item x="127"/>
        <item x="101"/>
        <item x="0"/>
        <item x="340"/>
        <item x="283"/>
        <item x="408"/>
        <item x="482"/>
        <item x="227"/>
        <item x="110"/>
        <item x="336"/>
        <item x="126"/>
        <item x="185"/>
        <item x="251"/>
        <item x="315"/>
        <item x="82"/>
        <item x="242"/>
        <item x="236"/>
        <item x="273"/>
        <item x="239"/>
        <item x="94"/>
        <item x="311"/>
        <item x="990"/>
        <item x="190"/>
        <item x="258"/>
        <item x="786"/>
        <item x="370"/>
        <item x="962"/>
        <item x="241"/>
        <item x="240"/>
        <item x="46"/>
        <item x="243"/>
        <item x="479"/>
        <item x="218"/>
        <item x="220"/>
        <item x="28"/>
        <item x="770"/>
        <item x="477"/>
        <item x="136"/>
        <item x="424"/>
        <item x="474"/>
        <item x="775"/>
        <item x="478"/>
        <item x="134"/>
        <item x="475"/>
        <item x="16"/>
        <item x="839"/>
        <item x="473"/>
        <item x="771"/>
        <item x="179"/>
        <item x="214"/>
        <item x="949"/>
        <item x="480"/>
        <item x="203"/>
        <item x="865"/>
        <item x="135"/>
        <item x="476"/>
        <item x="952"/>
        <item x="91"/>
        <item x="860"/>
        <item x="50"/>
        <item x="17"/>
        <item x="848"/>
        <item x="821"/>
        <item x="27"/>
        <item x="923"/>
        <item x="87"/>
        <item x="881"/>
        <item x="471"/>
        <item x="30"/>
        <item x="906"/>
        <item x="802"/>
        <item x="469"/>
        <item x="472"/>
        <item x="467"/>
        <item x="466"/>
        <item x="132"/>
        <item x="86"/>
        <item x="988"/>
        <item x="175"/>
        <item x="468"/>
        <item x="470"/>
        <item x="88"/>
        <item x="861"/>
        <item x="465"/>
        <item x="31"/>
        <item x="133"/>
        <item x="975"/>
        <item x="29"/>
        <item x="894"/>
        <item x="130"/>
        <item x="189"/>
        <item x="777"/>
        <item x="228"/>
        <item x="51"/>
        <item x="462"/>
        <item x="950"/>
        <item x="460"/>
        <item x="971"/>
        <item x="458"/>
        <item x="461"/>
        <item x="464"/>
        <item x="459"/>
        <item x="206"/>
        <item x="772"/>
        <item x="186"/>
        <item x="223"/>
        <item x="67"/>
        <item x="14"/>
        <item x="131"/>
        <item x="463"/>
        <item x="809"/>
        <item x="974"/>
        <item x="182"/>
        <item x="176"/>
        <item x="226"/>
        <item x="784"/>
        <item x="455"/>
        <item x="47"/>
        <item x="452"/>
        <item x="818"/>
        <item x="454"/>
        <item x="457"/>
        <item x="451"/>
        <item x="129"/>
        <item x="456"/>
        <item x="815"/>
        <item x="224"/>
        <item x="55"/>
        <item x="204"/>
        <item x="864"/>
        <item x="453"/>
        <item x="180"/>
        <item x="954"/>
        <item x="15"/>
        <item x="215"/>
        <item x="822"/>
        <item x="817"/>
        <item x="794"/>
        <item x="987"/>
        <item x="449"/>
        <item x="785"/>
        <item x="443"/>
        <item x="922"/>
        <item x="450"/>
        <item x="943"/>
        <item x="448"/>
        <item x="833"/>
        <item x="980"/>
        <item x="445"/>
        <item x="958"/>
        <item x="447"/>
        <item x="444"/>
        <item x="808"/>
        <item x="773"/>
        <item x="964"/>
        <item x="969"/>
        <item x="209"/>
        <item x="796"/>
        <item x="832"/>
        <item x="128"/>
        <item x="446"/>
        <item x="222"/>
        <item x="907"/>
        <item x="81"/>
        <item x="941"/>
        <item x="926"/>
        <item x="961"/>
        <item x="801"/>
        <item x="953"/>
        <item x="187"/>
        <item x="917"/>
        <item x="880"/>
        <item x="435"/>
        <item x="438"/>
        <item x="836"/>
        <item x="776"/>
        <item x="18"/>
        <item x="924"/>
        <item x="441"/>
        <item x="439"/>
        <item x="436"/>
        <item x="177"/>
        <item x="978"/>
        <item x="792"/>
        <item x="970"/>
        <item x="225"/>
        <item x="221"/>
        <item x="991"/>
        <item x="216"/>
        <item x="440"/>
        <item x="800"/>
        <item x="442"/>
        <item x="93"/>
        <item x="437"/>
        <item x="787"/>
        <item x="434"/>
        <item x="783"/>
        <item x="80"/>
        <item x="893"/>
        <item x="56"/>
        <item x="992"/>
        <item x="32"/>
        <item x="799"/>
        <item x="429"/>
        <item x="431"/>
        <item x="934"/>
        <item x="428"/>
        <item x="427"/>
        <item x="960"/>
        <item x="994"/>
        <item x="425"/>
        <item x="432"/>
        <item x="426"/>
        <item x="774"/>
        <item x="976"/>
        <item x="956"/>
        <item x="933"/>
        <item x="217"/>
        <item x="965"/>
        <item x="955"/>
        <item x="433"/>
        <item x="430"/>
        <item x="862"/>
        <item x="835"/>
        <item x="79"/>
        <item x="951"/>
        <item x="188"/>
        <item x="208"/>
        <item x="972"/>
        <item x="181"/>
        <item x="793"/>
        <item x="790"/>
        <item x="736"/>
        <item x="798"/>
        <item x="737"/>
        <item x="6"/>
        <item x="973"/>
        <item x="738"/>
        <item x="735"/>
        <item x="918"/>
        <item x="739"/>
        <item x="797"/>
        <item x="959"/>
        <item x="977"/>
        <item x="740"/>
        <item x="942"/>
        <item x="219"/>
        <item x="178"/>
        <item x="742"/>
        <item x="825"/>
        <item x="85"/>
        <item x="161"/>
        <item x="741"/>
        <item x="937"/>
        <item x="908"/>
        <item x="52"/>
        <item x="734"/>
        <item x="841"/>
        <item x="897"/>
        <item x="13"/>
        <item x="749"/>
        <item x="782"/>
        <item x="904"/>
        <item x="747"/>
        <item x="745"/>
        <item x="746"/>
        <item x="743"/>
        <item x="751"/>
        <item x="834"/>
        <item x="899"/>
        <item x="744"/>
        <item x="901"/>
        <item x="879"/>
        <item x="748"/>
        <item x="902"/>
        <item x="903"/>
        <item x="995"/>
        <item x="750"/>
        <item x="997"/>
        <item x="863"/>
        <item x="912"/>
        <item x="788"/>
        <item x="919"/>
        <item x="925"/>
        <item x="752"/>
        <item x="207"/>
        <item x="928"/>
        <item x="930"/>
        <item x="892"/>
        <item x="931"/>
        <item x="932"/>
        <item t="default"/>
      </items>
    </pivotField>
    <pivotField dataField="1" compact="0" outline="0" showAll="0"/>
    <pivotField axis="axisRow" compact="0" outline="0" showAll="0" sortType="descending">
      <items count="25">
        <item x="3"/>
        <item x="1"/>
        <item x="0"/>
        <item x="21"/>
        <item x="12"/>
        <item x="2"/>
        <item x="4"/>
        <item x="22"/>
        <item x="20"/>
        <item x="10"/>
        <item x="23"/>
        <item x="6"/>
        <item x="19"/>
        <item x="14"/>
        <item x="5"/>
        <item x="16"/>
        <item x="15"/>
        <item x="13"/>
        <item x="17"/>
        <item x="9"/>
        <item x="18"/>
        <item x="8"/>
        <item x="7"/>
        <item x="1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21">
        <item h="1" x="0"/>
        <item h="1" x="1"/>
        <item h="1" x="2"/>
        <item h="1" x="3"/>
        <item h="1" x="4"/>
        <item h="1" x="5"/>
        <item h="1" x="6"/>
        <item x="7"/>
        <item h="1" x="8"/>
        <item h="1" x="9"/>
        <item h="1" x="10"/>
        <item h="1" x="11"/>
        <item h="1" x="12"/>
        <item h="1" x="13"/>
        <item h="1" x="14"/>
        <item h="1" x="15"/>
        <item h="1" x="16"/>
        <item h="1" x="17"/>
        <item h="1" x="18"/>
        <item h="1" x="19"/>
        <item t="default"/>
      </items>
    </pivotField>
    <pivotField axis="axisRow" compact="0" outline="0" showAll="0" sortType="descending">
      <items count="16">
        <item x="13"/>
        <item x="5"/>
        <item x="0"/>
        <item x="3"/>
        <item x="4"/>
        <item x="6"/>
        <item x="7"/>
        <item x="8"/>
        <item x="2"/>
        <item x="12"/>
        <item x="1"/>
        <item x="9"/>
        <item x="14"/>
        <item x="10"/>
        <item x="11"/>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dataField="1" compact="0" outline="0" showAll="0"/>
    <pivotField dataField="1" compact="0" outline="0" showAll="0"/>
    <pivotField dataField="1" compact="0" outline="0" showAll="0"/>
    <pivotField dataField="1" compact="0" outline="0" dragToRow="0" dragToCol="0" dragToPage="0" showAll="0" defaultSubtotal="0"/>
    <pivotField compact="0" outline="0" subtotalTop="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2">
    <field x="8"/>
    <field x="4"/>
  </rowFields>
  <rowItems count="9">
    <i>
      <x v="1"/>
      <x v="14"/>
    </i>
    <i r="1">
      <x/>
    </i>
    <i t="default">
      <x v="1"/>
    </i>
    <i>
      <x v="8"/>
      <x v="22"/>
    </i>
    <i r="1">
      <x v="14"/>
    </i>
    <i t="default">
      <x v="8"/>
    </i>
    <i>
      <x v="2"/>
      <x v="14"/>
    </i>
    <i t="default">
      <x v="2"/>
    </i>
    <i t="grand">
      <x/>
    </i>
  </rowItems>
  <colFields count="1">
    <field x="-2"/>
  </colFields>
  <colItems count="6">
    <i>
      <x/>
    </i>
    <i i="1">
      <x v="1"/>
    </i>
    <i i="2">
      <x v="2"/>
    </i>
    <i i="3">
      <x v="3"/>
    </i>
    <i i="4">
      <x v="4"/>
    </i>
    <i i="5">
      <x v="5"/>
    </i>
  </colItems>
  <dataFields count="6">
    <dataField name=" Budget" fld="10" baseField="4" baseItem="1" numFmtId="164"/>
    <dataField name=" Box Office" fld="11" baseField="4" baseItem="3" numFmtId="164"/>
    <dataField name=" Profit" fld="14" baseField="0" baseItem="0" numFmtId="164"/>
    <dataField name=" Oscar Wins" fld="13" baseField="0" baseItem="0"/>
    <dataField name=" Nominations" fld="12" baseField="0" baseItem="0"/>
    <dataField name="Run Time (Min." fld="3" baseField="0" baseItem="0"/>
  </dataFields>
  <formats count="2">
    <format dxfId="276">
      <pivotArea outline="0" collapsedLevelsAreSubtotals="1" fieldPosition="0"/>
    </format>
    <format dxfId="275">
      <pivotArea dataOnly="0" labelOnly="1" outline="0" fieldPosition="0">
        <references count="1">
          <reference field="4294967294" count="6">
            <x v="0"/>
            <x v="1"/>
            <x v="2"/>
            <x v="3"/>
            <x v="4"/>
            <x v="5"/>
          </reference>
        </references>
      </pivotArea>
    </format>
  </formats>
  <pivotTableStyleInfo name="PivotStyleMedium21"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F62223-7597-46B9-84DD-63EF1DD4F5C7}" name="PivotTable5" cacheId="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V14:AB18" firstHeaderRow="0" firstDataRow="1" firstDataCol="1"/>
  <pivotFields count="16">
    <pivotField compact="0" outline="0" showAll="0" defaultSubtotal="0"/>
    <pivotField axis="axisRow" compact="0" outline="0" multipleItemSelectionAllowed="1" showAll="0" measureFilter="1" sortType="descending" defaultSubtotal="0">
      <items count="1050">
        <item x="640"/>
        <item x="342"/>
        <item x="483"/>
        <item x="531"/>
        <item x="1003"/>
        <item x="185"/>
        <item x="67"/>
        <item x="980"/>
        <item x="736"/>
        <item x="149"/>
        <item x="990"/>
        <item x="1025"/>
        <item x="1032"/>
        <item x="112"/>
        <item x="184"/>
        <item x="32"/>
        <item x="1015"/>
        <item x="807"/>
        <item x="624"/>
        <item x="629"/>
        <item x="305"/>
        <item x="144"/>
        <item x="522"/>
        <item x="147"/>
        <item x="726"/>
        <item x="559"/>
        <item x="176"/>
        <item x="58"/>
        <item x="153"/>
        <item x="378"/>
        <item x="819"/>
        <item x="183"/>
        <item x="993"/>
        <item x="1044"/>
        <item x="30"/>
        <item x="743"/>
        <item x="857"/>
        <item x="861"/>
        <item x="526"/>
        <item x="631"/>
        <item x="684"/>
        <item x="669"/>
        <item x="554"/>
        <item x="279"/>
        <item x="129"/>
        <item x="425"/>
        <item x="350"/>
        <item x="410"/>
        <item x="759"/>
        <item x="655"/>
        <item x="21"/>
        <item x="413"/>
        <item x="284"/>
        <item x="673"/>
        <item x="903"/>
        <item x="891"/>
        <item x="856"/>
        <item x="622"/>
        <item x="1027"/>
        <item x="399"/>
        <item x="486"/>
        <item x="163"/>
        <item x="626"/>
        <item x="748"/>
        <item x="653"/>
        <item x="1014"/>
        <item x="632"/>
        <item x="639"/>
        <item x="366"/>
        <item x="328"/>
        <item x="249"/>
        <item x="275"/>
        <item x="627"/>
        <item x="815"/>
        <item x="520"/>
        <item x="480"/>
        <item x="764"/>
        <item x="406"/>
        <item x="369"/>
        <item x="368"/>
        <item x="1031"/>
        <item x="506"/>
        <item x="963"/>
        <item x="964"/>
        <item x="557"/>
        <item x="575"/>
        <item x="831"/>
        <item x="245"/>
        <item x="538"/>
        <item x="558"/>
        <item x="773"/>
        <item x="68"/>
        <item x="809"/>
        <item x="563"/>
        <item x="148"/>
        <item x="240"/>
        <item x="587"/>
        <item x="719"/>
        <item x="239"/>
        <item x="609"/>
        <item x="590"/>
        <item x="584"/>
        <item x="955"/>
        <item x="943"/>
        <item x="942"/>
        <item x="989"/>
        <item x="289"/>
        <item x="978"/>
        <item x="361"/>
        <item x="353"/>
        <item x="387"/>
        <item x="895"/>
        <item x="664"/>
        <item x="285"/>
        <item x="876"/>
        <item x="983"/>
        <item x="696"/>
        <item x="999"/>
        <item x="109"/>
        <item x="581"/>
        <item x="561"/>
        <item x="316"/>
        <item x="853"/>
        <item x="164"/>
        <item x="416"/>
        <item x="803"/>
        <item x="203"/>
        <item x="877"/>
        <item x="301"/>
        <item x="692"/>
        <item x="686"/>
        <item x="679"/>
        <item x="791"/>
        <item x="568"/>
        <item x="770"/>
        <item x="441"/>
        <item x="780"/>
        <item x="498"/>
        <item x="471"/>
        <item x="751"/>
        <item x="355"/>
        <item x="101"/>
        <item x="539"/>
        <item x="298"/>
        <item x="858"/>
        <item x="283"/>
        <item x="227"/>
        <item x="894"/>
        <item x="817"/>
        <item x="141"/>
        <item x="246"/>
        <item x="1012"/>
        <item x="846"/>
        <item x="847"/>
        <item x="915"/>
        <item x="306"/>
        <item x="209"/>
        <item x="746"/>
        <item x="295"/>
        <item x="784"/>
        <item x="7"/>
        <item x="570"/>
        <item x="170"/>
        <item x="334"/>
        <item x="703"/>
        <item x="913"/>
        <item x="300"/>
        <item x="333"/>
        <item x="650"/>
        <item x="1026"/>
        <item x="1029"/>
        <item x="586"/>
        <item x="605"/>
        <item x="412"/>
        <item x="828"/>
        <item x="583"/>
        <item x="838"/>
        <item x="841"/>
        <item x="840"/>
        <item x="312"/>
        <item x="904"/>
        <item x="883"/>
        <item x="1005"/>
        <item x="794"/>
        <item x="345"/>
        <item x="2"/>
        <item x="1"/>
        <item x="201"/>
        <item x="11"/>
        <item x="806"/>
        <item x="875"/>
        <item x="407"/>
        <item x="956"/>
        <item x="34"/>
        <item x="647"/>
        <item x="444"/>
        <item x="84"/>
        <item x="986"/>
        <item x="172"/>
        <item x="577"/>
        <item x="775"/>
        <item x="873"/>
        <item x="303"/>
        <item x="812"/>
        <item x="346"/>
        <item x="678"/>
        <item x="898"/>
        <item x="478"/>
        <item x="448"/>
        <item x="14"/>
        <item x="118"/>
        <item x="96"/>
        <item x="388"/>
        <item x="326"/>
        <item x="294"/>
        <item x="513"/>
        <item x="682"/>
        <item x="26"/>
        <item x="27"/>
        <item x="86"/>
        <item x="940"/>
        <item x="778"/>
        <item x="152"/>
        <item x="662"/>
        <item x="916"/>
        <item x="546"/>
        <item x="872"/>
        <item x="174"/>
        <item x="33"/>
        <item x="524"/>
        <item x="124"/>
        <item x="197"/>
        <item x="758"/>
        <item x="47"/>
        <item x="917"/>
        <item x="897"/>
        <item x="854"/>
        <item x="545"/>
        <item x="932"/>
        <item x="423"/>
        <item x="667"/>
        <item x="688"/>
        <item x="1009"/>
        <item x="712"/>
        <item x="816"/>
        <item x="855"/>
        <item x="830"/>
        <item x="1047"/>
        <item x="348"/>
        <item x="43"/>
        <item x="403"/>
        <item x="535"/>
        <item x="825"/>
        <item x="235"/>
        <item x="337"/>
        <item x="645"/>
        <item x="208"/>
        <item x="984"/>
        <item x="195"/>
        <item x="804"/>
        <item x="207"/>
        <item x="1035"/>
        <item x="427"/>
        <item x="450"/>
        <item x="468"/>
        <item x="589"/>
        <item x="600"/>
        <item x="680"/>
        <item x="330"/>
        <item x="254"/>
        <item x="771"/>
        <item x="504"/>
        <item x="40"/>
        <item x="354"/>
        <item x="199"/>
        <item x="616"/>
        <item x="1024"/>
        <item x="126"/>
        <item x="15"/>
        <item x="613"/>
        <item x="59"/>
        <item x="750"/>
        <item x="107"/>
        <item x="122"/>
        <item x="757"/>
        <item x="404"/>
        <item x="738"/>
        <item x="29"/>
        <item x="123"/>
        <item x="495"/>
        <item x="446"/>
        <item x="194"/>
        <item x="763"/>
        <item x="981"/>
        <item x="42"/>
        <item x="108"/>
        <item x="288"/>
        <item x="1039"/>
        <item x="741"/>
        <item x="379"/>
        <item x="571"/>
        <item x="384"/>
        <item x="579"/>
        <item x="1037"/>
        <item x="286"/>
        <item x="71"/>
        <item x="103"/>
        <item x="433"/>
        <item x="754"/>
        <item x="591"/>
        <item x="428"/>
        <item x="159"/>
        <item x="395"/>
        <item x="889"/>
        <item x="699"/>
        <item x="452"/>
        <item x="643"/>
        <item x="166"/>
        <item x="610"/>
        <item x="1000"/>
        <item x="438"/>
        <item x="727"/>
        <item x="734"/>
        <item x="167"/>
        <item x="490"/>
        <item x="882"/>
        <item x="511"/>
        <item x="994"/>
        <item x="0"/>
        <item x="930"/>
        <item x="49"/>
        <item x="802"/>
        <item x="102"/>
        <item x="130"/>
        <item x="128"/>
        <item x="95"/>
        <item x="131"/>
        <item x="94"/>
        <item x="99"/>
        <item x="98"/>
        <item x="886"/>
        <item x="339"/>
        <item x="10"/>
        <item x="411"/>
        <item x="732"/>
        <item x="177"/>
        <item x="500"/>
        <item x="572"/>
        <item x="556"/>
        <item x="578"/>
        <item x="564"/>
        <item x="110"/>
        <item x="1028"/>
        <item x="569"/>
        <item x="12"/>
        <item x="514"/>
        <item x="704"/>
        <item x="479"/>
        <item x="204"/>
        <item x="417"/>
        <item x="242"/>
        <item x="280"/>
        <item x="508"/>
        <item x="1033"/>
        <item x="457"/>
        <item x="481"/>
        <item x="496"/>
        <item x="66"/>
        <item x="1048"/>
        <item x="473"/>
        <item x="550"/>
        <item x="308"/>
        <item x="935"/>
        <item x="436"/>
        <item x="359"/>
        <item x="386"/>
        <item x="939"/>
        <item x="998"/>
        <item x="864"/>
        <item x="766"/>
        <item x="445"/>
        <item x="547"/>
        <item x="341"/>
        <item x="890"/>
        <item x="970"/>
        <item x="50"/>
        <item x="51"/>
        <item x="52"/>
        <item x="492"/>
        <item x="476"/>
        <item x="447"/>
        <item x="53"/>
        <item x="181"/>
        <item x="705"/>
        <item x="786"/>
        <item x="157"/>
        <item x="893"/>
        <item x="960"/>
        <item x="959"/>
        <item x="938"/>
        <item x="317"/>
        <item x="228"/>
        <item x="936"/>
        <item x="660"/>
        <item x="646"/>
        <item x="534"/>
        <item x="566"/>
        <item x="832"/>
        <item x="789"/>
        <item x="818"/>
        <item x="987"/>
        <item x="907"/>
        <item x="1036"/>
        <item x="540"/>
        <item x="833"/>
        <item x="1007"/>
        <item x="231"/>
        <item x="510"/>
        <item x="762"/>
        <item x="972"/>
        <item x="62"/>
        <item x="884"/>
        <item x="188"/>
        <item x="874"/>
        <item x="349"/>
        <item x="352"/>
        <item x="175"/>
        <item x="393"/>
        <item x="948"/>
        <item x="74"/>
        <item x="72"/>
        <item x="747"/>
        <item x="276"/>
        <item x="187"/>
        <item x="934"/>
        <item x="22"/>
        <item x="1006"/>
        <item x="636"/>
        <item x="54"/>
        <item x="489"/>
        <item x="467"/>
        <item x="870"/>
        <item x="205"/>
        <item x="735"/>
        <item x="297"/>
        <item x="154"/>
        <item x="190"/>
        <item x="977"/>
        <item x="20"/>
        <item x="221"/>
        <item x="414"/>
        <item x="415"/>
        <item x="376"/>
        <item x="248"/>
        <item x="420"/>
        <item x="527"/>
        <item x="104"/>
        <item x="821"/>
        <item x="860"/>
        <item x="119"/>
        <item x="274"/>
        <item x="211"/>
        <item x="161"/>
        <item x="811"/>
        <item x="576"/>
        <item x="1002"/>
        <item x="683"/>
        <item x="36"/>
        <item x="3"/>
        <item x="4"/>
        <item x="5"/>
        <item x="6"/>
        <item x="499"/>
        <item x="460"/>
        <item x="491"/>
        <item x="823"/>
        <item x="1018"/>
        <item x="439"/>
        <item x="914"/>
        <item x="133"/>
        <item x="453"/>
        <item x="347"/>
        <item x="217"/>
        <item x="220"/>
        <item x="954"/>
        <item x="256"/>
        <item x="982"/>
        <item x="919"/>
        <item x="502"/>
        <item x="515"/>
        <item x="432"/>
        <item x="292"/>
        <item x="462"/>
        <item x="250"/>
        <item x="255"/>
        <item x="687"/>
        <item x="659"/>
        <item x="867"/>
        <item x="381"/>
        <item x="765"/>
        <item x="281"/>
        <item x="788"/>
        <item x="953"/>
        <item x="302"/>
        <item x="466"/>
        <item x="767"/>
        <item x="266"/>
        <item x="265"/>
        <item x="962"/>
        <item x="85"/>
        <item x="451"/>
        <item x="269"/>
        <item x="168"/>
        <item x="169"/>
        <item x="106"/>
        <item x="592"/>
        <item x="158"/>
        <item x="277"/>
        <item x="1019"/>
        <item x="787"/>
        <item x="548"/>
        <item x="523"/>
        <item x="307"/>
        <item x="198"/>
        <item x="709"/>
        <item x="528"/>
        <item x="8"/>
        <item x="702"/>
        <item x="644"/>
        <item x="494"/>
        <item x="968"/>
        <item x="373"/>
        <item x="920"/>
        <item x="497"/>
        <item x="698"/>
        <item x="83"/>
        <item x="82"/>
        <item x="721"/>
        <item x="137"/>
        <item x="801"/>
        <item x="394"/>
        <item x="718"/>
        <item x="273"/>
        <item x="299"/>
        <item x="389"/>
        <item x="733"/>
        <item x="151"/>
        <item x="950"/>
        <item x="117"/>
        <item x="1041"/>
        <item x="848"/>
        <item x="60"/>
        <item x="78"/>
        <item x="661"/>
        <item x="713"/>
        <item x="229"/>
        <item x="90"/>
        <item x="91"/>
        <item x="18"/>
        <item x="392"/>
        <item x="604"/>
        <item x="1049"/>
        <item x="193"/>
        <item x="868"/>
        <item x="689"/>
        <item x="429"/>
        <item x="674"/>
        <item x="899"/>
        <item x="966"/>
        <item x="878"/>
        <item x="362"/>
        <item x="685"/>
        <item x="805"/>
        <item x="237"/>
        <item x="740"/>
        <item x="1034"/>
        <item x="552"/>
        <item x="241"/>
        <item x="262"/>
        <item x="247"/>
        <item x="464"/>
        <item x="693"/>
        <item x="597"/>
        <item x="537"/>
        <item x="969"/>
        <item x="612"/>
        <item x="44"/>
        <item x="625"/>
        <item x="9"/>
        <item x="836"/>
        <item x="573"/>
        <item x="1004"/>
        <item x="633"/>
        <item x="976"/>
        <item x="715"/>
        <item x="426"/>
        <item x="842"/>
        <item x="996"/>
        <item x="134"/>
        <item x="409"/>
        <item x="405"/>
        <item x="582"/>
        <item x="601"/>
        <item x="63"/>
        <item x="532"/>
        <item x="65"/>
        <item x="243"/>
        <item x="837"/>
        <item x="1038"/>
        <item x="16"/>
        <item x="17"/>
        <item x="835"/>
        <item x="73"/>
        <item x="434"/>
        <item x="143"/>
        <item x="418"/>
        <item x="304"/>
        <item x="675"/>
        <item x="356"/>
        <item x="912"/>
        <item x="213"/>
        <item x="654"/>
        <item x="638"/>
        <item x="623"/>
        <item x="602"/>
        <item x="965"/>
        <item x="614"/>
        <item x="150"/>
        <item x="792"/>
        <item x="38"/>
        <item x="224"/>
        <item x="375"/>
        <item x="291"/>
        <item x="290"/>
        <item x="824"/>
        <item x="1046"/>
        <item x="749"/>
        <item x="651"/>
        <item x="937"/>
        <item x="329"/>
        <item x="400"/>
        <item x="398"/>
        <item x="206"/>
        <item x="111"/>
        <item x="371"/>
        <item x="382"/>
        <item x="61"/>
        <item x="48"/>
        <item x="138"/>
        <item x="182"/>
        <item x="223"/>
        <item x="663"/>
        <item x="739"/>
        <item x="358"/>
        <item x="351"/>
        <item x="503"/>
        <item x="121"/>
        <item x="132"/>
        <item x="214"/>
        <item x="949"/>
        <item x="357"/>
        <item x="320"/>
        <item x="474"/>
        <item x="319"/>
        <item x="927"/>
        <item x="1008"/>
        <item x="507"/>
        <item x="925"/>
        <item x="657"/>
        <item x="370"/>
        <item x="1013"/>
        <item x="742"/>
        <item x="560"/>
        <item x="127"/>
        <item x="720"/>
        <item x="551"/>
        <item x="324"/>
        <item x="178"/>
        <item x="649"/>
        <item x="634"/>
        <item x="212"/>
        <item x="756"/>
        <item x="1017"/>
        <item x="31"/>
        <item x="722"/>
        <item x="723"/>
        <item x="952"/>
        <item x="888"/>
        <item x="714"/>
        <item x="160"/>
        <item x="543"/>
        <item x="232"/>
        <item x="252"/>
        <item x="251"/>
        <item x="608"/>
        <item x="594"/>
        <item x="911"/>
        <item x="909"/>
        <item x="421"/>
        <item x="408"/>
        <item x="910"/>
        <item x="401"/>
        <item x="385"/>
        <item x="390"/>
        <item x="360"/>
        <item x="372"/>
        <item x="322"/>
        <item x="343"/>
        <item x="374"/>
        <item x="270"/>
        <item x="268"/>
        <item x="271"/>
        <item x="422"/>
        <item x="402"/>
        <item x="377"/>
        <item x="761"/>
        <item x="189"/>
        <item x="851"/>
        <item x="340"/>
        <item x="620"/>
        <item x="253"/>
        <item x="820"/>
        <item x="630"/>
        <item x="971"/>
        <item x="745"/>
        <item x="906"/>
        <item x="958"/>
        <item x="619"/>
        <item x="776"/>
        <item x="892"/>
        <item x="125"/>
        <item x="435"/>
        <item x="344"/>
        <item x="140"/>
        <item x="230"/>
        <item x="233"/>
        <item x="716"/>
        <item x="28"/>
        <item x="314"/>
        <item x="477"/>
        <item x="518"/>
        <item x="918"/>
        <item x="947"/>
        <item x="991"/>
        <item x="992"/>
        <item x="574"/>
        <item x="282"/>
        <item x="505"/>
        <item x="822"/>
        <item x="827"/>
        <item x="615"/>
        <item x="162"/>
        <item x="829"/>
        <item x="321"/>
        <item x="567"/>
        <item x="1010"/>
        <item x="781"/>
        <item x="744"/>
        <item x="924"/>
        <item x="717"/>
        <item x="459"/>
        <item x="443"/>
        <item x="637"/>
        <item x="380"/>
        <item x="455"/>
        <item x="278"/>
        <item x="113"/>
        <item x="179"/>
        <item x="862"/>
        <item x="39"/>
        <item x="866"/>
        <item x="707"/>
        <item x="335"/>
        <item x="635"/>
        <item x="555"/>
        <item x="338"/>
        <item x="296"/>
        <item x="258"/>
        <item x="156"/>
        <item x="628"/>
        <item x="782"/>
        <item x="135"/>
        <item x="136"/>
        <item x="922"/>
        <item x="603"/>
        <item x="215"/>
        <item x="260"/>
        <item x="218"/>
        <item x="488"/>
        <item x="456"/>
        <item x="261"/>
        <item x="887"/>
        <item x="652"/>
        <item x="648"/>
        <item x="293"/>
        <item x="1042"/>
        <item x="697"/>
        <item x="225"/>
        <item x="658"/>
        <item x="210"/>
        <item x="951"/>
        <item x="672"/>
        <item x="797"/>
        <item x="798"/>
        <item x="799"/>
        <item x="813"/>
        <item x="19"/>
        <item x="549"/>
        <item x="544"/>
        <item x="795"/>
        <item x="681"/>
        <item x="363"/>
        <item x="139"/>
        <item x="905"/>
        <item x="88"/>
        <item x="87"/>
        <item x="676"/>
        <item x="668"/>
        <item x="599"/>
        <item x="57"/>
        <item x="607"/>
        <item x="694"/>
        <item x="753"/>
        <item x="752"/>
        <item x="908"/>
        <item x="1043"/>
        <item x="814"/>
        <item x="155"/>
        <item x="487"/>
        <item x="469"/>
        <item x="941"/>
        <item x="81"/>
        <item x="79"/>
        <item x="80"/>
        <item x="530"/>
        <item x="461"/>
        <item x="449"/>
        <item x="768"/>
        <item x="442"/>
        <item x="383"/>
        <item x="973"/>
        <item x="967"/>
        <item x="800"/>
        <item x="501"/>
        <item x="641"/>
        <item x="606"/>
        <item x="695"/>
        <item x="611"/>
        <item x="598"/>
        <item x="760"/>
        <item x="730"/>
        <item x="921"/>
        <item x="810"/>
        <item x="222"/>
        <item x="865"/>
        <item x="226"/>
        <item x="365"/>
        <item x="263"/>
        <item x="826"/>
        <item x="923"/>
        <item x="173"/>
        <item x="1030"/>
        <item x="541"/>
        <item x="580"/>
        <item x="35"/>
        <item x="105"/>
        <item x="327"/>
        <item x="901"/>
        <item x="708"/>
        <item x="670"/>
        <item x="75"/>
        <item x="76"/>
        <item x="77"/>
        <item x="1023"/>
        <item x="525"/>
        <item x="690"/>
        <item x="944"/>
        <item x="975"/>
        <item x="120"/>
        <item x="769"/>
        <item x="542"/>
        <item x="997"/>
        <item x="331"/>
        <item x="259"/>
        <item x="272"/>
        <item x="13"/>
        <item x="1020"/>
        <item x="783"/>
        <item x="519"/>
        <item x="509"/>
        <item x="796"/>
        <item x="642"/>
        <item x="585"/>
        <item x="37"/>
        <item x="933"/>
        <item x="533"/>
        <item x="691"/>
        <item x="656"/>
        <item x="793"/>
        <item x="219"/>
        <item x="885"/>
        <item x="779"/>
        <item x="396"/>
        <item x="553"/>
        <item x="264"/>
        <item x="677"/>
        <item x="364"/>
        <item x="900"/>
        <item x="785"/>
        <item x="1001"/>
        <item x="55"/>
        <item x="56"/>
        <item x="945"/>
        <item x="146"/>
        <item x="988"/>
        <item x="737"/>
        <item x="311"/>
        <item x="145"/>
        <item x="391"/>
        <item x="731"/>
        <item x="180"/>
        <item x="774"/>
        <item x="593"/>
        <item x="89"/>
        <item x="165"/>
        <item x="196"/>
        <item x="565"/>
        <item x="315"/>
        <item x="470"/>
        <item x="700"/>
        <item x="115"/>
        <item x="671"/>
        <item x="706"/>
        <item x="1045"/>
        <item x="728"/>
        <item x="859"/>
        <item x="430"/>
        <item x="216"/>
        <item x="790"/>
        <item x="665"/>
        <item x="24"/>
        <item x="879"/>
        <item x="336"/>
        <item x="465"/>
        <item x="458"/>
        <item x="475"/>
        <item x="485"/>
        <item x="70"/>
        <item x="880"/>
        <item x="397"/>
        <item x="431"/>
        <item x="724"/>
        <item x="318"/>
        <item x="46"/>
        <item x="961"/>
        <item x="902"/>
        <item x="595"/>
        <item x="755"/>
        <item x="926"/>
        <item x="1011"/>
        <item x="1016"/>
        <item x="97"/>
        <item x="979"/>
        <item x="995"/>
        <item x="521"/>
        <item x="171"/>
        <item x="843"/>
        <item x="808"/>
        <item x="454"/>
        <item x="588"/>
        <item x="116"/>
        <item x="142"/>
        <item x="869"/>
        <item x="234"/>
        <item x="710"/>
        <item x="100"/>
        <item x="621"/>
        <item x="596"/>
        <item x="64"/>
        <item x="332"/>
        <item x="536"/>
        <item x="517"/>
        <item x="472"/>
        <item x="617"/>
        <item x="946"/>
        <item x="114"/>
        <item x="186"/>
        <item x="238"/>
        <item x="437"/>
        <item x="463"/>
        <item x="482"/>
        <item x="25"/>
        <item x="244"/>
        <item x="834"/>
        <item x="287"/>
        <item x="985"/>
        <item x="45"/>
        <item x="419"/>
        <item x="529"/>
        <item x="896"/>
        <item x="313"/>
        <item x="863"/>
        <item x="852"/>
        <item x="191"/>
        <item x="850"/>
        <item x="192"/>
        <item x="849"/>
        <item x="881"/>
        <item x="871"/>
        <item x="23"/>
        <item x="484"/>
        <item x="725"/>
        <item x="1040"/>
        <item x="701"/>
        <item x="493"/>
        <item x="729"/>
        <item x="257"/>
        <item x="618"/>
        <item x="92"/>
        <item x="93"/>
        <item x="957"/>
        <item x="236"/>
        <item x="41"/>
        <item x="562"/>
        <item x="844"/>
        <item x="367"/>
        <item x="711"/>
        <item x="516"/>
        <item x="512"/>
        <item x="69"/>
        <item x="200"/>
        <item x="323"/>
        <item x="929"/>
        <item x="267"/>
        <item x="310"/>
        <item x="309"/>
        <item x="777"/>
        <item x="440"/>
        <item x="845"/>
        <item x="839"/>
        <item x="325"/>
        <item x="424"/>
        <item x="666"/>
        <item x="1021"/>
        <item x="1022"/>
        <item x="974"/>
        <item x="928"/>
        <item x="931"/>
        <item x="772"/>
        <item x="202"/>
      </items>
      <autoSortScope>
        <pivotArea dataOnly="0" outline="0" fieldPosition="0">
          <references count="1">
            <reference field="4294967294" count="1" selected="0">
              <x v="0"/>
            </reference>
          </references>
        </pivotArea>
      </autoSortScope>
    </pivotField>
    <pivotField compact="0" numFmtId="14" outline="0" showAll="0" defaultSubtotal="0">
      <items count="1014">
        <item x="733"/>
        <item x="732"/>
        <item x="731"/>
        <item x="760"/>
        <item x="730"/>
        <item x="423"/>
        <item x="163"/>
        <item x="729"/>
        <item x="757"/>
        <item x="754"/>
        <item x="756"/>
        <item x="728"/>
        <item x="755"/>
        <item x="160"/>
        <item x="727"/>
        <item x="762"/>
        <item x="726"/>
        <item x="725"/>
        <item x="724"/>
        <item x="759"/>
        <item x="1009"/>
        <item x="723"/>
        <item x="722"/>
        <item x="166"/>
        <item x="165"/>
        <item x="761"/>
        <item x="167"/>
        <item x="763"/>
        <item x="1003"/>
        <item x="850"/>
        <item x="164"/>
        <item x="168"/>
        <item x="765"/>
        <item x="764"/>
        <item x="721"/>
        <item x="1010"/>
        <item x="718"/>
        <item x="720"/>
        <item x="65"/>
        <item x="719"/>
        <item x="714"/>
        <item x="717"/>
        <item x="1008"/>
        <item x="715"/>
        <item x="716"/>
        <item x="1004"/>
        <item x="713"/>
        <item x="158"/>
        <item x="159"/>
        <item x="711"/>
        <item x="710"/>
        <item x="999"/>
        <item x="712"/>
        <item x="709"/>
        <item x="708"/>
        <item x="61"/>
        <item x="1005"/>
        <item x="71"/>
        <item x="707"/>
        <item x="706"/>
        <item x="704"/>
        <item x="1002"/>
        <item x="705"/>
        <item x="702"/>
        <item x="701"/>
        <item x="703"/>
        <item x="700"/>
        <item x="699"/>
        <item x="418"/>
        <item x="1001"/>
        <item x="989"/>
        <item x="89"/>
        <item x="698"/>
        <item x="157"/>
        <item x="697"/>
        <item x="849"/>
        <item x="694"/>
        <item x="696"/>
        <item x="695"/>
        <item x="691"/>
        <item x="1006"/>
        <item x="693"/>
        <item x="692"/>
        <item x="690"/>
        <item x="851"/>
        <item x="686"/>
        <item x="689"/>
        <item x="685"/>
        <item x="911"/>
        <item x="688"/>
        <item x="687"/>
        <item x="684"/>
        <item x="758"/>
        <item x="156"/>
        <item x="682"/>
        <item x="683"/>
        <item x="877"/>
        <item x="162"/>
        <item x="72"/>
        <item x="679"/>
        <item x="125"/>
        <item x="680"/>
        <item x="155"/>
        <item x="681"/>
        <item x="675"/>
        <item x="678"/>
        <item x="674"/>
        <item x="229"/>
        <item x="878"/>
        <item x="124"/>
        <item x="676"/>
        <item x="677"/>
        <item x="202"/>
        <item x="197"/>
        <item x="154"/>
        <item x="58"/>
        <item x="421"/>
        <item x="673"/>
        <item x="671"/>
        <item x="1007"/>
        <item x="672"/>
        <item x="59"/>
        <item x="117"/>
        <item x="153"/>
        <item x="998"/>
        <item x="57"/>
        <item x="670"/>
        <item x="230"/>
        <item x="116"/>
        <item x="412"/>
        <item x="668"/>
        <item x="667"/>
        <item x="666"/>
        <item x="665"/>
        <item x="150"/>
        <item x="663"/>
        <item x="853"/>
        <item x="152"/>
        <item x="669"/>
        <item x="854"/>
        <item x="151"/>
        <item x="664"/>
        <item x="200"/>
        <item x="60"/>
        <item x="662"/>
        <item x="659"/>
        <item x="872"/>
        <item x="660"/>
        <item x="661"/>
        <item x="658"/>
        <item x="118"/>
        <item x="656"/>
        <item x="657"/>
        <item x="855"/>
        <item x="64"/>
        <item x="655"/>
        <item x="39"/>
        <item x="149"/>
        <item x="653"/>
        <item x="652"/>
        <item x="826"/>
        <item x="119"/>
        <item x="148"/>
        <item x="654"/>
        <item x="876"/>
        <item x="651"/>
        <item x="40"/>
        <item x="648"/>
        <item x="650"/>
        <item x="649"/>
        <item x="875"/>
        <item x="41"/>
        <item x="120"/>
        <item x="43"/>
        <item x="645"/>
        <item x="400"/>
        <item x="886"/>
        <item x="647"/>
        <item x="646"/>
        <item x="644"/>
        <item x="637"/>
        <item x="643"/>
        <item x="642"/>
        <item x="640"/>
        <item x="198"/>
        <item x="641"/>
        <item x="638"/>
        <item x="639"/>
        <item x="121"/>
        <item x="636"/>
        <item x="169"/>
        <item x="147"/>
        <item x="633"/>
        <item x="146"/>
        <item x="635"/>
        <item x="634"/>
        <item x="885"/>
        <item x="628"/>
        <item x="629"/>
        <item x="632"/>
        <item x="856"/>
        <item x="627"/>
        <item x="630"/>
        <item x="392"/>
        <item x="631"/>
        <item x="816"/>
        <item x="201"/>
        <item x="626"/>
        <item x="410"/>
        <item x="622"/>
        <item x="145"/>
        <item x="625"/>
        <item x="887"/>
        <item x="115"/>
        <item x="996"/>
        <item x="623"/>
        <item x="624"/>
        <item x="42"/>
        <item x="617"/>
        <item x="874"/>
        <item x="144"/>
        <item x="618"/>
        <item x="620"/>
        <item x="621"/>
        <item x="338"/>
        <item x="619"/>
        <item x="3"/>
        <item x="413"/>
        <item x="616"/>
        <item x="612"/>
        <item x="106"/>
        <item x="611"/>
        <item x="613"/>
        <item x="170"/>
        <item x="614"/>
        <item x="364"/>
        <item x="615"/>
        <item x="610"/>
        <item x="62"/>
        <item x="871"/>
        <item x="393"/>
        <item x="196"/>
        <item x="609"/>
        <item x="605"/>
        <item x="608"/>
        <item x="607"/>
        <item x="398"/>
        <item x="199"/>
        <item x="604"/>
        <item x="606"/>
        <item x="603"/>
        <item x="142"/>
        <item x="141"/>
        <item x="193"/>
        <item x="171"/>
        <item x="602"/>
        <item x="107"/>
        <item x="143"/>
        <item x="601"/>
        <item x="34"/>
        <item x="4"/>
        <item x="814"/>
        <item x="9"/>
        <item x="598"/>
        <item x="409"/>
        <item x="411"/>
        <item x="600"/>
        <item x="377"/>
        <item x="597"/>
        <item x="108"/>
        <item x="599"/>
        <item x="596"/>
        <item x="888"/>
        <item x="592"/>
        <item x="367"/>
        <item x="594"/>
        <item x="379"/>
        <item x="593"/>
        <item x="231"/>
        <item x="595"/>
        <item x="363"/>
        <item x="390"/>
        <item x="590"/>
        <item x="589"/>
        <item x="591"/>
        <item x="37"/>
        <item x="376"/>
        <item x="397"/>
        <item x="374"/>
        <item x="587"/>
        <item x="588"/>
        <item x="766"/>
        <item x="417"/>
        <item x="586"/>
        <item x="898"/>
        <item x="579"/>
        <item x="63"/>
        <item x="584"/>
        <item x="582"/>
        <item x="416"/>
        <item x="73"/>
        <item x="5"/>
        <item x="812"/>
        <item x="1000"/>
        <item x="580"/>
        <item x="585"/>
        <item x="583"/>
        <item x="944"/>
        <item x="581"/>
        <item x="1011"/>
        <item x="574"/>
        <item x="811"/>
        <item x="578"/>
        <item x="576"/>
        <item x="205"/>
        <item x="399"/>
        <item x="2"/>
        <item x="889"/>
        <item x="391"/>
        <item x="857"/>
        <item x="577"/>
        <item x="575"/>
        <item x="403"/>
        <item x="571"/>
        <item x="568"/>
        <item x="387"/>
        <item x="573"/>
        <item x="194"/>
        <item x="105"/>
        <item x="882"/>
        <item x="985"/>
        <item x="572"/>
        <item x="567"/>
        <item x="870"/>
        <item x="935"/>
        <item x="381"/>
        <item x="566"/>
        <item x="827"/>
        <item x="570"/>
        <item x="569"/>
        <item x="847"/>
        <item x="565"/>
        <item x="896"/>
        <item x="1"/>
        <item x="810"/>
        <item x="318"/>
        <item x="561"/>
        <item x="858"/>
        <item x="378"/>
        <item x="564"/>
        <item x="890"/>
        <item x="563"/>
        <item x="562"/>
        <item x="407"/>
        <item x="560"/>
        <item x="909"/>
        <item x="846"/>
        <item x="352"/>
        <item x="556"/>
        <item x="375"/>
        <item x="104"/>
        <item x="557"/>
        <item x="554"/>
        <item x="404"/>
        <item x="316"/>
        <item x="845"/>
        <item x="945"/>
        <item x="555"/>
        <item x="558"/>
        <item x="359"/>
        <item x="559"/>
        <item x="373"/>
        <item x="552"/>
        <item x="553"/>
        <item x="358"/>
        <item x="327"/>
        <item x="967"/>
        <item x="321"/>
        <item x="550"/>
        <item x="984"/>
        <item x="986"/>
        <item x="844"/>
        <item x="385"/>
        <item x="838"/>
        <item x="396"/>
        <item x="551"/>
        <item x="383"/>
        <item x="545"/>
        <item x="946"/>
        <item x="549"/>
        <item x="349"/>
        <item x="936"/>
        <item x="910"/>
        <item x="548"/>
        <item x="843"/>
        <item x="281"/>
        <item x="547"/>
        <item x="543"/>
        <item x="380"/>
        <item x="544"/>
        <item x="546"/>
        <item x="45"/>
        <item x="542"/>
        <item x="49"/>
        <item x="537"/>
        <item x="344"/>
        <item x="540"/>
        <item x="355"/>
        <item x="538"/>
        <item x="44"/>
        <item x="842"/>
        <item x="852"/>
        <item x="366"/>
        <item x="357"/>
        <item x="983"/>
        <item x="824"/>
        <item x="422"/>
        <item x="869"/>
        <item x="541"/>
        <item x="536"/>
        <item x="535"/>
        <item x="539"/>
        <item x="532"/>
        <item x="232"/>
        <item x="328"/>
        <item x="531"/>
        <item x="1012"/>
        <item x="293"/>
        <item x="356"/>
        <item x="778"/>
        <item x="53"/>
        <item x="891"/>
        <item x="868"/>
        <item x="981"/>
        <item x="530"/>
        <item x="388"/>
        <item x="534"/>
        <item x="533"/>
        <item x="123"/>
        <item x="183"/>
        <item x="526"/>
        <item x="525"/>
        <item x="523"/>
        <item x="285"/>
        <item x="524"/>
        <item x="329"/>
        <item x="20"/>
        <item x="840"/>
        <item x="414"/>
        <item x="883"/>
        <item x="823"/>
        <item x="529"/>
        <item x="362"/>
        <item x="807"/>
        <item x="867"/>
        <item x="527"/>
        <item x="38"/>
        <item x="1013"/>
        <item x="993"/>
        <item x="78"/>
        <item x="339"/>
        <item x="312"/>
        <item x="521"/>
        <item x="520"/>
        <item x="519"/>
        <item x="323"/>
        <item x="237"/>
        <item x="290"/>
        <item x="419"/>
        <item x="372"/>
        <item x="939"/>
        <item x="369"/>
        <item x="518"/>
        <item x="103"/>
        <item x="111"/>
        <item x="522"/>
        <item x="982"/>
        <item x="395"/>
        <item x="779"/>
        <item x="114"/>
        <item x="415"/>
        <item x="512"/>
        <item x="298"/>
        <item x="307"/>
        <item x="513"/>
        <item x="516"/>
        <item x="304"/>
        <item x="515"/>
        <item x="211"/>
        <item x="806"/>
        <item x="353"/>
        <item x="514"/>
        <item x="322"/>
        <item x="517"/>
        <item x="528"/>
        <item x="510"/>
        <item x="884"/>
        <item x="19"/>
        <item x="508"/>
        <item x="511"/>
        <item x="780"/>
        <item x="288"/>
        <item x="509"/>
        <item x="331"/>
        <item x="947"/>
        <item x="140"/>
        <item x="966"/>
        <item x="184"/>
        <item x="828"/>
        <item x="100"/>
        <item x="905"/>
        <item x="235"/>
        <item x="913"/>
        <item x="837"/>
        <item x="299"/>
        <item x="503"/>
        <item x="330"/>
        <item x="506"/>
        <item x="507"/>
        <item x="249"/>
        <item x="248"/>
        <item x="504"/>
        <item x="324"/>
        <item x="753"/>
        <item x="354"/>
        <item x="212"/>
        <item x="873"/>
        <item x="505"/>
        <item x="139"/>
        <item x="365"/>
        <item x="317"/>
        <item x="342"/>
        <item x="502"/>
        <item x="269"/>
        <item x="138"/>
        <item x="326"/>
        <item x="501"/>
        <item x="195"/>
        <item x="402"/>
        <item x="325"/>
        <item x="805"/>
        <item x="319"/>
        <item x="500"/>
        <item x="97"/>
        <item x="113"/>
        <item x="767"/>
        <item x="284"/>
        <item x="496"/>
        <item x="266"/>
        <item x="345"/>
        <item x="264"/>
        <item x="11"/>
        <item x="499"/>
        <item x="859"/>
        <item x="305"/>
        <item x="213"/>
        <item x="420"/>
        <item x="927"/>
        <item x="384"/>
        <item x="498"/>
        <item x="804"/>
        <item x="819"/>
        <item x="497"/>
        <item x="210"/>
        <item x="68"/>
        <item x="309"/>
        <item x="294"/>
        <item x="495"/>
        <item x="21"/>
        <item x="493"/>
        <item x="795"/>
        <item x="350"/>
        <item x="238"/>
        <item x="829"/>
        <item x="22"/>
        <item x="494"/>
        <item x="920"/>
        <item x="254"/>
        <item x="66"/>
        <item x="895"/>
        <item x="914"/>
        <item x="768"/>
        <item x="99"/>
        <item x="75"/>
        <item x="301"/>
        <item x="278"/>
        <item x="287"/>
        <item x="803"/>
        <item x="268"/>
        <item x="272"/>
        <item x="492"/>
        <item x="347"/>
        <item x="8"/>
        <item x="233"/>
        <item x="267"/>
        <item x="963"/>
        <item x="332"/>
        <item x="250"/>
        <item x="280"/>
        <item x="300"/>
        <item x="940"/>
        <item x="491"/>
        <item x="320"/>
        <item x="7"/>
        <item x="24"/>
        <item x="10"/>
        <item x="112"/>
        <item x="70"/>
        <item x="69"/>
        <item x="102"/>
        <item x="96"/>
        <item x="979"/>
        <item x="394"/>
        <item x="77"/>
        <item x="286"/>
        <item x="830"/>
        <item x="337"/>
        <item x="90"/>
        <item x="351"/>
        <item x="769"/>
        <item x="915"/>
        <item x="306"/>
        <item x="259"/>
        <item x="297"/>
        <item x="488"/>
        <item x="406"/>
        <item x="820"/>
        <item x="489"/>
        <item x="262"/>
        <item x="490"/>
        <item x="382"/>
        <item x="948"/>
        <item x="191"/>
        <item x="335"/>
        <item x="343"/>
        <item x="271"/>
        <item x="256"/>
        <item x="929"/>
        <item x="263"/>
        <item x="921"/>
        <item x="76"/>
        <item x="781"/>
        <item x="957"/>
        <item x="334"/>
        <item x="386"/>
        <item x="333"/>
        <item x="122"/>
        <item x="968"/>
        <item x="341"/>
        <item x="346"/>
        <item x="244"/>
        <item x="12"/>
        <item x="261"/>
        <item x="98"/>
        <item x="274"/>
        <item x="831"/>
        <item x="252"/>
        <item x="916"/>
        <item x="83"/>
        <item x="279"/>
        <item x="292"/>
        <item x="401"/>
        <item x="282"/>
        <item x="314"/>
        <item x="389"/>
        <item x="54"/>
        <item x="33"/>
        <item x="173"/>
        <item x="486"/>
        <item x="26"/>
        <item x="866"/>
        <item x="487"/>
        <item x="277"/>
        <item x="371"/>
        <item x="791"/>
        <item x="23"/>
        <item x="295"/>
        <item x="485"/>
        <item x="308"/>
        <item x="360"/>
        <item x="275"/>
        <item x="900"/>
        <item x="270"/>
        <item x="484"/>
        <item x="174"/>
        <item x="276"/>
        <item x="245"/>
        <item x="257"/>
        <item x="246"/>
        <item x="48"/>
        <item x="25"/>
        <item x="253"/>
        <item x="92"/>
        <item x="291"/>
        <item x="368"/>
        <item x="361"/>
        <item x="95"/>
        <item x="137"/>
        <item x="405"/>
        <item x="74"/>
        <item x="303"/>
        <item x="84"/>
        <item x="313"/>
        <item x="192"/>
        <item x="36"/>
        <item x="35"/>
        <item x="481"/>
        <item x="265"/>
        <item x="260"/>
        <item x="813"/>
        <item x="789"/>
        <item x="483"/>
        <item x="247"/>
        <item x="234"/>
        <item x="255"/>
        <item x="938"/>
        <item x="172"/>
        <item x="310"/>
        <item x="302"/>
        <item x="296"/>
        <item x="289"/>
        <item x="348"/>
        <item x="109"/>
        <item x="127"/>
        <item x="101"/>
        <item x="0"/>
        <item x="340"/>
        <item x="283"/>
        <item x="408"/>
        <item x="482"/>
        <item x="227"/>
        <item x="110"/>
        <item x="336"/>
        <item x="126"/>
        <item x="185"/>
        <item x="251"/>
        <item x="315"/>
        <item x="82"/>
        <item x="242"/>
        <item x="236"/>
        <item x="273"/>
        <item x="239"/>
        <item x="94"/>
        <item x="311"/>
        <item x="990"/>
        <item x="190"/>
        <item x="258"/>
        <item x="786"/>
        <item x="370"/>
        <item x="962"/>
        <item x="241"/>
        <item x="240"/>
        <item x="46"/>
        <item x="243"/>
        <item x="479"/>
        <item x="218"/>
        <item x="220"/>
        <item x="28"/>
        <item x="770"/>
        <item x="477"/>
        <item x="136"/>
        <item x="424"/>
        <item x="474"/>
        <item x="775"/>
        <item x="478"/>
        <item x="134"/>
        <item x="475"/>
        <item x="16"/>
        <item x="839"/>
        <item x="473"/>
        <item x="771"/>
        <item x="179"/>
        <item x="214"/>
        <item x="949"/>
        <item x="480"/>
        <item x="203"/>
        <item x="865"/>
        <item x="135"/>
        <item x="476"/>
        <item x="952"/>
        <item x="91"/>
        <item x="860"/>
        <item x="50"/>
        <item x="17"/>
        <item x="848"/>
        <item x="821"/>
        <item x="27"/>
        <item x="923"/>
        <item x="87"/>
        <item x="881"/>
        <item x="471"/>
        <item x="30"/>
        <item x="906"/>
        <item x="802"/>
        <item x="469"/>
        <item x="472"/>
        <item x="467"/>
        <item x="466"/>
        <item x="132"/>
        <item x="86"/>
        <item x="988"/>
        <item x="175"/>
        <item x="468"/>
        <item x="470"/>
        <item x="88"/>
        <item x="861"/>
        <item x="465"/>
        <item x="31"/>
        <item x="133"/>
        <item x="975"/>
        <item x="29"/>
        <item x="894"/>
        <item x="130"/>
        <item x="189"/>
        <item x="777"/>
        <item x="228"/>
        <item x="51"/>
        <item x="462"/>
        <item x="950"/>
        <item x="460"/>
        <item x="971"/>
        <item x="458"/>
        <item x="461"/>
        <item x="464"/>
        <item x="459"/>
        <item x="206"/>
        <item x="772"/>
        <item x="186"/>
        <item x="223"/>
        <item x="67"/>
        <item x="14"/>
        <item x="131"/>
        <item x="463"/>
        <item x="809"/>
        <item x="974"/>
        <item x="182"/>
        <item x="176"/>
        <item x="226"/>
        <item x="784"/>
        <item x="455"/>
        <item x="47"/>
        <item x="452"/>
        <item x="818"/>
        <item x="454"/>
        <item x="457"/>
        <item x="451"/>
        <item x="129"/>
        <item x="456"/>
        <item x="815"/>
        <item x="224"/>
        <item x="55"/>
        <item x="204"/>
        <item x="864"/>
        <item x="453"/>
        <item x="180"/>
        <item x="954"/>
        <item x="15"/>
        <item x="215"/>
        <item x="822"/>
        <item x="817"/>
        <item x="794"/>
        <item x="987"/>
        <item x="449"/>
        <item x="785"/>
        <item x="443"/>
        <item x="922"/>
        <item x="450"/>
        <item x="943"/>
        <item x="448"/>
        <item x="833"/>
        <item x="980"/>
        <item x="445"/>
        <item x="958"/>
        <item x="447"/>
        <item x="444"/>
        <item x="808"/>
        <item x="773"/>
        <item x="964"/>
        <item x="969"/>
        <item x="209"/>
        <item x="796"/>
        <item x="832"/>
        <item x="128"/>
        <item x="446"/>
        <item x="222"/>
        <item x="907"/>
        <item x="81"/>
        <item x="941"/>
        <item x="926"/>
        <item x="961"/>
        <item x="801"/>
        <item x="953"/>
        <item x="187"/>
        <item x="917"/>
        <item x="880"/>
        <item x="435"/>
        <item x="438"/>
        <item x="836"/>
        <item x="776"/>
        <item x="18"/>
        <item x="924"/>
        <item x="441"/>
        <item x="439"/>
        <item x="436"/>
        <item x="177"/>
        <item x="978"/>
        <item x="792"/>
        <item x="970"/>
        <item x="225"/>
        <item x="221"/>
        <item x="991"/>
        <item x="216"/>
        <item x="440"/>
        <item x="800"/>
        <item x="442"/>
        <item x="93"/>
        <item x="437"/>
        <item x="787"/>
        <item x="434"/>
        <item x="783"/>
        <item x="80"/>
        <item x="893"/>
        <item x="56"/>
        <item x="992"/>
        <item x="32"/>
        <item x="799"/>
        <item x="429"/>
        <item x="431"/>
        <item x="934"/>
        <item x="428"/>
        <item x="427"/>
        <item x="960"/>
        <item x="994"/>
        <item x="425"/>
        <item x="432"/>
        <item x="426"/>
        <item x="774"/>
        <item x="976"/>
        <item x="956"/>
        <item x="933"/>
        <item x="217"/>
        <item x="965"/>
        <item x="955"/>
        <item x="433"/>
        <item x="430"/>
        <item x="862"/>
        <item x="835"/>
        <item x="79"/>
        <item x="951"/>
        <item x="188"/>
        <item x="208"/>
        <item x="972"/>
        <item x="181"/>
        <item x="793"/>
        <item x="790"/>
        <item x="736"/>
        <item x="798"/>
        <item x="737"/>
        <item x="6"/>
        <item x="973"/>
        <item x="738"/>
        <item x="735"/>
        <item x="918"/>
        <item x="739"/>
        <item x="797"/>
        <item x="959"/>
        <item x="977"/>
        <item x="740"/>
        <item x="942"/>
        <item x="219"/>
        <item x="178"/>
        <item x="742"/>
        <item x="825"/>
        <item x="85"/>
        <item x="161"/>
        <item x="741"/>
        <item x="937"/>
        <item x="908"/>
        <item x="52"/>
        <item x="734"/>
        <item x="841"/>
        <item x="897"/>
        <item x="13"/>
        <item x="749"/>
        <item x="782"/>
        <item x="904"/>
        <item x="747"/>
        <item x="745"/>
        <item x="746"/>
        <item x="743"/>
        <item x="751"/>
        <item x="834"/>
        <item x="899"/>
        <item x="744"/>
        <item x="901"/>
        <item x="879"/>
        <item x="748"/>
        <item x="902"/>
        <item x="903"/>
        <item x="995"/>
        <item x="750"/>
        <item x="997"/>
        <item x="863"/>
        <item x="912"/>
        <item x="788"/>
        <item x="919"/>
        <item x="925"/>
        <item x="752"/>
        <item x="207"/>
        <item x="928"/>
        <item x="930"/>
        <item x="892"/>
        <item x="931"/>
        <item x="932"/>
      </items>
    </pivotField>
    <pivotField dataField="1"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dragToRow="0" dragToCol="0" dragToPage="0" showAll="0" defaultSubtotal="0"/>
    <pivotField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s>
  <rowFields count="1">
    <field x="1"/>
  </rowFields>
  <rowItems count="4">
    <i>
      <x v="232"/>
    </i>
    <i>
      <x v="284"/>
    </i>
    <i>
      <x v="908"/>
    </i>
    <i t="grand">
      <x/>
    </i>
  </rowItems>
  <colFields count="1">
    <field x="-2"/>
  </colFields>
  <colItems count="6">
    <i>
      <x/>
    </i>
    <i i="1">
      <x v="1"/>
    </i>
    <i i="2">
      <x v="2"/>
    </i>
    <i i="3">
      <x v="3"/>
    </i>
    <i i="4">
      <x v="4"/>
    </i>
    <i i="5">
      <x v="5"/>
    </i>
  </colItems>
  <dataFields count="6">
    <dataField name=" Budget" fld="10" baseField="4" baseItem="1" numFmtId="164"/>
    <dataField name=" Box Office" fld="11" baseField="4" baseItem="3" numFmtId="164"/>
    <dataField name=" Profit" fld="14" baseField="0" baseItem="0" numFmtId="164"/>
    <dataField name=" Oscar Wins" fld="13" baseField="0" baseItem="0"/>
    <dataField name=" Nominations" fld="12" baseField="0" baseItem="0"/>
    <dataField name="Run Time (Min." fld="3" baseField="0" baseItem="0"/>
  </dataFields>
  <formats count="7">
    <format dxfId="283">
      <pivotArea outline="0" collapsedLevelsAreSubtotals="1" fieldPosition="0"/>
    </format>
    <format dxfId="282">
      <pivotArea type="all" dataOnly="0" outline="0" fieldPosition="0"/>
    </format>
    <format dxfId="281">
      <pivotArea outline="0" collapsedLevelsAreSubtotals="1" fieldPosition="0"/>
    </format>
    <format dxfId="280">
      <pivotArea field="1" type="button" dataOnly="0" labelOnly="1" outline="0" axis="axisRow" fieldPosition="0"/>
    </format>
    <format dxfId="279">
      <pivotArea dataOnly="0" labelOnly="1" outline="0" fieldPosition="0">
        <references count="1">
          <reference field="1" count="21">
            <x v="75"/>
            <x v="76"/>
            <x v="90"/>
            <x v="134"/>
            <x v="305"/>
            <x v="333"/>
            <x v="334"/>
            <x v="336"/>
            <x v="409"/>
            <x v="429"/>
            <x v="480"/>
            <x v="577"/>
            <x v="580"/>
            <x v="689"/>
            <x v="693"/>
            <x v="715"/>
            <x v="739"/>
            <x v="760"/>
            <x v="761"/>
            <x v="789"/>
            <x v="832"/>
          </reference>
        </references>
      </pivotArea>
    </format>
    <format dxfId="278">
      <pivotArea dataOnly="0" labelOnly="1" grandRow="1" outline="0" fieldPosition="0"/>
    </format>
    <format dxfId="277">
      <pivotArea dataOnly="0" labelOnly="1" outline="0" fieldPosition="0">
        <references count="1">
          <reference field="4294967294" count="6">
            <x v="0"/>
            <x v="1"/>
            <x v="2"/>
            <x v="3"/>
            <x v="4"/>
            <x v="5"/>
          </reference>
        </references>
      </pivotArea>
    </format>
  </formats>
  <conditionalFormats count="2">
    <conditionalFormat priority="2">
      <pivotAreas count="1">
        <pivotArea type="data" outline="0" collapsedLevelsAreSubtotals="1" fieldPosition="0">
          <references count="2">
            <reference field="4294967294" count="1" selected="0">
              <x v="2"/>
            </reference>
            <reference field="1" count="21" selected="0">
              <x v="75"/>
              <x v="76"/>
              <x v="90"/>
              <x v="134"/>
              <x v="305"/>
              <x v="333"/>
              <x v="334"/>
              <x v="336"/>
              <x v="409"/>
              <x v="429"/>
              <x v="480"/>
              <x v="577"/>
              <x v="580"/>
              <x v="689"/>
              <x v="693"/>
              <x v="715"/>
              <x v="739"/>
              <x v="760"/>
              <x v="761"/>
              <x v="789"/>
              <x v="832"/>
            </reference>
          </references>
        </pivotArea>
      </pivotAreas>
    </conditionalFormat>
    <conditionalFormat priority="6">
      <pivotAreas count="1">
        <pivotArea type="data" grandRow="1" outline="0" collapsedLevelsAreSubtotals="1" fieldPosition="0">
          <references count="1">
            <reference field="4294967294" count="1" selected="0">
              <x v="2"/>
            </reference>
          </references>
        </pivotArea>
      </pivotAreas>
    </conditionalFormat>
  </conditionalFormats>
  <pivotTableStyleInfo name="PivotStyleMedium7" showRowHeaders="1" showColHeaders="1" showRowStripes="0" showColStripes="1" showLastColumn="1"/>
  <filters count="2">
    <filter fld="2" type="dateBetween" evalOrder="-1" id="65" name="Release Date">
      <autoFilter ref="A1">
        <filterColumn colId="0">
          <customFilters and="1">
            <customFilter operator="greaterThanOrEqual" val="11324"/>
            <customFilter operator="lessThanOrEqual" val="11688"/>
          </customFilters>
        </filterColumn>
      </autoFilter>
      <extLst>
        <ext xmlns:x15="http://schemas.microsoft.com/office/spreadsheetml/2010/11/main" uri="{0605FD5F-26C8-4aeb-8148-2DB25E43C511}">
          <x15:pivotFilter useWholeDay="1"/>
        </ext>
      </extLst>
    </filter>
    <filter fld="1" type="count" evalOrder="-1" id="4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B92725-9EA2-466C-B6F4-99A24031C087}" name="PivotTable4" cacheId="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V41:AB45" firstHeaderRow="0" firstDataRow="1" firstDataCol="1"/>
  <pivotFields count="16">
    <pivotField compact="0" outline="0" showAll="0" defaultSubtotal="0"/>
    <pivotField axis="axisRow" compact="0" outline="0" multipleItemSelectionAllowed="1" showAll="0" measureFilter="1" sortType="descending" defaultSubtotal="0">
      <items count="1050">
        <item x="640"/>
        <item x="342"/>
        <item x="483"/>
        <item x="531"/>
        <item x="1003"/>
        <item x="185"/>
        <item x="67"/>
        <item x="980"/>
        <item x="736"/>
        <item x="149"/>
        <item x="990"/>
        <item x="1025"/>
        <item x="1032"/>
        <item x="112"/>
        <item x="184"/>
        <item x="32"/>
        <item x="1015"/>
        <item x="807"/>
        <item x="624"/>
        <item x="629"/>
        <item x="305"/>
        <item x="144"/>
        <item x="522"/>
        <item x="147"/>
        <item x="726"/>
        <item x="559"/>
        <item x="176"/>
        <item x="58"/>
        <item x="153"/>
        <item x="378"/>
        <item x="819"/>
        <item x="183"/>
        <item x="993"/>
        <item x="1044"/>
        <item x="30"/>
        <item x="743"/>
        <item x="857"/>
        <item x="861"/>
        <item x="526"/>
        <item x="631"/>
        <item x="684"/>
        <item x="669"/>
        <item x="554"/>
        <item x="279"/>
        <item x="129"/>
        <item x="425"/>
        <item x="350"/>
        <item x="410"/>
        <item x="759"/>
        <item x="655"/>
        <item x="21"/>
        <item x="413"/>
        <item x="284"/>
        <item x="673"/>
        <item x="903"/>
        <item x="891"/>
        <item x="856"/>
        <item x="622"/>
        <item x="1027"/>
        <item x="399"/>
        <item x="486"/>
        <item x="163"/>
        <item x="626"/>
        <item x="748"/>
        <item x="653"/>
        <item x="1014"/>
        <item x="632"/>
        <item x="639"/>
        <item x="366"/>
        <item x="328"/>
        <item x="249"/>
        <item x="275"/>
        <item x="627"/>
        <item x="815"/>
        <item x="520"/>
        <item x="480"/>
        <item x="764"/>
        <item x="406"/>
        <item x="369"/>
        <item x="368"/>
        <item x="1031"/>
        <item x="506"/>
        <item x="963"/>
        <item x="964"/>
        <item x="557"/>
        <item x="575"/>
        <item x="831"/>
        <item x="245"/>
        <item x="538"/>
        <item x="558"/>
        <item x="773"/>
        <item x="68"/>
        <item x="809"/>
        <item x="563"/>
        <item x="148"/>
        <item x="240"/>
        <item x="587"/>
        <item x="719"/>
        <item x="239"/>
        <item x="609"/>
        <item x="590"/>
        <item x="584"/>
        <item x="955"/>
        <item x="943"/>
        <item x="942"/>
        <item x="989"/>
        <item x="289"/>
        <item x="978"/>
        <item x="361"/>
        <item x="353"/>
        <item x="387"/>
        <item x="895"/>
        <item x="664"/>
        <item x="285"/>
        <item x="876"/>
        <item x="983"/>
        <item x="696"/>
        <item x="999"/>
        <item x="109"/>
        <item x="581"/>
        <item x="561"/>
        <item x="316"/>
        <item x="853"/>
        <item x="164"/>
        <item x="416"/>
        <item x="803"/>
        <item x="203"/>
        <item x="877"/>
        <item x="301"/>
        <item x="692"/>
        <item x="686"/>
        <item x="679"/>
        <item x="791"/>
        <item x="568"/>
        <item x="770"/>
        <item x="441"/>
        <item x="780"/>
        <item x="498"/>
        <item x="471"/>
        <item x="751"/>
        <item x="355"/>
        <item x="101"/>
        <item x="539"/>
        <item x="298"/>
        <item x="858"/>
        <item x="283"/>
        <item x="227"/>
        <item x="894"/>
        <item x="817"/>
        <item x="141"/>
        <item x="246"/>
        <item x="1012"/>
        <item x="846"/>
        <item x="847"/>
        <item x="915"/>
        <item x="306"/>
        <item x="209"/>
        <item x="746"/>
        <item x="295"/>
        <item x="784"/>
        <item x="7"/>
        <item x="570"/>
        <item x="170"/>
        <item x="334"/>
        <item x="703"/>
        <item x="913"/>
        <item x="300"/>
        <item x="333"/>
        <item x="650"/>
        <item x="1026"/>
        <item x="1029"/>
        <item x="586"/>
        <item x="605"/>
        <item x="412"/>
        <item x="828"/>
        <item x="583"/>
        <item x="838"/>
        <item x="841"/>
        <item x="840"/>
        <item x="312"/>
        <item x="904"/>
        <item x="883"/>
        <item x="1005"/>
        <item x="794"/>
        <item x="345"/>
        <item x="2"/>
        <item x="1"/>
        <item x="201"/>
        <item x="11"/>
        <item x="806"/>
        <item x="875"/>
        <item x="407"/>
        <item x="956"/>
        <item x="34"/>
        <item x="647"/>
        <item x="444"/>
        <item x="84"/>
        <item x="986"/>
        <item x="172"/>
        <item x="577"/>
        <item x="775"/>
        <item x="873"/>
        <item x="303"/>
        <item x="812"/>
        <item x="346"/>
        <item x="678"/>
        <item x="898"/>
        <item x="478"/>
        <item x="448"/>
        <item x="14"/>
        <item x="118"/>
        <item x="96"/>
        <item x="388"/>
        <item x="326"/>
        <item x="294"/>
        <item x="513"/>
        <item x="682"/>
        <item x="26"/>
        <item x="27"/>
        <item x="86"/>
        <item x="940"/>
        <item x="778"/>
        <item x="152"/>
        <item x="662"/>
        <item x="916"/>
        <item x="546"/>
        <item x="872"/>
        <item x="174"/>
        <item x="33"/>
        <item x="524"/>
        <item x="124"/>
        <item x="197"/>
        <item x="758"/>
        <item x="47"/>
        <item x="917"/>
        <item x="897"/>
        <item x="854"/>
        <item x="545"/>
        <item x="932"/>
        <item x="423"/>
        <item x="667"/>
        <item x="688"/>
        <item x="1009"/>
        <item x="712"/>
        <item x="816"/>
        <item x="855"/>
        <item x="830"/>
        <item x="1047"/>
        <item x="348"/>
        <item x="43"/>
        <item x="403"/>
        <item x="535"/>
        <item x="825"/>
        <item x="235"/>
        <item x="337"/>
        <item x="645"/>
        <item x="208"/>
        <item x="984"/>
        <item x="195"/>
        <item x="804"/>
        <item x="207"/>
        <item x="1035"/>
        <item x="427"/>
        <item x="450"/>
        <item x="468"/>
        <item x="589"/>
        <item x="600"/>
        <item x="680"/>
        <item x="330"/>
        <item x="254"/>
        <item x="771"/>
        <item x="504"/>
        <item x="40"/>
        <item x="354"/>
        <item x="199"/>
        <item x="616"/>
        <item x="1024"/>
        <item x="126"/>
        <item x="15"/>
        <item x="613"/>
        <item x="59"/>
        <item x="750"/>
        <item x="107"/>
        <item x="122"/>
        <item x="757"/>
        <item x="404"/>
        <item x="738"/>
        <item x="29"/>
        <item x="123"/>
        <item x="495"/>
        <item x="446"/>
        <item x="194"/>
        <item x="763"/>
        <item x="981"/>
        <item x="42"/>
        <item x="108"/>
        <item x="288"/>
        <item x="1039"/>
        <item x="741"/>
        <item x="379"/>
        <item x="571"/>
        <item x="384"/>
        <item x="579"/>
        <item x="1037"/>
        <item x="286"/>
        <item x="71"/>
        <item x="103"/>
        <item x="433"/>
        <item x="754"/>
        <item x="591"/>
        <item x="428"/>
        <item x="159"/>
        <item x="395"/>
        <item x="889"/>
        <item x="699"/>
        <item x="452"/>
        <item x="643"/>
        <item x="166"/>
        <item x="610"/>
        <item x="1000"/>
        <item x="438"/>
        <item x="727"/>
        <item x="734"/>
        <item x="167"/>
        <item x="490"/>
        <item x="882"/>
        <item x="511"/>
        <item x="994"/>
        <item x="0"/>
        <item x="930"/>
        <item x="49"/>
        <item x="802"/>
        <item x="102"/>
        <item x="130"/>
        <item x="128"/>
        <item x="95"/>
        <item x="131"/>
        <item x="94"/>
        <item x="99"/>
        <item x="98"/>
        <item x="886"/>
        <item x="339"/>
        <item x="10"/>
        <item x="411"/>
        <item x="732"/>
        <item x="177"/>
        <item x="500"/>
        <item x="572"/>
        <item x="556"/>
        <item x="578"/>
        <item x="564"/>
        <item x="110"/>
        <item x="1028"/>
        <item x="569"/>
        <item x="12"/>
        <item x="514"/>
        <item x="704"/>
        <item x="479"/>
        <item x="204"/>
        <item x="417"/>
        <item x="242"/>
        <item x="280"/>
        <item x="508"/>
        <item x="1033"/>
        <item x="457"/>
        <item x="481"/>
        <item x="496"/>
        <item x="66"/>
        <item x="1048"/>
        <item x="473"/>
        <item x="550"/>
        <item x="308"/>
        <item x="935"/>
        <item x="436"/>
        <item x="359"/>
        <item x="386"/>
        <item x="939"/>
        <item x="998"/>
        <item x="864"/>
        <item x="766"/>
        <item x="445"/>
        <item x="547"/>
        <item x="341"/>
        <item x="890"/>
        <item x="970"/>
        <item x="50"/>
        <item x="51"/>
        <item x="52"/>
        <item x="492"/>
        <item x="476"/>
        <item x="447"/>
        <item x="53"/>
        <item x="181"/>
        <item x="705"/>
        <item x="786"/>
        <item x="157"/>
        <item x="893"/>
        <item x="960"/>
        <item x="959"/>
        <item x="938"/>
        <item x="317"/>
        <item x="228"/>
        <item x="936"/>
        <item x="660"/>
        <item x="646"/>
        <item x="534"/>
        <item x="566"/>
        <item x="832"/>
        <item x="789"/>
        <item x="818"/>
        <item x="987"/>
        <item x="907"/>
        <item x="1036"/>
        <item x="540"/>
        <item x="833"/>
        <item x="1007"/>
        <item x="231"/>
        <item x="510"/>
        <item x="762"/>
        <item x="972"/>
        <item x="62"/>
        <item x="884"/>
        <item x="188"/>
        <item x="874"/>
        <item x="349"/>
        <item x="352"/>
        <item x="175"/>
        <item x="393"/>
        <item x="948"/>
        <item x="74"/>
        <item x="72"/>
        <item x="747"/>
        <item x="276"/>
        <item x="187"/>
        <item x="934"/>
        <item x="22"/>
        <item x="1006"/>
        <item x="636"/>
        <item x="54"/>
        <item x="489"/>
        <item x="467"/>
        <item x="870"/>
        <item x="205"/>
        <item x="735"/>
        <item x="297"/>
        <item x="154"/>
        <item x="190"/>
        <item x="977"/>
        <item x="20"/>
        <item x="221"/>
        <item x="414"/>
        <item x="415"/>
        <item x="376"/>
        <item x="248"/>
        <item x="420"/>
        <item x="527"/>
        <item x="104"/>
        <item x="821"/>
        <item x="860"/>
        <item x="119"/>
        <item x="274"/>
        <item x="211"/>
        <item x="161"/>
        <item x="811"/>
        <item x="576"/>
        <item x="1002"/>
        <item x="683"/>
        <item x="36"/>
        <item x="3"/>
        <item x="4"/>
        <item x="5"/>
        <item x="6"/>
        <item x="499"/>
        <item x="460"/>
        <item x="491"/>
        <item x="823"/>
        <item x="1018"/>
        <item x="439"/>
        <item x="914"/>
        <item x="133"/>
        <item x="453"/>
        <item x="347"/>
        <item x="217"/>
        <item x="220"/>
        <item x="954"/>
        <item x="256"/>
        <item x="982"/>
        <item x="919"/>
        <item x="502"/>
        <item x="515"/>
        <item x="432"/>
        <item x="292"/>
        <item x="462"/>
        <item x="250"/>
        <item x="255"/>
        <item x="687"/>
        <item x="659"/>
        <item x="867"/>
        <item x="381"/>
        <item x="765"/>
        <item x="281"/>
        <item x="788"/>
        <item x="953"/>
        <item x="302"/>
        <item x="466"/>
        <item x="767"/>
        <item x="266"/>
        <item x="265"/>
        <item x="962"/>
        <item x="85"/>
        <item x="451"/>
        <item x="269"/>
        <item x="168"/>
        <item x="169"/>
        <item x="106"/>
        <item x="592"/>
        <item x="158"/>
        <item x="277"/>
        <item x="1019"/>
        <item x="787"/>
        <item x="548"/>
        <item x="523"/>
        <item x="307"/>
        <item x="198"/>
        <item x="709"/>
        <item x="528"/>
        <item x="8"/>
        <item x="702"/>
        <item x="644"/>
        <item x="494"/>
        <item x="968"/>
        <item x="373"/>
        <item x="920"/>
        <item x="497"/>
        <item x="698"/>
        <item x="83"/>
        <item x="82"/>
        <item x="721"/>
        <item x="137"/>
        <item x="801"/>
        <item x="394"/>
        <item x="718"/>
        <item x="273"/>
        <item x="299"/>
        <item x="389"/>
        <item x="733"/>
        <item x="151"/>
        <item x="950"/>
        <item x="117"/>
        <item x="1041"/>
        <item x="848"/>
        <item x="60"/>
        <item x="78"/>
        <item x="661"/>
        <item x="713"/>
        <item x="229"/>
        <item x="90"/>
        <item x="91"/>
        <item x="18"/>
        <item x="392"/>
        <item x="604"/>
        <item x="1049"/>
        <item x="193"/>
        <item x="868"/>
        <item x="689"/>
        <item x="429"/>
        <item x="674"/>
        <item x="899"/>
        <item x="966"/>
        <item x="878"/>
        <item x="362"/>
        <item x="685"/>
        <item x="805"/>
        <item x="237"/>
        <item x="740"/>
        <item x="1034"/>
        <item x="552"/>
        <item x="241"/>
        <item x="262"/>
        <item x="247"/>
        <item x="464"/>
        <item x="693"/>
        <item x="597"/>
        <item x="537"/>
        <item x="969"/>
        <item x="612"/>
        <item x="44"/>
        <item x="625"/>
        <item x="9"/>
        <item x="836"/>
        <item x="573"/>
        <item x="1004"/>
        <item x="633"/>
        <item x="976"/>
        <item x="715"/>
        <item x="426"/>
        <item x="842"/>
        <item x="996"/>
        <item x="134"/>
        <item x="409"/>
        <item x="405"/>
        <item x="582"/>
        <item x="601"/>
        <item x="63"/>
        <item x="532"/>
        <item x="65"/>
        <item x="243"/>
        <item x="837"/>
        <item x="1038"/>
        <item x="16"/>
        <item x="17"/>
        <item x="835"/>
        <item x="73"/>
        <item x="434"/>
        <item x="143"/>
        <item x="418"/>
        <item x="304"/>
        <item x="675"/>
        <item x="356"/>
        <item x="912"/>
        <item x="213"/>
        <item x="654"/>
        <item x="638"/>
        <item x="623"/>
        <item x="602"/>
        <item x="965"/>
        <item x="614"/>
        <item x="150"/>
        <item x="792"/>
        <item x="38"/>
        <item x="224"/>
        <item x="375"/>
        <item x="291"/>
        <item x="290"/>
        <item x="824"/>
        <item x="1046"/>
        <item x="749"/>
        <item x="651"/>
        <item x="937"/>
        <item x="329"/>
        <item x="400"/>
        <item x="398"/>
        <item x="206"/>
        <item x="111"/>
        <item x="371"/>
        <item x="382"/>
        <item x="61"/>
        <item x="48"/>
        <item x="138"/>
        <item x="182"/>
        <item x="223"/>
        <item x="663"/>
        <item x="739"/>
        <item x="358"/>
        <item x="351"/>
        <item x="503"/>
        <item x="121"/>
        <item x="132"/>
        <item x="214"/>
        <item x="949"/>
        <item x="357"/>
        <item x="320"/>
        <item x="474"/>
        <item x="319"/>
        <item x="927"/>
        <item x="1008"/>
        <item x="507"/>
        <item x="925"/>
        <item x="657"/>
        <item x="370"/>
        <item x="1013"/>
        <item x="742"/>
        <item x="560"/>
        <item x="127"/>
        <item x="720"/>
        <item x="551"/>
        <item x="324"/>
        <item x="178"/>
        <item x="649"/>
        <item x="634"/>
        <item x="212"/>
        <item x="756"/>
        <item x="1017"/>
        <item x="31"/>
        <item x="722"/>
        <item x="723"/>
        <item x="952"/>
        <item x="888"/>
        <item x="714"/>
        <item x="160"/>
        <item x="543"/>
        <item x="232"/>
        <item x="252"/>
        <item x="251"/>
        <item x="608"/>
        <item x="594"/>
        <item x="911"/>
        <item x="909"/>
        <item x="421"/>
        <item x="408"/>
        <item x="910"/>
        <item x="401"/>
        <item x="385"/>
        <item x="390"/>
        <item x="360"/>
        <item x="372"/>
        <item x="322"/>
        <item x="343"/>
        <item x="374"/>
        <item x="270"/>
        <item x="268"/>
        <item x="271"/>
        <item x="422"/>
        <item x="402"/>
        <item x="377"/>
        <item x="761"/>
        <item x="189"/>
        <item x="851"/>
        <item x="340"/>
        <item x="620"/>
        <item x="253"/>
        <item x="820"/>
        <item x="630"/>
        <item x="971"/>
        <item x="745"/>
        <item x="906"/>
        <item x="958"/>
        <item x="619"/>
        <item x="776"/>
        <item x="892"/>
        <item x="125"/>
        <item x="435"/>
        <item x="344"/>
        <item x="140"/>
        <item x="230"/>
        <item x="233"/>
        <item x="716"/>
        <item x="28"/>
        <item x="314"/>
        <item x="477"/>
        <item x="518"/>
        <item x="918"/>
        <item x="947"/>
        <item x="991"/>
        <item x="992"/>
        <item x="574"/>
        <item x="282"/>
        <item x="505"/>
        <item x="822"/>
        <item x="827"/>
        <item x="615"/>
        <item x="162"/>
        <item x="829"/>
        <item x="321"/>
        <item x="567"/>
        <item x="1010"/>
        <item x="781"/>
        <item x="744"/>
        <item x="924"/>
        <item x="717"/>
        <item x="459"/>
        <item x="443"/>
        <item x="637"/>
        <item x="380"/>
        <item x="455"/>
        <item x="278"/>
        <item x="113"/>
        <item x="179"/>
        <item x="862"/>
        <item x="39"/>
        <item x="866"/>
        <item x="707"/>
        <item x="335"/>
        <item x="635"/>
        <item x="555"/>
        <item x="338"/>
        <item x="296"/>
        <item x="258"/>
        <item x="156"/>
        <item x="628"/>
        <item x="782"/>
        <item x="135"/>
        <item x="136"/>
        <item x="922"/>
        <item x="603"/>
        <item x="215"/>
        <item x="260"/>
        <item x="218"/>
        <item x="488"/>
        <item x="456"/>
        <item x="261"/>
        <item x="887"/>
        <item x="652"/>
        <item x="648"/>
        <item x="293"/>
        <item x="1042"/>
        <item x="697"/>
        <item x="225"/>
        <item x="658"/>
        <item x="210"/>
        <item x="951"/>
        <item x="672"/>
        <item x="797"/>
        <item x="798"/>
        <item x="799"/>
        <item x="813"/>
        <item x="19"/>
        <item x="549"/>
        <item x="544"/>
        <item x="795"/>
        <item x="681"/>
        <item x="363"/>
        <item x="139"/>
        <item x="905"/>
        <item x="88"/>
        <item x="87"/>
        <item x="676"/>
        <item x="668"/>
        <item x="599"/>
        <item x="57"/>
        <item x="607"/>
        <item x="694"/>
        <item x="753"/>
        <item x="752"/>
        <item x="908"/>
        <item x="1043"/>
        <item x="814"/>
        <item x="155"/>
        <item x="487"/>
        <item x="469"/>
        <item x="941"/>
        <item x="81"/>
        <item x="79"/>
        <item x="80"/>
        <item x="530"/>
        <item x="461"/>
        <item x="449"/>
        <item x="768"/>
        <item x="442"/>
        <item x="383"/>
        <item x="973"/>
        <item x="967"/>
        <item x="800"/>
        <item x="501"/>
        <item x="641"/>
        <item x="606"/>
        <item x="695"/>
        <item x="611"/>
        <item x="598"/>
        <item x="760"/>
        <item x="730"/>
        <item x="921"/>
        <item x="810"/>
        <item x="222"/>
        <item x="865"/>
        <item x="226"/>
        <item x="365"/>
        <item x="263"/>
        <item x="826"/>
        <item x="923"/>
        <item x="173"/>
        <item x="1030"/>
        <item x="541"/>
        <item x="580"/>
        <item x="35"/>
        <item x="105"/>
        <item x="327"/>
        <item x="901"/>
        <item x="708"/>
        <item x="670"/>
        <item x="75"/>
        <item x="76"/>
        <item x="77"/>
        <item x="1023"/>
        <item x="525"/>
        <item x="690"/>
        <item x="944"/>
        <item x="975"/>
        <item x="120"/>
        <item x="769"/>
        <item x="542"/>
        <item x="997"/>
        <item x="331"/>
        <item x="259"/>
        <item x="272"/>
        <item x="13"/>
        <item x="1020"/>
        <item x="783"/>
        <item x="519"/>
        <item x="509"/>
        <item x="796"/>
        <item x="642"/>
        <item x="585"/>
        <item x="37"/>
        <item x="933"/>
        <item x="533"/>
        <item x="691"/>
        <item x="656"/>
        <item x="793"/>
        <item x="219"/>
        <item x="885"/>
        <item x="779"/>
        <item x="396"/>
        <item x="553"/>
        <item x="264"/>
        <item x="677"/>
        <item x="364"/>
        <item x="900"/>
        <item x="785"/>
        <item x="1001"/>
        <item x="55"/>
        <item x="56"/>
        <item x="945"/>
        <item x="146"/>
        <item x="988"/>
        <item x="737"/>
        <item x="311"/>
        <item x="145"/>
        <item x="391"/>
        <item x="731"/>
        <item x="180"/>
        <item x="774"/>
        <item x="593"/>
        <item x="89"/>
        <item x="165"/>
        <item x="196"/>
        <item x="565"/>
        <item x="315"/>
        <item x="470"/>
        <item x="700"/>
        <item x="115"/>
        <item x="671"/>
        <item x="706"/>
        <item x="1045"/>
        <item x="728"/>
        <item x="859"/>
        <item x="430"/>
        <item x="216"/>
        <item x="790"/>
        <item x="665"/>
        <item x="24"/>
        <item x="879"/>
        <item x="336"/>
        <item x="465"/>
        <item x="458"/>
        <item x="475"/>
        <item x="485"/>
        <item x="70"/>
        <item x="880"/>
        <item x="397"/>
        <item x="431"/>
        <item x="724"/>
        <item x="318"/>
        <item x="46"/>
        <item x="961"/>
        <item x="902"/>
        <item x="595"/>
        <item x="755"/>
        <item x="926"/>
        <item x="1011"/>
        <item x="1016"/>
        <item x="97"/>
        <item x="979"/>
        <item x="995"/>
        <item x="521"/>
        <item x="171"/>
        <item x="843"/>
        <item x="808"/>
        <item x="454"/>
        <item x="588"/>
        <item x="116"/>
        <item x="142"/>
        <item x="869"/>
        <item x="234"/>
        <item x="710"/>
        <item x="100"/>
        <item x="621"/>
        <item x="596"/>
        <item x="64"/>
        <item x="332"/>
        <item x="536"/>
        <item x="517"/>
        <item x="472"/>
        <item x="617"/>
        <item x="946"/>
        <item x="114"/>
        <item x="186"/>
        <item x="238"/>
        <item x="437"/>
        <item x="463"/>
        <item x="482"/>
        <item x="25"/>
        <item x="244"/>
        <item x="834"/>
        <item x="287"/>
        <item x="985"/>
        <item x="45"/>
        <item x="419"/>
        <item x="529"/>
        <item x="896"/>
        <item x="313"/>
        <item x="863"/>
        <item x="852"/>
        <item x="191"/>
        <item x="850"/>
        <item x="192"/>
        <item x="849"/>
        <item x="881"/>
        <item x="871"/>
        <item x="23"/>
        <item x="484"/>
        <item x="725"/>
        <item x="1040"/>
        <item x="701"/>
        <item x="493"/>
        <item x="729"/>
        <item x="257"/>
        <item x="618"/>
        <item x="92"/>
        <item x="93"/>
        <item x="957"/>
        <item x="236"/>
        <item x="41"/>
        <item x="562"/>
        <item x="844"/>
        <item x="367"/>
        <item x="711"/>
        <item x="516"/>
        <item x="512"/>
        <item x="69"/>
        <item x="200"/>
        <item x="323"/>
        <item x="929"/>
        <item x="267"/>
        <item x="310"/>
        <item x="309"/>
        <item x="777"/>
        <item x="440"/>
        <item x="845"/>
        <item x="839"/>
        <item x="325"/>
        <item x="424"/>
        <item x="666"/>
        <item x="1021"/>
        <item x="1022"/>
        <item x="974"/>
        <item x="928"/>
        <item x="931"/>
        <item x="772"/>
        <item x="202"/>
      </items>
      <autoSortScope>
        <pivotArea dataOnly="0" outline="0" fieldPosition="0">
          <references count="1">
            <reference field="4294967294" count="1" selected="0">
              <x v="2"/>
            </reference>
          </references>
        </pivotArea>
      </autoSortScope>
    </pivotField>
    <pivotField compact="0" numFmtId="14" outline="0" showAll="0" defaultSubtotal="0">
      <items count="1014">
        <item x="733"/>
        <item x="732"/>
        <item x="731"/>
        <item x="760"/>
        <item x="730"/>
        <item x="423"/>
        <item x="163"/>
        <item x="729"/>
        <item x="757"/>
        <item x="754"/>
        <item x="756"/>
        <item x="728"/>
        <item x="755"/>
        <item x="160"/>
        <item x="727"/>
        <item x="762"/>
        <item x="726"/>
        <item x="725"/>
        <item x="724"/>
        <item x="759"/>
        <item x="1009"/>
        <item x="723"/>
        <item x="722"/>
        <item x="166"/>
        <item x="165"/>
        <item x="761"/>
        <item x="167"/>
        <item x="763"/>
        <item x="1003"/>
        <item x="850"/>
        <item x="164"/>
        <item x="168"/>
        <item x="765"/>
        <item x="764"/>
        <item x="721"/>
        <item x="1010"/>
        <item x="718"/>
        <item x="720"/>
        <item x="65"/>
        <item x="719"/>
        <item x="714"/>
        <item x="717"/>
        <item x="1008"/>
        <item x="715"/>
        <item x="716"/>
        <item x="1004"/>
        <item x="713"/>
        <item x="158"/>
        <item x="159"/>
        <item x="711"/>
        <item x="710"/>
        <item x="999"/>
        <item x="712"/>
        <item x="709"/>
        <item x="708"/>
        <item x="61"/>
        <item x="1005"/>
        <item x="71"/>
        <item x="707"/>
        <item x="706"/>
        <item x="704"/>
        <item x="1002"/>
        <item x="705"/>
        <item x="702"/>
        <item x="701"/>
        <item x="703"/>
        <item x="700"/>
        <item x="699"/>
        <item x="418"/>
        <item x="1001"/>
        <item x="989"/>
        <item x="89"/>
        <item x="698"/>
        <item x="157"/>
        <item x="697"/>
        <item x="849"/>
        <item x="694"/>
        <item x="696"/>
        <item x="695"/>
        <item x="691"/>
        <item x="1006"/>
        <item x="693"/>
        <item x="692"/>
        <item x="690"/>
        <item x="851"/>
        <item x="686"/>
        <item x="689"/>
        <item x="685"/>
        <item x="911"/>
        <item x="688"/>
        <item x="687"/>
        <item x="684"/>
        <item x="758"/>
        <item x="156"/>
        <item x="682"/>
        <item x="683"/>
        <item x="877"/>
        <item x="162"/>
        <item x="72"/>
        <item x="679"/>
        <item x="125"/>
        <item x="680"/>
        <item x="155"/>
        <item x="681"/>
        <item x="675"/>
        <item x="678"/>
        <item x="674"/>
        <item x="229"/>
        <item x="878"/>
        <item x="124"/>
        <item x="676"/>
        <item x="677"/>
        <item x="202"/>
        <item x="197"/>
        <item x="154"/>
        <item x="58"/>
        <item x="421"/>
        <item x="673"/>
        <item x="671"/>
        <item x="1007"/>
        <item x="672"/>
        <item x="59"/>
        <item x="117"/>
        <item x="153"/>
        <item x="998"/>
        <item x="57"/>
        <item x="670"/>
        <item x="230"/>
        <item x="116"/>
        <item x="412"/>
        <item x="668"/>
        <item x="667"/>
        <item x="666"/>
        <item x="665"/>
        <item x="150"/>
        <item x="663"/>
        <item x="853"/>
        <item x="152"/>
        <item x="669"/>
        <item x="854"/>
        <item x="151"/>
        <item x="664"/>
        <item x="200"/>
        <item x="60"/>
        <item x="662"/>
        <item x="659"/>
        <item x="872"/>
        <item x="660"/>
        <item x="661"/>
        <item x="658"/>
        <item x="118"/>
        <item x="656"/>
        <item x="657"/>
        <item x="855"/>
        <item x="64"/>
        <item x="655"/>
        <item x="39"/>
        <item x="149"/>
        <item x="653"/>
        <item x="652"/>
        <item x="826"/>
        <item x="119"/>
        <item x="148"/>
        <item x="654"/>
        <item x="876"/>
        <item x="651"/>
        <item x="40"/>
        <item x="648"/>
        <item x="650"/>
        <item x="649"/>
        <item x="875"/>
        <item x="41"/>
        <item x="120"/>
        <item x="43"/>
        <item x="645"/>
        <item x="400"/>
        <item x="886"/>
        <item x="647"/>
        <item x="646"/>
        <item x="644"/>
        <item x="637"/>
        <item x="643"/>
        <item x="642"/>
        <item x="640"/>
        <item x="198"/>
        <item x="641"/>
        <item x="638"/>
        <item x="639"/>
        <item x="121"/>
        <item x="636"/>
        <item x="169"/>
        <item x="147"/>
        <item x="633"/>
        <item x="146"/>
        <item x="635"/>
        <item x="634"/>
        <item x="885"/>
        <item x="628"/>
        <item x="629"/>
        <item x="632"/>
        <item x="856"/>
        <item x="627"/>
        <item x="630"/>
        <item x="392"/>
        <item x="631"/>
        <item x="816"/>
        <item x="201"/>
        <item x="626"/>
        <item x="410"/>
        <item x="622"/>
        <item x="145"/>
        <item x="625"/>
        <item x="887"/>
        <item x="115"/>
        <item x="996"/>
        <item x="623"/>
        <item x="624"/>
        <item x="42"/>
        <item x="617"/>
        <item x="874"/>
        <item x="144"/>
        <item x="618"/>
        <item x="620"/>
        <item x="621"/>
        <item x="338"/>
        <item x="619"/>
        <item x="3"/>
        <item x="413"/>
        <item x="616"/>
        <item x="612"/>
        <item x="106"/>
        <item x="611"/>
        <item x="613"/>
        <item x="170"/>
        <item x="614"/>
        <item x="364"/>
        <item x="615"/>
        <item x="610"/>
        <item x="62"/>
        <item x="871"/>
        <item x="393"/>
        <item x="196"/>
        <item x="609"/>
        <item x="605"/>
        <item x="608"/>
        <item x="607"/>
        <item x="398"/>
        <item x="199"/>
        <item x="604"/>
        <item x="606"/>
        <item x="603"/>
        <item x="142"/>
        <item x="141"/>
        <item x="193"/>
        <item x="171"/>
        <item x="602"/>
        <item x="107"/>
        <item x="143"/>
        <item x="601"/>
        <item x="34"/>
        <item x="4"/>
        <item x="814"/>
        <item x="9"/>
        <item x="598"/>
        <item x="409"/>
        <item x="411"/>
        <item x="600"/>
        <item x="377"/>
        <item x="597"/>
        <item x="108"/>
        <item x="599"/>
        <item x="596"/>
        <item x="888"/>
        <item x="592"/>
        <item x="367"/>
        <item x="594"/>
        <item x="379"/>
        <item x="593"/>
        <item x="231"/>
        <item x="595"/>
        <item x="363"/>
        <item x="390"/>
        <item x="590"/>
        <item x="589"/>
        <item x="591"/>
        <item x="37"/>
        <item x="376"/>
        <item x="397"/>
        <item x="374"/>
        <item x="587"/>
        <item x="588"/>
        <item x="766"/>
        <item x="417"/>
        <item x="586"/>
        <item x="898"/>
        <item x="579"/>
        <item x="63"/>
        <item x="584"/>
        <item x="582"/>
        <item x="416"/>
        <item x="73"/>
        <item x="5"/>
        <item x="812"/>
        <item x="1000"/>
        <item x="580"/>
        <item x="585"/>
        <item x="583"/>
        <item x="944"/>
        <item x="581"/>
        <item x="1011"/>
        <item x="574"/>
        <item x="811"/>
        <item x="578"/>
        <item x="576"/>
        <item x="205"/>
        <item x="399"/>
        <item x="2"/>
        <item x="889"/>
        <item x="391"/>
        <item x="857"/>
        <item x="577"/>
        <item x="575"/>
        <item x="403"/>
        <item x="571"/>
        <item x="568"/>
        <item x="387"/>
        <item x="573"/>
        <item x="194"/>
        <item x="105"/>
        <item x="882"/>
        <item x="985"/>
        <item x="572"/>
        <item x="567"/>
        <item x="870"/>
        <item x="935"/>
        <item x="381"/>
        <item x="566"/>
        <item x="827"/>
        <item x="570"/>
        <item x="569"/>
        <item x="847"/>
        <item x="565"/>
        <item x="896"/>
        <item x="1"/>
        <item x="810"/>
        <item x="318"/>
        <item x="561"/>
        <item x="858"/>
        <item x="378"/>
        <item x="564"/>
        <item x="890"/>
        <item x="563"/>
        <item x="562"/>
        <item x="407"/>
        <item x="560"/>
        <item x="909"/>
        <item x="846"/>
        <item x="352"/>
        <item x="556"/>
        <item x="375"/>
        <item x="104"/>
        <item x="557"/>
        <item x="554"/>
        <item x="404"/>
        <item x="316"/>
        <item x="845"/>
        <item x="945"/>
        <item x="555"/>
        <item x="558"/>
        <item x="359"/>
        <item x="559"/>
        <item x="373"/>
        <item x="552"/>
        <item x="553"/>
        <item x="358"/>
        <item x="327"/>
        <item x="967"/>
        <item x="321"/>
        <item x="550"/>
        <item x="984"/>
        <item x="986"/>
        <item x="844"/>
        <item x="385"/>
        <item x="838"/>
        <item x="396"/>
        <item x="551"/>
        <item x="383"/>
        <item x="545"/>
        <item x="946"/>
        <item x="549"/>
        <item x="349"/>
        <item x="936"/>
        <item x="910"/>
        <item x="548"/>
        <item x="843"/>
        <item x="281"/>
        <item x="547"/>
        <item x="543"/>
        <item x="380"/>
        <item x="544"/>
        <item x="546"/>
        <item x="45"/>
        <item x="542"/>
        <item x="49"/>
        <item x="537"/>
        <item x="344"/>
        <item x="540"/>
        <item x="355"/>
        <item x="538"/>
        <item x="44"/>
        <item x="842"/>
        <item x="852"/>
        <item x="366"/>
        <item x="357"/>
        <item x="983"/>
        <item x="824"/>
        <item x="422"/>
        <item x="869"/>
        <item x="541"/>
        <item x="536"/>
        <item x="535"/>
        <item x="539"/>
        <item x="532"/>
        <item x="232"/>
        <item x="328"/>
        <item x="531"/>
        <item x="1012"/>
        <item x="293"/>
        <item x="356"/>
        <item x="778"/>
        <item x="53"/>
        <item x="891"/>
        <item x="868"/>
        <item x="981"/>
        <item x="530"/>
        <item x="388"/>
        <item x="534"/>
        <item x="533"/>
        <item x="123"/>
        <item x="183"/>
        <item x="526"/>
        <item x="525"/>
        <item x="523"/>
        <item x="285"/>
        <item x="524"/>
        <item x="329"/>
        <item x="20"/>
        <item x="840"/>
        <item x="414"/>
        <item x="883"/>
        <item x="823"/>
        <item x="529"/>
        <item x="362"/>
        <item x="807"/>
        <item x="867"/>
        <item x="527"/>
        <item x="38"/>
        <item x="1013"/>
        <item x="993"/>
        <item x="78"/>
        <item x="339"/>
        <item x="312"/>
        <item x="521"/>
        <item x="520"/>
        <item x="519"/>
        <item x="323"/>
        <item x="237"/>
        <item x="290"/>
        <item x="419"/>
        <item x="372"/>
        <item x="939"/>
        <item x="369"/>
        <item x="518"/>
        <item x="103"/>
        <item x="111"/>
        <item x="522"/>
        <item x="982"/>
        <item x="395"/>
        <item x="779"/>
        <item x="114"/>
        <item x="415"/>
        <item x="512"/>
        <item x="298"/>
        <item x="307"/>
        <item x="513"/>
        <item x="516"/>
        <item x="304"/>
        <item x="515"/>
        <item x="211"/>
        <item x="806"/>
        <item x="353"/>
        <item x="514"/>
        <item x="322"/>
        <item x="517"/>
        <item x="528"/>
        <item x="510"/>
        <item x="884"/>
        <item x="19"/>
        <item x="508"/>
        <item x="511"/>
        <item x="780"/>
        <item x="288"/>
        <item x="509"/>
        <item x="331"/>
        <item x="947"/>
        <item x="140"/>
        <item x="966"/>
        <item x="184"/>
        <item x="828"/>
        <item x="100"/>
        <item x="905"/>
        <item x="235"/>
        <item x="913"/>
        <item x="837"/>
        <item x="299"/>
        <item x="503"/>
        <item x="330"/>
        <item x="506"/>
        <item x="507"/>
        <item x="249"/>
        <item x="248"/>
        <item x="504"/>
        <item x="324"/>
        <item x="753"/>
        <item x="354"/>
        <item x="212"/>
        <item x="873"/>
        <item x="505"/>
        <item x="139"/>
        <item x="365"/>
        <item x="317"/>
        <item x="342"/>
        <item x="502"/>
        <item x="269"/>
        <item x="138"/>
        <item x="326"/>
        <item x="501"/>
        <item x="195"/>
        <item x="402"/>
        <item x="325"/>
        <item x="805"/>
        <item x="319"/>
        <item x="500"/>
        <item x="97"/>
        <item x="113"/>
        <item x="767"/>
        <item x="284"/>
        <item x="496"/>
        <item x="266"/>
        <item x="345"/>
        <item x="264"/>
        <item x="11"/>
        <item x="499"/>
        <item x="859"/>
        <item x="305"/>
        <item x="213"/>
        <item x="420"/>
        <item x="927"/>
        <item x="384"/>
        <item x="498"/>
        <item x="804"/>
        <item x="819"/>
        <item x="497"/>
        <item x="210"/>
        <item x="68"/>
        <item x="309"/>
        <item x="294"/>
        <item x="495"/>
        <item x="21"/>
        <item x="493"/>
        <item x="795"/>
        <item x="350"/>
        <item x="238"/>
        <item x="829"/>
        <item x="22"/>
        <item x="494"/>
        <item x="920"/>
        <item x="254"/>
        <item x="66"/>
        <item x="895"/>
        <item x="914"/>
        <item x="768"/>
        <item x="99"/>
        <item x="75"/>
        <item x="301"/>
        <item x="278"/>
        <item x="287"/>
        <item x="803"/>
        <item x="268"/>
        <item x="272"/>
        <item x="492"/>
        <item x="347"/>
        <item x="8"/>
        <item x="233"/>
        <item x="267"/>
        <item x="963"/>
        <item x="332"/>
        <item x="250"/>
        <item x="280"/>
        <item x="300"/>
        <item x="940"/>
        <item x="491"/>
        <item x="320"/>
        <item x="7"/>
        <item x="24"/>
        <item x="10"/>
        <item x="112"/>
        <item x="70"/>
        <item x="69"/>
        <item x="102"/>
        <item x="96"/>
        <item x="979"/>
        <item x="394"/>
        <item x="77"/>
        <item x="286"/>
        <item x="830"/>
        <item x="337"/>
        <item x="90"/>
        <item x="351"/>
        <item x="769"/>
        <item x="915"/>
        <item x="306"/>
        <item x="259"/>
        <item x="297"/>
        <item x="488"/>
        <item x="406"/>
        <item x="820"/>
        <item x="489"/>
        <item x="262"/>
        <item x="490"/>
        <item x="382"/>
        <item x="948"/>
        <item x="191"/>
        <item x="335"/>
        <item x="343"/>
        <item x="271"/>
        <item x="256"/>
        <item x="929"/>
        <item x="263"/>
        <item x="921"/>
        <item x="76"/>
        <item x="781"/>
        <item x="957"/>
        <item x="334"/>
        <item x="386"/>
        <item x="333"/>
        <item x="122"/>
        <item x="968"/>
        <item x="341"/>
        <item x="346"/>
        <item x="244"/>
        <item x="12"/>
        <item x="261"/>
        <item x="98"/>
        <item x="274"/>
        <item x="831"/>
        <item x="252"/>
        <item x="916"/>
        <item x="83"/>
        <item x="279"/>
        <item x="292"/>
        <item x="401"/>
        <item x="282"/>
        <item x="314"/>
        <item x="389"/>
        <item x="54"/>
        <item x="33"/>
        <item x="173"/>
        <item x="486"/>
        <item x="26"/>
        <item x="866"/>
        <item x="487"/>
        <item x="277"/>
        <item x="371"/>
        <item x="791"/>
        <item x="23"/>
        <item x="295"/>
        <item x="485"/>
        <item x="308"/>
        <item x="360"/>
        <item x="275"/>
        <item x="900"/>
        <item x="270"/>
        <item x="484"/>
        <item x="174"/>
        <item x="276"/>
        <item x="245"/>
        <item x="257"/>
        <item x="246"/>
        <item x="48"/>
        <item x="25"/>
        <item x="253"/>
        <item x="92"/>
        <item x="291"/>
        <item x="368"/>
        <item x="361"/>
        <item x="95"/>
        <item x="137"/>
        <item x="405"/>
        <item x="74"/>
        <item x="303"/>
        <item x="84"/>
        <item x="313"/>
        <item x="192"/>
        <item x="36"/>
        <item x="35"/>
        <item x="481"/>
        <item x="265"/>
        <item x="260"/>
        <item x="813"/>
        <item x="789"/>
        <item x="483"/>
        <item x="247"/>
        <item x="234"/>
        <item x="255"/>
        <item x="938"/>
        <item x="172"/>
        <item x="310"/>
        <item x="302"/>
        <item x="296"/>
        <item x="289"/>
        <item x="348"/>
        <item x="109"/>
        <item x="127"/>
        <item x="101"/>
        <item x="0"/>
        <item x="340"/>
        <item x="283"/>
        <item x="408"/>
        <item x="482"/>
        <item x="227"/>
        <item x="110"/>
        <item x="336"/>
        <item x="126"/>
        <item x="185"/>
        <item x="251"/>
        <item x="315"/>
        <item x="82"/>
        <item x="242"/>
        <item x="236"/>
        <item x="273"/>
        <item x="239"/>
        <item x="94"/>
        <item x="311"/>
        <item x="990"/>
        <item x="190"/>
        <item x="258"/>
        <item x="786"/>
        <item x="370"/>
        <item x="962"/>
        <item x="241"/>
        <item x="240"/>
        <item x="46"/>
        <item x="243"/>
        <item x="479"/>
        <item x="218"/>
        <item x="220"/>
        <item x="28"/>
        <item x="770"/>
        <item x="477"/>
        <item x="136"/>
        <item x="424"/>
        <item x="474"/>
        <item x="775"/>
        <item x="478"/>
        <item x="134"/>
        <item x="475"/>
        <item x="16"/>
        <item x="839"/>
        <item x="473"/>
        <item x="771"/>
        <item x="179"/>
        <item x="214"/>
        <item x="949"/>
        <item x="480"/>
        <item x="203"/>
        <item x="865"/>
        <item x="135"/>
        <item x="476"/>
        <item x="952"/>
        <item x="91"/>
        <item x="860"/>
        <item x="50"/>
        <item x="17"/>
        <item x="848"/>
        <item x="821"/>
        <item x="27"/>
        <item x="923"/>
        <item x="87"/>
        <item x="881"/>
        <item x="471"/>
        <item x="30"/>
        <item x="906"/>
        <item x="802"/>
        <item x="469"/>
        <item x="472"/>
        <item x="467"/>
        <item x="466"/>
        <item x="132"/>
        <item x="86"/>
        <item x="988"/>
        <item x="175"/>
        <item x="468"/>
        <item x="470"/>
        <item x="88"/>
        <item x="861"/>
        <item x="465"/>
        <item x="31"/>
        <item x="133"/>
        <item x="975"/>
        <item x="29"/>
        <item x="894"/>
        <item x="130"/>
        <item x="189"/>
        <item x="777"/>
        <item x="228"/>
        <item x="51"/>
        <item x="462"/>
        <item x="950"/>
        <item x="460"/>
        <item x="971"/>
        <item x="458"/>
        <item x="461"/>
        <item x="464"/>
        <item x="459"/>
        <item x="206"/>
        <item x="772"/>
        <item x="186"/>
        <item x="223"/>
        <item x="67"/>
        <item x="14"/>
        <item x="131"/>
        <item x="463"/>
        <item x="809"/>
        <item x="974"/>
        <item x="182"/>
        <item x="176"/>
        <item x="226"/>
        <item x="784"/>
        <item x="455"/>
        <item x="47"/>
        <item x="452"/>
        <item x="818"/>
        <item x="454"/>
        <item x="457"/>
        <item x="451"/>
        <item x="129"/>
        <item x="456"/>
        <item x="815"/>
        <item x="224"/>
        <item x="55"/>
        <item x="204"/>
        <item x="864"/>
        <item x="453"/>
        <item x="180"/>
        <item x="954"/>
        <item x="15"/>
        <item x="215"/>
        <item x="822"/>
        <item x="817"/>
        <item x="794"/>
        <item x="987"/>
        <item x="449"/>
        <item x="785"/>
        <item x="443"/>
        <item x="922"/>
        <item x="450"/>
        <item x="943"/>
        <item x="448"/>
        <item x="833"/>
        <item x="980"/>
        <item x="445"/>
        <item x="958"/>
        <item x="447"/>
        <item x="444"/>
        <item x="808"/>
        <item x="773"/>
        <item x="964"/>
        <item x="969"/>
        <item x="209"/>
        <item x="796"/>
        <item x="832"/>
        <item x="128"/>
        <item x="446"/>
        <item x="222"/>
        <item x="907"/>
        <item x="81"/>
        <item x="941"/>
        <item x="926"/>
        <item x="961"/>
        <item x="801"/>
        <item x="953"/>
        <item x="187"/>
        <item x="917"/>
        <item x="880"/>
        <item x="435"/>
        <item x="438"/>
        <item x="836"/>
        <item x="776"/>
        <item x="18"/>
        <item x="924"/>
        <item x="441"/>
        <item x="439"/>
        <item x="436"/>
        <item x="177"/>
        <item x="978"/>
        <item x="792"/>
        <item x="970"/>
        <item x="225"/>
        <item x="221"/>
        <item x="991"/>
        <item x="216"/>
        <item x="440"/>
        <item x="800"/>
        <item x="442"/>
        <item x="93"/>
        <item x="437"/>
        <item x="787"/>
        <item x="434"/>
        <item x="783"/>
        <item x="80"/>
        <item x="893"/>
        <item x="56"/>
        <item x="992"/>
        <item x="32"/>
        <item x="799"/>
        <item x="429"/>
        <item x="431"/>
        <item x="934"/>
        <item x="428"/>
        <item x="427"/>
        <item x="960"/>
        <item x="994"/>
        <item x="425"/>
        <item x="432"/>
        <item x="426"/>
        <item x="774"/>
        <item x="976"/>
        <item x="956"/>
        <item x="933"/>
        <item x="217"/>
        <item x="965"/>
        <item x="955"/>
        <item x="433"/>
        <item x="430"/>
        <item x="862"/>
        <item x="835"/>
        <item x="79"/>
        <item x="951"/>
        <item x="188"/>
        <item x="208"/>
        <item x="972"/>
        <item x="181"/>
        <item x="793"/>
        <item x="790"/>
        <item x="736"/>
        <item x="798"/>
        <item x="737"/>
        <item x="6"/>
        <item x="973"/>
        <item x="738"/>
        <item x="735"/>
        <item x="918"/>
        <item x="739"/>
        <item x="797"/>
        <item x="959"/>
        <item x="977"/>
        <item x="740"/>
        <item x="942"/>
        <item x="219"/>
        <item x="178"/>
        <item x="742"/>
        <item x="825"/>
        <item x="85"/>
        <item x="161"/>
        <item x="741"/>
        <item x="937"/>
        <item x="908"/>
        <item x="52"/>
        <item x="734"/>
        <item x="841"/>
        <item x="897"/>
        <item x="13"/>
        <item x="749"/>
        <item x="782"/>
        <item x="904"/>
        <item x="747"/>
        <item x="745"/>
        <item x="746"/>
        <item x="743"/>
        <item x="751"/>
        <item x="834"/>
        <item x="899"/>
        <item x="744"/>
        <item x="901"/>
        <item x="879"/>
        <item x="748"/>
        <item x="902"/>
        <item x="903"/>
        <item x="995"/>
        <item x="750"/>
        <item x="997"/>
        <item x="863"/>
        <item x="912"/>
        <item x="788"/>
        <item x="919"/>
        <item x="925"/>
        <item x="752"/>
        <item x="207"/>
        <item x="928"/>
        <item x="930"/>
        <item x="892"/>
        <item x="931"/>
        <item x="932"/>
      </items>
    </pivotField>
    <pivotField dataField="1"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dragToRow="0" dragToCol="0" dragToPage="0" showAll="0" defaultSubtotal="0"/>
    <pivotField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s>
  <rowFields count="1">
    <field x="1"/>
  </rowFields>
  <rowItems count="4">
    <i>
      <x v="284"/>
    </i>
    <i>
      <x v="908"/>
    </i>
    <i>
      <x v="232"/>
    </i>
    <i t="grand">
      <x/>
    </i>
  </rowItems>
  <colFields count="1">
    <field x="-2"/>
  </colFields>
  <colItems count="6">
    <i>
      <x/>
    </i>
    <i i="1">
      <x v="1"/>
    </i>
    <i i="2">
      <x v="2"/>
    </i>
    <i i="3">
      <x v="3"/>
    </i>
    <i i="4">
      <x v="4"/>
    </i>
    <i i="5">
      <x v="5"/>
    </i>
  </colItems>
  <dataFields count="6">
    <dataField name=" Budget" fld="10" baseField="4" baseItem="1" numFmtId="164"/>
    <dataField name=" Box Office" fld="11" baseField="4" baseItem="3" numFmtId="164"/>
    <dataField name=" Profit" fld="14" baseField="0" baseItem="0" numFmtId="164"/>
    <dataField name=" Oscar Wins" fld="13" baseField="0" baseItem="0"/>
    <dataField name=" Nominations" fld="12" baseField="0" baseItem="0"/>
    <dataField name="Run Time (Min." fld="3" baseField="0" baseItem="0"/>
  </dataFields>
  <formats count="7">
    <format dxfId="290">
      <pivotArea outline="0" collapsedLevelsAreSubtotals="1" fieldPosition="0"/>
    </format>
    <format dxfId="289">
      <pivotArea type="all" dataOnly="0" outline="0" fieldPosition="0"/>
    </format>
    <format dxfId="288">
      <pivotArea outline="0" collapsedLevelsAreSubtotals="1" fieldPosition="0"/>
    </format>
    <format dxfId="287">
      <pivotArea field="1" type="button" dataOnly="0" labelOnly="1" outline="0" axis="axisRow" fieldPosition="0"/>
    </format>
    <format dxfId="286">
      <pivotArea dataOnly="0" labelOnly="1" outline="0" fieldPosition="0">
        <references count="1">
          <reference field="1" count="20">
            <x v="75"/>
            <x v="76"/>
            <x v="134"/>
            <x v="208"/>
            <x v="290"/>
            <x v="292"/>
            <x v="334"/>
            <x v="390"/>
            <x v="416"/>
            <x v="418"/>
            <x v="499"/>
            <x v="673"/>
            <x v="709"/>
            <x v="715"/>
            <x v="764"/>
            <x v="846"/>
            <x v="862"/>
            <x v="871"/>
            <x v="973"/>
            <x v="989"/>
          </reference>
        </references>
      </pivotArea>
    </format>
    <format dxfId="285">
      <pivotArea dataOnly="0" labelOnly="1" grandRow="1" outline="0" fieldPosition="0"/>
    </format>
    <format dxfId="284">
      <pivotArea dataOnly="0" labelOnly="1" outline="0" fieldPosition="0">
        <references count="1">
          <reference field="4294967294" count="6">
            <x v="0"/>
            <x v="1"/>
            <x v="2"/>
            <x v="3"/>
            <x v="4"/>
            <x v="5"/>
          </reference>
        </references>
      </pivotArea>
    </format>
  </formats>
  <conditionalFormats count="1">
    <conditionalFormat priority="3">
      <pivotAreas count="1">
        <pivotArea type="data" outline="0" collapsedLevelsAreSubtotals="1" fieldPosition="0">
          <references count="2">
            <reference field="4294967294" count="1" selected="0">
              <x v="0"/>
            </reference>
            <reference field="1" count="20" selected="0">
              <x v="75"/>
              <x v="76"/>
              <x v="134"/>
              <x v="208"/>
              <x v="290"/>
              <x v="292"/>
              <x v="334"/>
              <x v="390"/>
              <x v="416"/>
              <x v="418"/>
              <x v="499"/>
              <x v="673"/>
              <x v="709"/>
              <x v="715"/>
              <x v="764"/>
              <x v="846"/>
              <x v="862"/>
              <x v="871"/>
              <x v="973"/>
              <x v="989"/>
            </reference>
          </references>
        </pivotArea>
      </pivotAreas>
    </conditionalFormat>
  </conditionalFormats>
  <pivotTableStyleInfo name="PivotStyleMedium7" showRowHeaders="1" showColHeaders="1" showRowStripes="0" showColStripes="1" showLastColumn="1"/>
  <filters count="2">
    <filter fld="2" type="dateBetween" evalOrder="-1" id="66" name="Release Date">
      <autoFilter ref="A1">
        <filterColumn colId="0">
          <customFilters and="1">
            <customFilter operator="greaterThanOrEqual" val="11324"/>
            <customFilter operator="lessThanOrEqual" val="11688"/>
          </customFilters>
        </filterColumn>
      </autoFilter>
      <extLst>
        <ext xmlns:x15="http://schemas.microsoft.com/office/spreadsheetml/2010/11/main" uri="{0605FD5F-26C8-4aeb-8148-2DB25E43C511}">
          <x15:pivotFilter useWholeDay="1"/>
        </ext>
      </extLst>
    </filter>
    <filter fld="1" type="count" evalOrder="-1" id="42" iMeasureFld="2">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408192-BA08-4A08-8DBF-E152F2623BFA}" name="PivotTable6" cacheId="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V67:AC69" firstHeaderRow="0" firstDataRow="1" firstDataCol="1"/>
  <pivotFields count="16">
    <pivotField compact="0" outline="0" showAll="0" defaultSubtotal="0"/>
    <pivotField dataField="1" compact="0" outline="0" multipleItemSelectionAllowed="1" showAll="0" sortType="descending" defaultSubtotal="0">
      <items count="1050">
        <item x="640"/>
        <item x="342"/>
        <item x="483"/>
        <item x="531"/>
        <item x="1003"/>
        <item x="185"/>
        <item x="67"/>
        <item x="980"/>
        <item x="736"/>
        <item x="149"/>
        <item x="990"/>
        <item x="1025"/>
        <item x="1032"/>
        <item x="112"/>
        <item x="184"/>
        <item x="32"/>
        <item x="1015"/>
        <item x="807"/>
        <item x="624"/>
        <item x="629"/>
        <item x="305"/>
        <item x="144"/>
        <item x="522"/>
        <item x="147"/>
        <item x="726"/>
        <item x="559"/>
        <item x="176"/>
        <item x="58"/>
        <item x="153"/>
        <item x="378"/>
        <item x="819"/>
        <item x="183"/>
        <item x="993"/>
        <item x="1044"/>
        <item x="30"/>
        <item x="743"/>
        <item x="857"/>
        <item x="861"/>
        <item x="526"/>
        <item x="631"/>
        <item x="684"/>
        <item x="669"/>
        <item x="554"/>
        <item x="279"/>
        <item x="129"/>
        <item x="425"/>
        <item x="350"/>
        <item x="410"/>
        <item x="759"/>
        <item x="655"/>
        <item x="21"/>
        <item x="413"/>
        <item x="284"/>
        <item x="673"/>
        <item x="903"/>
        <item x="891"/>
        <item x="856"/>
        <item x="622"/>
        <item x="1027"/>
        <item x="399"/>
        <item x="486"/>
        <item x="163"/>
        <item x="626"/>
        <item x="748"/>
        <item x="653"/>
        <item x="1014"/>
        <item x="632"/>
        <item x="639"/>
        <item x="366"/>
        <item x="328"/>
        <item x="249"/>
        <item x="275"/>
        <item x="627"/>
        <item x="815"/>
        <item x="520"/>
        <item x="480"/>
        <item x="764"/>
        <item x="406"/>
        <item x="369"/>
        <item x="368"/>
        <item x="1031"/>
        <item x="506"/>
        <item x="963"/>
        <item x="964"/>
        <item x="557"/>
        <item x="575"/>
        <item x="831"/>
        <item x="245"/>
        <item x="538"/>
        <item x="558"/>
        <item x="773"/>
        <item x="68"/>
        <item x="809"/>
        <item x="563"/>
        <item x="148"/>
        <item x="240"/>
        <item x="587"/>
        <item x="719"/>
        <item x="239"/>
        <item x="609"/>
        <item x="590"/>
        <item x="584"/>
        <item x="955"/>
        <item x="943"/>
        <item x="942"/>
        <item x="989"/>
        <item x="289"/>
        <item x="978"/>
        <item x="361"/>
        <item x="353"/>
        <item x="387"/>
        <item x="895"/>
        <item x="664"/>
        <item x="285"/>
        <item x="876"/>
        <item x="983"/>
        <item x="696"/>
        <item x="999"/>
        <item x="109"/>
        <item x="581"/>
        <item x="561"/>
        <item x="316"/>
        <item x="853"/>
        <item x="164"/>
        <item x="416"/>
        <item x="803"/>
        <item x="203"/>
        <item x="877"/>
        <item x="301"/>
        <item x="692"/>
        <item x="686"/>
        <item x="679"/>
        <item x="791"/>
        <item x="568"/>
        <item x="770"/>
        <item x="441"/>
        <item x="780"/>
        <item x="498"/>
        <item x="471"/>
        <item x="751"/>
        <item x="355"/>
        <item x="101"/>
        <item x="539"/>
        <item x="298"/>
        <item x="858"/>
        <item x="283"/>
        <item x="227"/>
        <item x="894"/>
        <item x="817"/>
        <item x="141"/>
        <item x="246"/>
        <item x="1012"/>
        <item x="846"/>
        <item x="847"/>
        <item x="915"/>
        <item x="306"/>
        <item x="209"/>
        <item x="746"/>
        <item x="295"/>
        <item x="784"/>
        <item x="7"/>
        <item x="570"/>
        <item x="170"/>
        <item x="334"/>
        <item x="703"/>
        <item x="913"/>
        <item x="300"/>
        <item x="333"/>
        <item x="650"/>
        <item x="1026"/>
        <item x="1029"/>
        <item x="586"/>
        <item x="605"/>
        <item x="412"/>
        <item x="828"/>
        <item x="583"/>
        <item x="838"/>
        <item x="841"/>
        <item x="840"/>
        <item x="312"/>
        <item x="904"/>
        <item x="883"/>
        <item x="1005"/>
        <item x="794"/>
        <item x="345"/>
        <item x="2"/>
        <item x="1"/>
        <item x="201"/>
        <item x="11"/>
        <item x="806"/>
        <item x="875"/>
        <item x="407"/>
        <item x="956"/>
        <item x="34"/>
        <item x="647"/>
        <item x="444"/>
        <item x="84"/>
        <item x="986"/>
        <item x="172"/>
        <item x="577"/>
        <item x="775"/>
        <item x="873"/>
        <item x="303"/>
        <item x="812"/>
        <item x="346"/>
        <item x="678"/>
        <item x="898"/>
        <item x="478"/>
        <item x="448"/>
        <item x="14"/>
        <item x="118"/>
        <item x="96"/>
        <item x="388"/>
        <item x="326"/>
        <item x="294"/>
        <item x="513"/>
        <item x="682"/>
        <item x="26"/>
        <item x="27"/>
        <item x="86"/>
        <item x="940"/>
        <item x="778"/>
        <item x="152"/>
        <item x="662"/>
        <item x="916"/>
        <item x="546"/>
        <item x="872"/>
        <item x="174"/>
        <item x="33"/>
        <item x="524"/>
        <item x="124"/>
        <item x="197"/>
        <item x="758"/>
        <item x="47"/>
        <item x="917"/>
        <item x="897"/>
        <item x="854"/>
        <item x="545"/>
        <item x="932"/>
        <item x="423"/>
        <item x="667"/>
        <item x="688"/>
        <item x="1009"/>
        <item x="712"/>
        <item x="816"/>
        <item x="855"/>
        <item x="830"/>
        <item x="1047"/>
        <item x="348"/>
        <item x="43"/>
        <item x="403"/>
        <item x="535"/>
        <item x="825"/>
        <item x="235"/>
        <item x="337"/>
        <item x="645"/>
        <item x="208"/>
        <item x="984"/>
        <item x="195"/>
        <item x="804"/>
        <item x="207"/>
        <item x="1035"/>
        <item x="427"/>
        <item x="450"/>
        <item x="468"/>
        <item x="589"/>
        <item x="600"/>
        <item x="680"/>
        <item x="330"/>
        <item x="254"/>
        <item x="771"/>
        <item x="504"/>
        <item x="40"/>
        <item x="354"/>
        <item x="199"/>
        <item x="616"/>
        <item x="1024"/>
        <item x="126"/>
        <item x="15"/>
        <item x="613"/>
        <item x="59"/>
        <item x="750"/>
        <item x="107"/>
        <item x="122"/>
        <item x="757"/>
        <item x="404"/>
        <item x="738"/>
        <item x="29"/>
        <item x="123"/>
        <item x="495"/>
        <item x="446"/>
        <item x="194"/>
        <item x="763"/>
        <item x="981"/>
        <item x="42"/>
        <item x="108"/>
        <item x="288"/>
        <item x="1039"/>
        <item x="741"/>
        <item x="379"/>
        <item x="571"/>
        <item x="384"/>
        <item x="579"/>
        <item x="1037"/>
        <item x="286"/>
        <item x="71"/>
        <item x="103"/>
        <item x="433"/>
        <item x="754"/>
        <item x="591"/>
        <item x="428"/>
        <item x="159"/>
        <item x="395"/>
        <item x="889"/>
        <item x="699"/>
        <item x="452"/>
        <item x="643"/>
        <item x="166"/>
        <item x="610"/>
        <item x="1000"/>
        <item x="438"/>
        <item x="727"/>
        <item x="734"/>
        <item x="167"/>
        <item x="490"/>
        <item x="882"/>
        <item x="511"/>
        <item x="994"/>
        <item x="0"/>
        <item x="930"/>
        <item x="49"/>
        <item x="802"/>
        <item x="102"/>
        <item x="130"/>
        <item x="128"/>
        <item x="95"/>
        <item x="131"/>
        <item x="94"/>
        <item x="99"/>
        <item x="98"/>
        <item x="886"/>
        <item x="339"/>
        <item x="10"/>
        <item x="411"/>
        <item x="732"/>
        <item x="177"/>
        <item x="500"/>
        <item x="572"/>
        <item x="556"/>
        <item x="578"/>
        <item x="564"/>
        <item x="110"/>
        <item x="1028"/>
        <item x="569"/>
        <item x="12"/>
        <item x="514"/>
        <item x="704"/>
        <item x="479"/>
        <item x="204"/>
        <item x="417"/>
        <item x="242"/>
        <item x="280"/>
        <item x="508"/>
        <item x="1033"/>
        <item x="457"/>
        <item x="481"/>
        <item x="496"/>
        <item x="66"/>
        <item x="1048"/>
        <item x="473"/>
        <item x="550"/>
        <item x="308"/>
        <item x="935"/>
        <item x="436"/>
        <item x="359"/>
        <item x="386"/>
        <item x="939"/>
        <item x="998"/>
        <item x="864"/>
        <item x="766"/>
        <item x="445"/>
        <item x="547"/>
        <item x="341"/>
        <item x="890"/>
        <item x="970"/>
        <item x="50"/>
        <item x="51"/>
        <item x="52"/>
        <item x="492"/>
        <item x="476"/>
        <item x="447"/>
        <item x="53"/>
        <item x="181"/>
        <item x="705"/>
        <item x="786"/>
        <item x="157"/>
        <item x="893"/>
        <item x="960"/>
        <item x="959"/>
        <item x="938"/>
        <item x="317"/>
        <item x="228"/>
        <item x="936"/>
        <item x="660"/>
        <item x="646"/>
        <item x="534"/>
        <item x="566"/>
        <item x="832"/>
        <item x="789"/>
        <item x="818"/>
        <item x="987"/>
        <item x="907"/>
        <item x="1036"/>
        <item x="540"/>
        <item x="833"/>
        <item x="1007"/>
        <item x="231"/>
        <item x="510"/>
        <item x="762"/>
        <item x="972"/>
        <item x="62"/>
        <item x="884"/>
        <item x="188"/>
        <item x="874"/>
        <item x="349"/>
        <item x="352"/>
        <item x="175"/>
        <item x="393"/>
        <item x="948"/>
        <item x="74"/>
        <item x="72"/>
        <item x="747"/>
        <item x="276"/>
        <item x="187"/>
        <item x="934"/>
        <item x="22"/>
        <item x="1006"/>
        <item x="636"/>
        <item x="54"/>
        <item x="489"/>
        <item x="467"/>
        <item x="870"/>
        <item x="205"/>
        <item x="735"/>
        <item x="297"/>
        <item x="154"/>
        <item x="190"/>
        <item x="977"/>
        <item x="20"/>
        <item x="221"/>
        <item x="414"/>
        <item x="415"/>
        <item x="376"/>
        <item x="248"/>
        <item x="420"/>
        <item x="527"/>
        <item x="104"/>
        <item x="821"/>
        <item x="860"/>
        <item x="119"/>
        <item x="274"/>
        <item x="211"/>
        <item x="161"/>
        <item x="811"/>
        <item x="576"/>
        <item x="1002"/>
        <item x="683"/>
        <item x="36"/>
        <item x="3"/>
        <item x="4"/>
        <item x="5"/>
        <item x="6"/>
        <item x="499"/>
        <item x="460"/>
        <item x="491"/>
        <item x="823"/>
        <item x="1018"/>
        <item x="439"/>
        <item x="914"/>
        <item x="133"/>
        <item x="453"/>
        <item x="347"/>
        <item x="217"/>
        <item x="220"/>
        <item x="954"/>
        <item x="256"/>
        <item x="982"/>
        <item x="919"/>
        <item x="502"/>
        <item x="515"/>
        <item x="432"/>
        <item x="292"/>
        <item x="462"/>
        <item x="250"/>
        <item x="255"/>
        <item x="687"/>
        <item x="659"/>
        <item x="867"/>
        <item x="381"/>
        <item x="765"/>
        <item x="281"/>
        <item x="788"/>
        <item x="953"/>
        <item x="302"/>
        <item x="466"/>
        <item x="767"/>
        <item x="266"/>
        <item x="265"/>
        <item x="962"/>
        <item x="85"/>
        <item x="451"/>
        <item x="269"/>
        <item x="168"/>
        <item x="169"/>
        <item x="106"/>
        <item x="592"/>
        <item x="158"/>
        <item x="277"/>
        <item x="1019"/>
        <item x="787"/>
        <item x="548"/>
        <item x="523"/>
        <item x="307"/>
        <item x="198"/>
        <item x="709"/>
        <item x="528"/>
        <item x="8"/>
        <item x="702"/>
        <item x="644"/>
        <item x="494"/>
        <item x="968"/>
        <item x="373"/>
        <item x="920"/>
        <item x="497"/>
        <item x="698"/>
        <item x="83"/>
        <item x="82"/>
        <item x="721"/>
        <item x="137"/>
        <item x="801"/>
        <item x="394"/>
        <item x="718"/>
        <item x="273"/>
        <item x="299"/>
        <item x="389"/>
        <item x="733"/>
        <item x="151"/>
        <item x="950"/>
        <item x="117"/>
        <item x="1041"/>
        <item x="848"/>
        <item x="60"/>
        <item x="78"/>
        <item x="661"/>
        <item x="713"/>
        <item x="229"/>
        <item x="90"/>
        <item x="91"/>
        <item x="18"/>
        <item x="392"/>
        <item x="604"/>
        <item x="1049"/>
        <item x="193"/>
        <item x="868"/>
        <item x="689"/>
        <item x="429"/>
        <item x="674"/>
        <item x="899"/>
        <item x="966"/>
        <item x="878"/>
        <item x="362"/>
        <item x="685"/>
        <item x="805"/>
        <item x="237"/>
        <item x="740"/>
        <item x="1034"/>
        <item x="552"/>
        <item x="241"/>
        <item x="262"/>
        <item x="247"/>
        <item x="464"/>
        <item x="693"/>
        <item x="597"/>
        <item x="537"/>
        <item x="969"/>
        <item x="612"/>
        <item x="44"/>
        <item x="625"/>
        <item x="9"/>
        <item x="836"/>
        <item x="573"/>
        <item x="1004"/>
        <item x="633"/>
        <item x="976"/>
        <item x="715"/>
        <item x="426"/>
        <item x="842"/>
        <item x="996"/>
        <item x="134"/>
        <item x="409"/>
        <item x="405"/>
        <item x="582"/>
        <item x="601"/>
        <item x="63"/>
        <item x="532"/>
        <item x="65"/>
        <item x="243"/>
        <item x="837"/>
        <item x="1038"/>
        <item x="16"/>
        <item x="17"/>
        <item x="835"/>
        <item x="73"/>
        <item x="434"/>
        <item x="143"/>
        <item x="418"/>
        <item x="304"/>
        <item x="675"/>
        <item x="356"/>
        <item x="912"/>
        <item x="213"/>
        <item x="654"/>
        <item x="638"/>
        <item x="623"/>
        <item x="602"/>
        <item x="965"/>
        <item x="614"/>
        <item x="150"/>
        <item x="792"/>
        <item x="38"/>
        <item x="224"/>
        <item x="375"/>
        <item x="291"/>
        <item x="290"/>
        <item x="824"/>
        <item x="1046"/>
        <item x="749"/>
        <item x="651"/>
        <item x="937"/>
        <item x="329"/>
        <item x="400"/>
        <item x="398"/>
        <item x="206"/>
        <item x="111"/>
        <item x="371"/>
        <item x="382"/>
        <item x="61"/>
        <item x="48"/>
        <item x="138"/>
        <item x="182"/>
        <item x="223"/>
        <item x="663"/>
        <item x="739"/>
        <item x="358"/>
        <item x="351"/>
        <item x="503"/>
        <item x="121"/>
        <item x="132"/>
        <item x="214"/>
        <item x="949"/>
        <item x="357"/>
        <item x="320"/>
        <item x="474"/>
        <item x="319"/>
        <item x="927"/>
        <item x="1008"/>
        <item x="507"/>
        <item x="925"/>
        <item x="657"/>
        <item x="370"/>
        <item x="1013"/>
        <item x="742"/>
        <item x="560"/>
        <item x="127"/>
        <item x="720"/>
        <item x="551"/>
        <item x="324"/>
        <item x="178"/>
        <item x="649"/>
        <item x="634"/>
        <item x="212"/>
        <item x="756"/>
        <item x="1017"/>
        <item x="31"/>
        <item x="722"/>
        <item x="723"/>
        <item x="952"/>
        <item x="888"/>
        <item x="714"/>
        <item x="160"/>
        <item x="543"/>
        <item x="232"/>
        <item x="252"/>
        <item x="251"/>
        <item x="608"/>
        <item x="594"/>
        <item x="911"/>
        <item x="909"/>
        <item x="421"/>
        <item x="408"/>
        <item x="910"/>
        <item x="401"/>
        <item x="385"/>
        <item x="390"/>
        <item x="360"/>
        <item x="372"/>
        <item x="322"/>
        <item x="343"/>
        <item x="374"/>
        <item x="270"/>
        <item x="268"/>
        <item x="271"/>
        <item x="422"/>
        <item x="402"/>
        <item x="377"/>
        <item x="761"/>
        <item x="189"/>
        <item x="851"/>
        <item x="340"/>
        <item x="620"/>
        <item x="253"/>
        <item x="820"/>
        <item x="630"/>
        <item x="971"/>
        <item x="745"/>
        <item x="906"/>
        <item x="958"/>
        <item x="619"/>
        <item x="776"/>
        <item x="892"/>
        <item x="125"/>
        <item x="435"/>
        <item x="344"/>
        <item x="140"/>
        <item x="230"/>
        <item x="233"/>
        <item x="716"/>
        <item x="28"/>
        <item x="314"/>
        <item x="477"/>
        <item x="518"/>
        <item x="918"/>
        <item x="947"/>
        <item x="991"/>
        <item x="992"/>
        <item x="574"/>
        <item x="282"/>
        <item x="505"/>
        <item x="822"/>
        <item x="827"/>
        <item x="615"/>
        <item x="162"/>
        <item x="829"/>
        <item x="321"/>
        <item x="567"/>
        <item x="1010"/>
        <item x="781"/>
        <item x="744"/>
        <item x="924"/>
        <item x="717"/>
        <item x="459"/>
        <item x="443"/>
        <item x="637"/>
        <item x="380"/>
        <item x="455"/>
        <item x="278"/>
        <item x="113"/>
        <item x="179"/>
        <item x="862"/>
        <item x="39"/>
        <item x="866"/>
        <item x="707"/>
        <item x="335"/>
        <item x="635"/>
        <item x="555"/>
        <item x="338"/>
        <item x="296"/>
        <item x="258"/>
        <item x="156"/>
        <item x="628"/>
        <item x="782"/>
        <item x="135"/>
        <item x="136"/>
        <item x="922"/>
        <item x="603"/>
        <item x="215"/>
        <item x="260"/>
        <item x="218"/>
        <item x="488"/>
        <item x="456"/>
        <item x="261"/>
        <item x="887"/>
        <item x="652"/>
        <item x="648"/>
        <item x="293"/>
        <item x="1042"/>
        <item x="697"/>
        <item x="225"/>
        <item x="658"/>
        <item x="210"/>
        <item x="951"/>
        <item x="672"/>
        <item x="797"/>
        <item x="798"/>
        <item x="799"/>
        <item x="813"/>
        <item x="19"/>
        <item x="549"/>
        <item x="544"/>
        <item x="795"/>
        <item x="681"/>
        <item x="363"/>
        <item x="139"/>
        <item x="905"/>
        <item x="88"/>
        <item x="87"/>
        <item x="676"/>
        <item x="668"/>
        <item x="599"/>
        <item x="57"/>
        <item x="607"/>
        <item x="694"/>
        <item x="753"/>
        <item x="752"/>
        <item x="908"/>
        <item x="1043"/>
        <item x="814"/>
        <item x="155"/>
        <item x="487"/>
        <item x="469"/>
        <item x="941"/>
        <item x="81"/>
        <item x="79"/>
        <item x="80"/>
        <item x="530"/>
        <item x="461"/>
        <item x="449"/>
        <item x="768"/>
        <item x="442"/>
        <item x="383"/>
        <item x="973"/>
        <item x="967"/>
        <item x="800"/>
        <item x="501"/>
        <item x="641"/>
        <item x="606"/>
        <item x="695"/>
        <item x="611"/>
        <item x="598"/>
        <item x="760"/>
        <item x="730"/>
        <item x="921"/>
        <item x="810"/>
        <item x="222"/>
        <item x="865"/>
        <item x="226"/>
        <item x="365"/>
        <item x="263"/>
        <item x="826"/>
        <item x="923"/>
        <item x="173"/>
        <item x="1030"/>
        <item x="541"/>
        <item x="580"/>
        <item x="35"/>
        <item x="105"/>
        <item x="327"/>
        <item x="901"/>
        <item x="708"/>
        <item x="670"/>
        <item x="75"/>
        <item x="76"/>
        <item x="77"/>
        <item x="1023"/>
        <item x="525"/>
        <item x="690"/>
        <item x="944"/>
        <item x="975"/>
        <item x="120"/>
        <item x="769"/>
        <item x="542"/>
        <item x="997"/>
        <item x="331"/>
        <item x="259"/>
        <item x="272"/>
        <item x="13"/>
        <item x="1020"/>
        <item x="783"/>
        <item x="519"/>
        <item x="509"/>
        <item x="796"/>
        <item x="642"/>
        <item x="585"/>
        <item x="37"/>
        <item x="933"/>
        <item x="533"/>
        <item x="691"/>
        <item x="656"/>
        <item x="793"/>
        <item x="219"/>
        <item x="885"/>
        <item x="779"/>
        <item x="396"/>
        <item x="553"/>
        <item x="264"/>
        <item x="677"/>
        <item x="364"/>
        <item x="900"/>
        <item x="785"/>
        <item x="1001"/>
        <item x="55"/>
        <item x="56"/>
        <item x="945"/>
        <item x="146"/>
        <item x="988"/>
        <item x="737"/>
        <item x="311"/>
        <item x="145"/>
        <item x="391"/>
        <item x="731"/>
        <item x="180"/>
        <item x="774"/>
        <item x="593"/>
        <item x="89"/>
        <item x="165"/>
        <item x="196"/>
        <item x="565"/>
        <item x="315"/>
        <item x="470"/>
        <item x="700"/>
        <item x="115"/>
        <item x="671"/>
        <item x="706"/>
        <item x="1045"/>
        <item x="728"/>
        <item x="859"/>
        <item x="430"/>
        <item x="216"/>
        <item x="790"/>
        <item x="665"/>
        <item x="24"/>
        <item x="879"/>
        <item x="336"/>
        <item x="465"/>
        <item x="458"/>
        <item x="475"/>
        <item x="485"/>
        <item x="70"/>
        <item x="880"/>
        <item x="397"/>
        <item x="431"/>
        <item x="724"/>
        <item x="318"/>
        <item x="46"/>
        <item x="961"/>
        <item x="902"/>
        <item x="595"/>
        <item x="755"/>
        <item x="926"/>
        <item x="1011"/>
        <item x="1016"/>
        <item x="97"/>
        <item x="979"/>
        <item x="995"/>
        <item x="521"/>
        <item x="171"/>
        <item x="843"/>
        <item x="808"/>
        <item x="454"/>
        <item x="588"/>
        <item x="116"/>
        <item x="142"/>
        <item x="869"/>
        <item x="234"/>
        <item x="710"/>
        <item x="100"/>
        <item x="621"/>
        <item x="596"/>
        <item x="64"/>
        <item x="332"/>
        <item x="536"/>
        <item x="517"/>
        <item x="472"/>
        <item x="617"/>
        <item x="946"/>
        <item x="114"/>
        <item x="186"/>
        <item x="238"/>
        <item x="437"/>
        <item x="463"/>
        <item x="482"/>
        <item x="25"/>
        <item x="244"/>
        <item x="834"/>
        <item x="287"/>
        <item x="985"/>
        <item x="45"/>
        <item x="419"/>
        <item x="529"/>
        <item x="896"/>
        <item x="313"/>
        <item x="863"/>
        <item x="852"/>
        <item x="191"/>
        <item x="850"/>
        <item x="192"/>
        <item x="849"/>
        <item x="881"/>
        <item x="871"/>
        <item x="23"/>
        <item x="484"/>
        <item x="725"/>
        <item x="1040"/>
        <item x="701"/>
        <item x="493"/>
        <item x="729"/>
        <item x="257"/>
        <item x="618"/>
        <item x="92"/>
        <item x="93"/>
        <item x="957"/>
        <item x="236"/>
        <item x="41"/>
        <item x="562"/>
        <item x="844"/>
        <item x="367"/>
        <item x="711"/>
        <item x="516"/>
        <item x="512"/>
        <item x="69"/>
        <item x="200"/>
        <item x="323"/>
        <item x="929"/>
        <item x="267"/>
        <item x="310"/>
        <item x="309"/>
        <item x="777"/>
        <item x="440"/>
        <item x="845"/>
        <item x="839"/>
        <item x="325"/>
        <item x="424"/>
        <item x="666"/>
        <item x="1021"/>
        <item x="1022"/>
        <item x="974"/>
        <item x="928"/>
        <item x="931"/>
        <item x="772"/>
        <item x="202"/>
      </items>
      <autoSortScope>
        <pivotArea dataOnly="0" outline="0" fieldPosition="0">
          <references count="1">
            <reference field="4294967294" count="1" selected="0">
              <x v="1"/>
            </reference>
          </references>
        </pivotArea>
      </autoSortScope>
    </pivotField>
    <pivotField compact="0" numFmtId="14" outline="0" showAll="0" defaultSubtotal="0">
      <items count="1014">
        <item x="733"/>
        <item x="732"/>
        <item x="731"/>
        <item x="760"/>
        <item x="730"/>
        <item x="423"/>
        <item x="163"/>
        <item x="729"/>
        <item x="757"/>
        <item x="754"/>
        <item x="756"/>
        <item x="728"/>
        <item x="755"/>
        <item x="160"/>
        <item x="727"/>
        <item x="762"/>
        <item x="726"/>
        <item x="725"/>
        <item x="724"/>
        <item x="759"/>
        <item x="1009"/>
        <item x="723"/>
        <item x="722"/>
        <item x="166"/>
        <item x="165"/>
        <item x="761"/>
        <item x="167"/>
        <item x="763"/>
        <item x="1003"/>
        <item x="850"/>
        <item x="164"/>
        <item x="168"/>
        <item x="765"/>
        <item x="764"/>
        <item x="721"/>
        <item x="1010"/>
        <item x="718"/>
        <item x="720"/>
        <item x="65"/>
        <item x="719"/>
        <item x="714"/>
        <item x="717"/>
        <item x="1008"/>
        <item x="715"/>
        <item x="716"/>
        <item x="1004"/>
        <item x="713"/>
        <item x="158"/>
        <item x="159"/>
        <item x="711"/>
        <item x="710"/>
        <item x="999"/>
        <item x="712"/>
        <item x="709"/>
        <item x="708"/>
        <item x="61"/>
        <item x="1005"/>
        <item x="71"/>
        <item x="707"/>
        <item x="706"/>
        <item x="704"/>
        <item x="1002"/>
        <item x="705"/>
        <item x="702"/>
        <item x="701"/>
        <item x="703"/>
        <item x="700"/>
        <item x="699"/>
        <item x="418"/>
        <item x="1001"/>
        <item x="989"/>
        <item x="89"/>
        <item x="698"/>
        <item x="157"/>
        <item x="697"/>
        <item x="849"/>
        <item x="694"/>
        <item x="696"/>
        <item x="695"/>
        <item x="691"/>
        <item x="1006"/>
        <item x="693"/>
        <item x="692"/>
        <item x="690"/>
        <item x="851"/>
        <item x="686"/>
        <item x="689"/>
        <item x="685"/>
        <item x="911"/>
        <item x="688"/>
        <item x="687"/>
        <item x="684"/>
        <item x="758"/>
        <item x="156"/>
        <item x="682"/>
        <item x="683"/>
        <item x="877"/>
        <item x="162"/>
        <item x="72"/>
        <item x="679"/>
        <item x="125"/>
        <item x="680"/>
        <item x="155"/>
        <item x="681"/>
        <item x="675"/>
        <item x="678"/>
        <item x="674"/>
        <item x="229"/>
        <item x="878"/>
        <item x="124"/>
        <item x="676"/>
        <item x="677"/>
        <item x="202"/>
        <item x="197"/>
        <item x="154"/>
        <item x="58"/>
        <item x="421"/>
        <item x="673"/>
        <item x="671"/>
        <item x="1007"/>
        <item x="672"/>
        <item x="59"/>
        <item x="117"/>
        <item x="153"/>
        <item x="998"/>
        <item x="57"/>
        <item x="670"/>
        <item x="230"/>
        <item x="116"/>
        <item x="412"/>
        <item x="668"/>
        <item x="667"/>
        <item x="666"/>
        <item x="665"/>
        <item x="150"/>
        <item x="663"/>
        <item x="853"/>
        <item x="152"/>
        <item x="669"/>
        <item x="854"/>
        <item x="151"/>
        <item x="664"/>
        <item x="200"/>
        <item x="60"/>
        <item x="662"/>
        <item x="659"/>
        <item x="872"/>
        <item x="660"/>
        <item x="661"/>
        <item x="658"/>
        <item x="118"/>
        <item x="656"/>
        <item x="657"/>
        <item x="855"/>
        <item x="64"/>
        <item x="655"/>
        <item x="39"/>
        <item x="149"/>
        <item x="653"/>
        <item x="652"/>
        <item x="826"/>
        <item x="119"/>
        <item x="148"/>
        <item x="654"/>
        <item x="876"/>
        <item x="651"/>
        <item x="40"/>
        <item x="648"/>
        <item x="650"/>
        <item x="649"/>
        <item x="875"/>
        <item x="41"/>
        <item x="120"/>
        <item x="43"/>
        <item x="645"/>
        <item x="400"/>
        <item x="886"/>
        <item x="647"/>
        <item x="646"/>
        <item x="644"/>
        <item x="637"/>
        <item x="643"/>
        <item x="642"/>
        <item x="640"/>
        <item x="198"/>
        <item x="641"/>
        <item x="638"/>
        <item x="639"/>
        <item x="121"/>
        <item x="636"/>
        <item x="169"/>
        <item x="147"/>
        <item x="633"/>
        <item x="146"/>
        <item x="635"/>
        <item x="634"/>
        <item x="885"/>
        <item x="628"/>
        <item x="629"/>
        <item x="632"/>
        <item x="856"/>
        <item x="627"/>
        <item x="630"/>
        <item x="392"/>
        <item x="631"/>
        <item x="816"/>
        <item x="201"/>
        <item x="626"/>
        <item x="410"/>
        <item x="622"/>
        <item x="145"/>
        <item x="625"/>
        <item x="887"/>
        <item x="115"/>
        <item x="996"/>
        <item x="623"/>
        <item x="624"/>
        <item x="42"/>
        <item x="617"/>
        <item x="874"/>
        <item x="144"/>
        <item x="618"/>
        <item x="620"/>
        <item x="621"/>
        <item x="338"/>
        <item x="619"/>
        <item x="3"/>
        <item x="413"/>
        <item x="616"/>
        <item x="612"/>
        <item x="106"/>
        <item x="611"/>
        <item x="613"/>
        <item x="170"/>
        <item x="614"/>
        <item x="364"/>
        <item x="615"/>
        <item x="610"/>
        <item x="62"/>
        <item x="871"/>
        <item x="393"/>
        <item x="196"/>
        <item x="609"/>
        <item x="605"/>
        <item x="608"/>
        <item x="607"/>
        <item x="398"/>
        <item x="199"/>
        <item x="604"/>
        <item x="606"/>
        <item x="603"/>
        <item x="142"/>
        <item x="141"/>
        <item x="193"/>
        <item x="171"/>
        <item x="602"/>
        <item x="107"/>
        <item x="143"/>
        <item x="601"/>
        <item x="34"/>
        <item x="4"/>
        <item x="814"/>
        <item x="9"/>
        <item x="598"/>
        <item x="409"/>
        <item x="411"/>
        <item x="600"/>
        <item x="377"/>
        <item x="597"/>
        <item x="108"/>
        <item x="599"/>
        <item x="596"/>
        <item x="888"/>
        <item x="592"/>
        <item x="367"/>
        <item x="594"/>
        <item x="379"/>
        <item x="593"/>
        <item x="231"/>
        <item x="595"/>
        <item x="363"/>
        <item x="390"/>
        <item x="590"/>
        <item x="589"/>
        <item x="591"/>
        <item x="37"/>
        <item x="376"/>
        <item x="397"/>
        <item x="374"/>
        <item x="587"/>
        <item x="588"/>
        <item x="766"/>
        <item x="417"/>
        <item x="586"/>
        <item x="898"/>
        <item x="579"/>
        <item x="63"/>
        <item x="584"/>
        <item x="582"/>
        <item x="416"/>
        <item x="73"/>
        <item x="5"/>
        <item x="812"/>
        <item x="1000"/>
        <item x="580"/>
        <item x="585"/>
        <item x="583"/>
        <item x="944"/>
        <item x="581"/>
        <item x="1011"/>
        <item x="574"/>
        <item x="811"/>
        <item x="578"/>
        <item x="576"/>
        <item x="205"/>
        <item x="399"/>
        <item x="2"/>
        <item x="889"/>
        <item x="391"/>
        <item x="857"/>
        <item x="577"/>
        <item x="575"/>
        <item x="403"/>
        <item x="571"/>
        <item x="568"/>
        <item x="387"/>
        <item x="573"/>
        <item x="194"/>
        <item x="105"/>
        <item x="882"/>
        <item x="985"/>
        <item x="572"/>
        <item x="567"/>
        <item x="870"/>
        <item x="935"/>
        <item x="381"/>
        <item x="566"/>
        <item x="827"/>
        <item x="570"/>
        <item x="569"/>
        <item x="847"/>
        <item x="565"/>
        <item x="896"/>
        <item x="1"/>
        <item x="810"/>
        <item x="318"/>
        <item x="561"/>
        <item x="858"/>
        <item x="378"/>
        <item x="564"/>
        <item x="890"/>
        <item x="563"/>
        <item x="562"/>
        <item x="407"/>
        <item x="560"/>
        <item x="909"/>
        <item x="846"/>
        <item x="352"/>
        <item x="556"/>
        <item x="375"/>
        <item x="104"/>
        <item x="557"/>
        <item x="554"/>
        <item x="404"/>
        <item x="316"/>
        <item x="845"/>
        <item x="945"/>
        <item x="555"/>
        <item x="558"/>
        <item x="359"/>
        <item x="559"/>
        <item x="373"/>
        <item x="552"/>
        <item x="553"/>
        <item x="358"/>
        <item x="327"/>
        <item x="967"/>
        <item x="321"/>
        <item x="550"/>
        <item x="984"/>
        <item x="986"/>
        <item x="844"/>
        <item x="385"/>
        <item x="838"/>
        <item x="396"/>
        <item x="551"/>
        <item x="383"/>
        <item x="545"/>
        <item x="946"/>
        <item x="549"/>
        <item x="349"/>
        <item x="936"/>
        <item x="910"/>
        <item x="548"/>
        <item x="843"/>
        <item x="281"/>
        <item x="547"/>
        <item x="543"/>
        <item x="380"/>
        <item x="544"/>
        <item x="546"/>
        <item x="45"/>
        <item x="542"/>
        <item x="49"/>
        <item x="537"/>
        <item x="344"/>
        <item x="540"/>
        <item x="355"/>
        <item x="538"/>
        <item x="44"/>
        <item x="842"/>
        <item x="852"/>
        <item x="366"/>
        <item x="357"/>
        <item x="983"/>
        <item x="824"/>
        <item x="422"/>
        <item x="869"/>
        <item x="541"/>
        <item x="536"/>
        <item x="535"/>
        <item x="539"/>
        <item x="532"/>
        <item x="232"/>
        <item x="328"/>
        <item x="531"/>
        <item x="1012"/>
        <item x="293"/>
        <item x="356"/>
        <item x="778"/>
        <item x="53"/>
        <item x="891"/>
        <item x="868"/>
        <item x="981"/>
        <item x="530"/>
        <item x="388"/>
        <item x="534"/>
        <item x="533"/>
        <item x="123"/>
        <item x="183"/>
        <item x="526"/>
        <item x="525"/>
        <item x="523"/>
        <item x="285"/>
        <item x="524"/>
        <item x="329"/>
        <item x="20"/>
        <item x="840"/>
        <item x="414"/>
        <item x="883"/>
        <item x="823"/>
        <item x="529"/>
        <item x="362"/>
        <item x="807"/>
        <item x="867"/>
        <item x="527"/>
        <item x="38"/>
        <item x="1013"/>
        <item x="993"/>
        <item x="78"/>
        <item x="339"/>
        <item x="312"/>
        <item x="521"/>
        <item x="520"/>
        <item x="519"/>
        <item x="323"/>
        <item x="237"/>
        <item x="290"/>
        <item x="419"/>
        <item x="372"/>
        <item x="939"/>
        <item x="369"/>
        <item x="518"/>
        <item x="103"/>
        <item x="111"/>
        <item x="522"/>
        <item x="982"/>
        <item x="395"/>
        <item x="779"/>
        <item x="114"/>
        <item x="415"/>
        <item x="512"/>
        <item x="298"/>
        <item x="307"/>
        <item x="513"/>
        <item x="516"/>
        <item x="304"/>
        <item x="515"/>
        <item x="211"/>
        <item x="806"/>
        <item x="353"/>
        <item x="514"/>
        <item x="322"/>
        <item x="517"/>
        <item x="528"/>
        <item x="510"/>
        <item x="884"/>
        <item x="19"/>
        <item x="508"/>
        <item x="511"/>
        <item x="780"/>
        <item x="288"/>
        <item x="509"/>
        <item x="331"/>
        <item x="947"/>
        <item x="140"/>
        <item x="966"/>
        <item x="184"/>
        <item x="828"/>
        <item x="100"/>
        <item x="905"/>
        <item x="235"/>
        <item x="913"/>
        <item x="837"/>
        <item x="299"/>
        <item x="503"/>
        <item x="330"/>
        <item x="506"/>
        <item x="507"/>
        <item x="249"/>
        <item x="248"/>
        <item x="504"/>
        <item x="324"/>
        <item x="753"/>
        <item x="354"/>
        <item x="212"/>
        <item x="873"/>
        <item x="505"/>
        <item x="139"/>
        <item x="365"/>
        <item x="317"/>
        <item x="342"/>
        <item x="502"/>
        <item x="269"/>
        <item x="138"/>
        <item x="326"/>
        <item x="501"/>
        <item x="195"/>
        <item x="402"/>
        <item x="325"/>
        <item x="805"/>
        <item x="319"/>
        <item x="500"/>
        <item x="97"/>
        <item x="113"/>
        <item x="767"/>
        <item x="284"/>
        <item x="496"/>
        <item x="266"/>
        <item x="345"/>
        <item x="264"/>
        <item x="11"/>
        <item x="499"/>
        <item x="859"/>
        <item x="305"/>
        <item x="213"/>
        <item x="420"/>
        <item x="927"/>
        <item x="384"/>
        <item x="498"/>
        <item x="804"/>
        <item x="819"/>
        <item x="497"/>
        <item x="210"/>
        <item x="68"/>
        <item x="309"/>
        <item x="294"/>
        <item x="495"/>
        <item x="21"/>
        <item x="493"/>
        <item x="795"/>
        <item x="350"/>
        <item x="238"/>
        <item x="829"/>
        <item x="22"/>
        <item x="494"/>
        <item x="920"/>
        <item x="254"/>
        <item x="66"/>
        <item x="895"/>
        <item x="914"/>
        <item x="768"/>
        <item x="99"/>
        <item x="75"/>
        <item x="301"/>
        <item x="278"/>
        <item x="287"/>
        <item x="803"/>
        <item x="268"/>
        <item x="272"/>
        <item x="492"/>
        <item x="347"/>
        <item x="8"/>
        <item x="233"/>
        <item x="267"/>
        <item x="963"/>
        <item x="332"/>
        <item x="250"/>
        <item x="280"/>
        <item x="300"/>
        <item x="940"/>
        <item x="491"/>
        <item x="320"/>
        <item x="7"/>
        <item x="24"/>
        <item x="10"/>
        <item x="112"/>
        <item x="70"/>
        <item x="69"/>
        <item x="102"/>
        <item x="96"/>
        <item x="979"/>
        <item x="394"/>
        <item x="77"/>
        <item x="286"/>
        <item x="830"/>
        <item x="337"/>
        <item x="90"/>
        <item x="351"/>
        <item x="769"/>
        <item x="915"/>
        <item x="306"/>
        <item x="259"/>
        <item x="297"/>
        <item x="488"/>
        <item x="406"/>
        <item x="820"/>
        <item x="489"/>
        <item x="262"/>
        <item x="490"/>
        <item x="382"/>
        <item x="948"/>
        <item x="191"/>
        <item x="335"/>
        <item x="343"/>
        <item x="271"/>
        <item x="256"/>
        <item x="929"/>
        <item x="263"/>
        <item x="921"/>
        <item x="76"/>
        <item x="781"/>
        <item x="957"/>
        <item x="334"/>
        <item x="386"/>
        <item x="333"/>
        <item x="122"/>
        <item x="968"/>
        <item x="341"/>
        <item x="346"/>
        <item x="244"/>
        <item x="12"/>
        <item x="261"/>
        <item x="98"/>
        <item x="274"/>
        <item x="831"/>
        <item x="252"/>
        <item x="916"/>
        <item x="83"/>
        <item x="279"/>
        <item x="292"/>
        <item x="401"/>
        <item x="282"/>
        <item x="314"/>
        <item x="389"/>
        <item x="54"/>
        <item x="33"/>
        <item x="173"/>
        <item x="486"/>
        <item x="26"/>
        <item x="866"/>
        <item x="487"/>
        <item x="277"/>
        <item x="371"/>
        <item x="791"/>
        <item x="23"/>
        <item x="295"/>
        <item x="485"/>
        <item x="308"/>
        <item x="360"/>
        <item x="275"/>
        <item x="900"/>
        <item x="270"/>
        <item x="484"/>
        <item x="174"/>
        <item x="276"/>
        <item x="245"/>
        <item x="257"/>
        <item x="246"/>
        <item x="48"/>
        <item x="25"/>
        <item x="253"/>
        <item x="92"/>
        <item x="291"/>
        <item x="368"/>
        <item x="361"/>
        <item x="95"/>
        <item x="137"/>
        <item x="405"/>
        <item x="74"/>
        <item x="303"/>
        <item x="84"/>
        <item x="313"/>
        <item x="192"/>
        <item x="36"/>
        <item x="35"/>
        <item x="481"/>
        <item x="265"/>
        <item x="260"/>
        <item x="813"/>
        <item x="789"/>
        <item x="483"/>
        <item x="247"/>
        <item x="234"/>
        <item x="255"/>
        <item x="938"/>
        <item x="172"/>
        <item x="310"/>
        <item x="302"/>
        <item x="296"/>
        <item x="289"/>
        <item x="348"/>
        <item x="109"/>
        <item x="127"/>
        <item x="101"/>
        <item x="0"/>
        <item x="340"/>
        <item x="283"/>
        <item x="408"/>
        <item x="482"/>
        <item x="227"/>
        <item x="110"/>
        <item x="336"/>
        <item x="126"/>
        <item x="185"/>
        <item x="251"/>
        <item x="315"/>
        <item x="82"/>
        <item x="242"/>
        <item x="236"/>
        <item x="273"/>
        <item x="239"/>
        <item x="94"/>
        <item x="311"/>
        <item x="990"/>
        <item x="190"/>
        <item x="258"/>
        <item x="786"/>
        <item x="370"/>
        <item x="962"/>
        <item x="241"/>
        <item x="240"/>
        <item x="46"/>
        <item x="243"/>
        <item x="479"/>
        <item x="218"/>
        <item x="220"/>
        <item x="28"/>
        <item x="770"/>
        <item x="477"/>
        <item x="136"/>
        <item x="424"/>
        <item x="474"/>
        <item x="775"/>
        <item x="478"/>
        <item x="134"/>
        <item x="475"/>
        <item x="16"/>
        <item x="839"/>
        <item x="473"/>
        <item x="771"/>
        <item x="179"/>
        <item x="214"/>
        <item x="949"/>
        <item x="480"/>
        <item x="203"/>
        <item x="865"/>
        <item x="135"/>
        <item x="476"/>
        <item x="952"/>
        <item x="91"/>
        <item x="860"/>
        <item x="50"/>
        <item x="17"/>
        <item x="848"/>
        <item x="821"/>
        <item x="27"/>
        <item x="923"/>
        <item x="87"/>
        <item x="881"/>
        <item x="471"/>
        <item x="30"/>
        <item x="906"/>
        <item x="802"/>
        <item x="469"/>
        <item x="472"/>
        <item x="467"/>
        <item x="466"/>
        <item x="132"/>
        <item x="86"/>
        <item x="988"/>
        <item x="175"/>
        <item x="468"/>
        <item x="470"/>
        <item x="88"/>
        <item x="861"/>
        <item x="465"/>
        <item x="31"/>
        <item x="133"/>
        <item x="975"/>
        <item x="29"/>
        <item x="894"/>
        <item x="130"/>
        <item x="189"/>
        <item x="777"/>
        <item x="228"/>
        <item x="51"/>
        <item x="462"/>
        <item x="950"/>
        <item x="460"/>
        <item x="971"/>
        <item x="458"/>
        <item x="461"/>
        <item x="464"/>
        <item x="459"/>
        <item x="206"/>
        <item x="772"/>
        <item x="186"/>
        <item x="223"/>
        <item x="67"/>
        <item x="14"/>
        <item x="131"/>
        <item x="463"/>
        <item x="809"/>
        <item x="974"/>
        <item x="182"/>
        <item x="176"/>
        <item x="226"/>
        <item x="784"/>
        <item x="455"/>
        <item x="47"/>
        <item x="452"/>
        <item x="818"/>
        <item x="454"/>
        <item x="457"/>
        <item x="451"/>
        <item x="129"/>
        <item x="456"/>
        <item x="815"/>
        <item x="224"/>
        <item x="55"/>
        <item x="204"/>
        <item x="864"/>
        <item x="453"/>
        <item x="180"/>
        <item x="954"/>
        <item x="15"/>
        <item x="215"/>
        <item x="822"/>
        <item x="817"/>
        <item x="794"/>
        <item x="987"/>
        <item x="449"/>
        <item x="785"/>
        <item x="443"/>
        <item x="922"/>
        <item x="450"/>
        <item x="943"/>
        <item x="448"/>
        <item x="833"/>
        <item x="980"/>
        <item x="445"/>
        <item x="958"/>
        <item x="447"/>
        <item x="444"/>
        <item x="808"/>
        <item x="773"/>
        <item x="964"/>
        <item x="969"/>
        <item x="209"/>
        <item x="796"/>
        <item x="832"/>
        <item x="128"/>
        <item x="446"/>
        <item x="222"/>
        <item x="907"/>
        <item x="81"/>
        <item x="941"/>
        <item x="926"/>
        <item x="961"/>
        <item x="801"/>
        <item x="953"/>
        <item x="187"/>
        <item x="917"/>
        <item x="880"/>
        <item x="435"/>
        <item x="438"/>
        <item x="836"/>
        <item x="776"/>
        <item x="18"/>
        <item x="924"/>
        <item x="441"/>
        <item x="439"/>
        <item x="436"/>
        <item x="177"/>
        <item x="978"/>
        <item x="792"/>
        <item x="970"/>
        <item x="225"/>
        <item x="221"/>
        <item x="991"/>
        <item x="216"/>
        <item x="440"/>
        <item x="800"/>
        <item x="442"/>
        <item x="93"/>
        <item x="437"/>
        <item x="787"/>
        <item x="434"/>
        <item x="783"/>
        <item x="80"/>
        <item x="893"/>
        <item x="56"/>
        <item x="992"/>
        <item x="32"/>
        <item x="799"/>
        <item x="429"/>
        <item x="431"/>
        <item x="934"/>
        <item x="428"/>
        <item x="427"/>
        <item x="960"/>
        <item x="994"/>
        <item x="425"/>
        <item x="432"/>
        <item x="426"/>
        <item x="774"/>
        <item x="976"/>
        <item x="956"/>
        <item x="933"/>
        <item x="217"/>
        <item x="965"/>
        <item x="955"/>
        <item x="433"/>
        <item x="430"/>
        <item x="862"/>
        <item x="835"/>
        <item x="79"/>
        <item x="951"/>
        <item x="188"/>
        <item x="208"/>
        <item x="972"/>
        <item x="181"/>
        <item x="793"/>
        <item x="790"/>
        <item x="736"/>
        <item x="798"/>
        <item x="737"/>
        <item x="6"/>
        <item x="973"/>
        <item x="738"/>
        <item x="735"/>
        <item x="918"/>
        <item x="739"/>
        <item x="797"/>
        <item x="959"/>
        <item x="977"/>
        <item x="740"/>
        <item x="942"/>
        <item x="219"/>
        <item x="178"/>
        <item x="742"/>
        <item x="825"/>
        <item x="85"/>
        <item x="161"/>
        <item x="741"/>
        <item x="937"/>
        <item x="908"/>
        <item x="52"/>
        <item x="734"/>
        <item x="841"/>
        <item x="897"/>
        <item x="13"/>
        <item x="749"/>
        <item x="782"/>
        <item x="904"/>
        <item x="747"/>
        <item x="745"/>
        <item x="746"/>
        <item x="743"/>
        <item x="751"/>
        <item x="834"/>
        <item x="899"/>
        <item x="744"/>
        <item x="901"/>
        <item x="879"/>
        <item x="748"/>
        <item x="902"/>
        <item x="903"/>
        <item x="995"/>
        <item x="750"/>
        <item x="997"/>
        <item x="863"/>
        <item x="912"/>
        <item x="788"/>
        <item x="919"/>
        <item x="925"/>
        <item x="752"/>
        <item x="207"/>
        <item x="928"/>
        <item x="930"/>
        <item x="892"/>
        <item x="931"/>
        <item x="932"/>
      </items>
    </pivotField>
    <pivotField dataField="1" compact="0" outline="0" showAll="0" defaultSubtotal="0"/>
    <pivotField compact="0" outline="0" showAll="0" sortType="descending" defaultSubtotal="0">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compact="0" outline="0" showAll="0" sortType="descending" defaultSubtotal="0">
      <autoSortScope>
        <pivotArea dataOnly="0" outline="0" fieldPosition="0">
          <references count="1">
            <reference field="4294967294" count="1" selected="0">
              <x v="1"/>
            </reference>
          </references>
        </pivotArea>
      </autoSortScope>
    </pivotField>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dragToRow="0" dragToCol="0" dragToPage="0" showAll="0" defaultSubtotal="0"/>
    <pivotField axis="axisRow"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s>
  <rowFields count="1">
    <field x="15"/>
  </rowFields>
  <rowItems count="2">
    <i>
      <x v="11"/>
    </i>
    <i t="grand">
      <x/>
    </i>
  </rowItems>
  <colFields count="1">
    <field x="-2"/>
  </colFields>
  <colItems count="7">
    <i>
      <x/>
    </i>
    <i i="1">
      <x v="1"/>
    </i>
    <i i="2">
      <x v="2"/>
    </i>
    <i i="3">
      <x v="3"/>
    </i>
    <i i="4">
      <x v="4"/>
    </i>
    <i i="5">
      <x v="5"/>
    </i>
    <i i="6">
      <x v="6"/>
    </i>
  </colItems>
  <dataFields count="7">
    <dataField name="Movies Releases" fld="1" subtotal="count" baseField="0" baseItem="0"/>
    <dataField name=" Budget" fld="10" baseField="4" baseItem="1" numFmtId="164"/>
    <dataField name=" Box Office" fld="11" baseField="4" baseItem="3" numFmtId="164"/>
    <dataField name=" Profit" fld="14" baseField="0" baseItem="0" numFmtId="164"/>
    <dataField name=" Oscar Wins" fld="13" baseField="0" baseItem="0"/>
    <dataField name=" Nominations" fld="12" baseField="0" baseItem="0"/>
    <dataField name="Run Time (Min." fld="3" baseField="0" baseItem="0"/>
  </dataFields>
  <formats count="13">
    <format dxfId="303">
      <pivotArea outline="0" collapsedLevelsAreSubtotals="1" fieldPosition="0"/>
    </format>
    <format dxfId="302">
      <pivotArea type="all" dataOnly="0" outline="0" fieldPosition="0"/>
    </format>
    <format dxfId="301">
      <pivotArea outline="0" collapsedLevelsAreSubtotals="1" fieldPosition="0"/>
    </format>
    <format dxfId="300">
      <pivotArea field="1" type="button" dataOnly="0" labelOnly="1" outline="0"/>
    </format>
    <format dxfId="299">
      <pivotArea dataOnly="0" labelOnly="1" grandRow="1" outline="0" fieldPosition="0"/>
    </format>
    <format dxfId="298">
      <pivotArea dataOnly="0" labelOnly="1" outline="0" fieldPosition="0">
        <references count="1">
          <reference field="4294967294" count="6">
            <x v="1"/>
            <x v="2"/>
            <x v="3"/>
            <x v="4"/>
            <x v="5"/>
            <x v="6"/>
          </reference>
        </references>
      </pivotArea>
    </format>
    <format dxfId="297">
      <pivotArea type="all" dataOnly="0" outline="0" fieldPosition="0"/>
    </format>
    <format dxfId="296">
      <pivotArea outline="0" collapsedLevelsAreSubtotals="1" fieldPosition="0"/>
    </format>
    <format dxfId="295">
      <pivotArea field="15" type="button" dataOnly="0" labelOnly="1" outline="0" axis="axisRow" fieldPosition="0"/>
    </format>
    <format dxfId="294">
      <pivotArea dataOnly="0" labelOnly="1" outline="0" fieldPosition="0">
        <references count="1">
          <reference field="15" count="50">
            <x v="1"/>
            <x v="10"/>
            <x v="11"/>
            <x v="13"/>
            <x v="15"/>
            <x v="16"/>
            <x v="17"/>
            <x v="18"/>
            <x v="19"/>
            <x v="20"/>
            <x v="21"/>
            <x v="22"/>
            <x v="23"/>
            <x v="25"/>
            <x v="26"/>
            <x v="27"/>
            <x v="28"/>
            <x v="29"/>
            <x v="30"/>
            <x v="31"/>
            <x v="32"/>
            <x v="33"/>
            <x v="34"/>
            <x v="35"/>
            <x v="36"/>
            <x v="37"/>
            <x v="38"/>
            <x v="39"/>
            <x v="40"/>
            <x v="41"/>
            <x v="42"/>
            <x v="43"/>
            <x v="44"/>
            <x v="45"/>
            <x v="46"/>
            <x v="47"/>
            <x v="48"/>
            <x v="49"/>
            <x v="50"/>
            <x v="51"/>
            <x v="52"/>
            <x v="53"/>
            <x v="54"/>
            <x v="55"/>
            <x v="56"/>
            <x v="57"/>
            <x v="58"/>
            <x v="59"/>
            <x v="60"/>
            <x v="61"/>
          </reference>
        </references>
      </pivotArea>
    </format>
    <format dxfId="293">
      <pivotArea dataOnly="0" labelOnly="1" outline="0" fieldPosition="0">
        <references count="1">
          <reference field="15" count="35">
            <x v="62"/>
            <x v="63"/>
            <x v="64"/>
            <x v="65"/>
            <x v="66"/>
            <x v="67"/>
            <x v="68"/>
            <x v="69"/>
            <x v="70"/>
            <x v="71"/>
            <x v="72"/>
            <x v="73"/>
            <x v="74"/>
            <x v="75"/>
            <x v="76"/>
            <x v="77"/>
            <x v="78"/>
            <x v="79"/>
            <x v="80"/>
            <x v="81"/>
            <x v="82"/>
            <x v="83"/>
            <x v="84"/>
            <x v="85"/>
            <x v="86"/>
            <x v="87"/>
            <x v="88"/>
            <x v="89"/>
            <x v="90"/>
            <x v="91"/>
            <x v="92"/>
            <x v="93"/>
            <x v="94"/>
            <x v="95"/>
            <x v="96"/>
          </reference>
        </references>
      </pivotArea>
    </format>
    <format dxfId="292">
      <pivotArea dataOnly="0" labelOnly="1" grandRow="1" outline="0" fieldPosition="0"/>
    </format>
    <format dxfId="291">
      <pivotArea dataOnly="0" labelOnly="1" outline="0" fieldPosition="0">
        <references count="1">
          <reference field="4294967294" count="7">
            <x v="0"/>
            <x v="1"/>
            <x v="2"/>
            <x v="3"/>
            <x v="4"/>
            <x v="5"/>
            <x v="6"/>
          </reference>
        </references>
      </pivotArea>
    </format>
  </formats>
  <conditionalFormats count="2">
    <conditionalFormat priority="4">
      <pivotAreas count="1">
        <pivotArea type="data" outline="0" collapsedLevelsAreSubtotals="1" fieldPosition="0">
          <references count="2">
            <reference field="4294967294" count="1" selected="0">
              <x v="0"/>
            </reference>
            <reference field="15" count="85" selected="0">
              <x v="1"/>
              <x v="10"/>
              <x v="11"/>
              <x v="13"/>
              <x v="15"/>
              <x v="16"/>
              <x v="17"/>
              <x v="18"/>
              <x v="19"/>
              <x v="20"/>
              <x v="21"/>
              <x v="22"/>
              <x v="23"/>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reference>
          </references>
        </pivotArea>
      </pivotAreas>
    </conditionalFormat>
    <conditionalFormat priority="5">
      <pivotAreas count="1">
        <pivotArea type="data" outline="0" collapsedLevelsAreSubtotals="1" fieldPosition="0">
          <references count="1">
            <reference field="4294967294" count="1" selected="0">
              <x v="3"/>
            </reference>
          </references>
        </pivotArea>
      </pivotAreas>
    </conditionalFormat>
  </conditionalFormats>
  <pivotTableStyleInfo name="PivotStyleMedium7" showRowHeaders="1" showColHeaders="1" showRowStripes="0" showColStripes="1" showLastColumn="1"/>
  <filters count="1">
    <filter fld="2" type="dateBetween" evalOrder="-1" id="24" name="Release Date">
      <autoFilter ref="A1">
        <filterColumn colId="0">
          <customFilters and="1">
            <customFilter operator="greaterThanOrEqual" val="11324"/>
            <customFilter operator="lessThanOrEqual" val="11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4935264-535C-4C32-9D55-CBE328729E1D}" sourceName="Country">
  <pivotTables>
    <pivotTable tabId="4" name="PivotTable1"/>
  </pivotTables>
  <data>
    <tabular pivotCacheId="1870611883">
      <items count="20">
        <i x="0"/>
        <i x="1"/>
        <i x="2"/>
        <i x="3"/>
        <i x="4"/>
        <i x="5"/>
        <i x="6"/>
        <i x="7" s="1"/>
        <i x="8"/>
        <i x="9"/>
        <i x="10"/>
        <i x="11"/>
        <i x="12"/>
        <i x="13"/>
        <i x="14"/>
        <i x="15"/>
        <i x="16"/>
        <i x="17"/>
        <i x="18"/>
        <i x="1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E919AA8-6EBE-4289-9DD3-5EBCFDE334A6}" cache="Slicer_Country" caption="Country" columnCount="5"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78D0B6-3FBA-41A5-8DAB-BD96002AB24A}" name="Table1" displayName="Table1" ref="A1:N1077" totalsRowShown="0" headerRowDxfId="245" dataDxfId="244">
  <tableColumns count="14">
    <tableColumn id="1" xr3:uid="{C09CA379-EABF-4FD4-841C-5A1BDDB87DC9}" name="ID" dataDxfId="243"/>
    <tableColumn id="2" xr3:uid="{63E211F4-EC0B-4B6B-8868-65F4B72A8735}" name="Title" dataDxfId="242"/>
    <tableColumn id="3" xr3:uid="{685AA063-34B2-47EB-8827-0BDD133314F3}" name="Release Date" dataDxfId="241"/>
    <tableColumn id="4" xr3:uid="{ED2D9993-7F31-4247-9970-2433EEAD5F6C}" name="Run Time" dataDxfId="240"/>
    <tableColumn id="5" xr3:uid="{3D07F4B9-E794-427F-946F-B17D357CF0F8}" name="Genre" dataDxfId="239"/>
    <tableColumn id="6" xr3:uid="{295E6A04-CC57-4217-823B-534562D892C2}" name="Director" dataDxfId="238"/>
    <tableColumn id="7" xr3:uid="{4F1868BC-7962-4151-9F4D-36C3AB9819D4}" name="Studio" dataDxfId="237"/>
    <tableColumn id="8" xr3:uid="{51DAB5F8-3DFA-44CB-9740-A9D6B714FAF9}" name="Country" dataDxfId="236"/>
    <tableColumn id="9" xr3:uid="{E0267DBE-70E5-49EB-9764-963C756666E2}" name="Language" dataDxfId="235"/>
    <tableColumn id="10" xr3:uid="{F760B42F-CDBC-457F-AC9E-A5E99ED087D6}" name="Certificate" dataDxfId="234"/>
    <tableColumn id="11" xr3:uid="{F1625B0C-2C05-41B0-A555-7BAD201EEA11}" name="Budget" dataDxfId="233"/>
    <tableColumn id="12" xr3:uid="{EBFF2D59-0855-4F31-AB04-7D3D2013B5BA}" name="Box Office" dataDxfId="232"/>
    <tableColumn id="13" xr3:uid="{E44FC549-C729-4B3C-94D0-09B3769B6FBB}" name="Nominations" dataDxfId="231"/>
    <tableColumn id="14" xr3:uid="{38C04B39-9587-4BD9-B92F-11860E841EC5}" name="Oscar Wins" dataDxfId="23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63659E2A-2CEE-45CF-8B2B-45C9B1B5B724}" sourceName="Release Date">
  <pivotTables>
    <pivotTable tabId="4" name="PivotTable2"/>
    <pivotTable tabId="4" name="PivotTable5"/>
    <pivotTable tabId="4" name="PivotTable4"/>
    <pivotTable tabId="4" name="PivotTable6"/>
    <pivotTable tabId="4" name="PivotTable3"/>
  </pivotTables>
  <state minimalRefreshVersion="6" lastRefreshVersion="6" pivotCacheId="1870611883" filterType="dateBetween">
    <selection startDate="1931-01-01T00:00:00" endDate="1931-12-31T00:00:00"/>
    <bounds startDate="1921-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9159F12B-B9E8-4D5B-911E-B5DB8AF3E44E}" cache="NativeTimeline_Release_Date" caption="Release Date" level="0" selectionLevel="0" scrollPosition="1921-01-01T00:00:00" style="TimeSlicerStyleDark1"/>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1F096-20E0-4640-88BC-89E43D81FECE}">
  <sheetPr>
    <tabColor rgb="FF0070C0"/>
  </sheetPr>
  <dimension ref="A1:AC2116"/>
  <sheetViews>
    <sheetView showGridLines="0" tabSelected="1" zoomScale="40" zoomScaleNormal="40" workbookViewId="0">
      <selection activeCell="W22" sqref="W22"/>
    </sheetView>
  </sheetViews>
  <sheetFormatPr defaultRowHeight="14.4" x14ac:dyDescent="0.3"/>
  <cols>
    <col min="1" max="1" width="15.44140625" bestFit="1" customWidth="1"/>
    <col min="2" max="2" width="12.33203125" bestFit="1" customWidth="1"/>
    <col min="3" max="3" width="8.44140625" style="2" bestFit="1" customWidth="1"/>
    <col min="4" max="4" width="11.21875" style="2" bestFit="1" customWidth="1"/>
    <col min="5" max="5" width="9" style="2" bestFit="1" customWidth="1"/>
    <col min="6" max="6" width="11.21875" style="2" bestFit="1" customWidth="1"/>
    <col min="7" max="7" width="12.88671875" style="2" bestFit="1" customWidth="1"/>
    <col min="8" max="8" width="14.88671875" style="2" bestFit="1" customWidth="1"/>
    <col min="9" max="9" width="2.6640625" style="2" customWidth="1"/>
    <col min="10" max="10" width="1.6640625" style="30" customWidth="1"/>
    <col min="11" max="11" width="1.77734375" customWidth="1"/>
    <col min="12" max="12" width="16.77734375" bestFit="1" customWidth="1"/>
    <col min="13" max="13" width="8.21875" bestFit="1" customWidth="1"/>
    <col min="14" max="14" width="11.21875" bestFit="1" customWidth="1"/>
    <col min="15" max="15" width="7.33203125" bestFit="1" customWidth="1"/>
    <col min="16" max="16" width="11.21875" bestFit="1" customWidth="1"/>
    <col min="17" max="17" width="12.88671875" bestFit="1" customWidth="1"/>
    <col min="18" max="18" width="14.88671875" bestFit="1" customWidth="1"/>
    <col min="19" max="19" width="2.5546875" customWidth="1"/>
    <col min="20" max="20" width="1.6640625" style="30" customWidth="1"/>
    <col min="21" max="21" width="1.21875" customWidth="1"/>
    <col min="22" max="22" width="31.77734375" bestFit="1" customWidth="1"/>
    <col min="23" max="23" width="33.21875" bestFit="1" customWidth="1"/>
    <col min="24" max="24" width="11.21875" bestFit="1" customWidth="1"/>
    <col min="25" max="25" width="15.6640625" bestFit="1" customWidth="1"/>
    <col min="26" max="26" width="10.109375" bestFit="1" customWidth="1"/>
    <col min="27" max="27" width="15.6640625" bestFit="1" customWidth="1"/>
    <col min="28" max="28" width="17.6640625" bestFit="1" customWidth="1"/>
    <col min="29" max="29" width="19.88671875" bestFit="1" customWidth="1"/>
    <col min="30" max="30" width="14.21875" bestFit="1" customWidth="1"/>
    <col min="31" max="31" width="7.21875" bestFit="1" customWidth="1"/>
    <col min="32" max="32" width="5.44140625" bestFit="1" customWidth="1"/>
    <col min="33" max="33" width="7.6640625" bestFit="1" customWidth="1"/>
    <col min="34" max="34" width="5" bestFit="1" customWidth="1"/>
    <col min="35" max="35" width="11.77734375" bestFit="1" customWidth="1"/>
    <col min="36" max="36" width="9.77734375" bestFit="1" customWidth="1"/>
    <col min="37" max="37" width="10.109375" bestFit="1" customWidth="1"/>
    <col min="38" max="38" width="6.44140625" bestFit="1" customWidth="1"/>
    <col min="39" max="39" width="7.5546875" bestFit="1" customWidth="1"/>
    <col min="40" max="40" width="10.109375" bestFit="1" customWidth="1"/>
    <col min="41" max="41" width="6.109375" bestFit="1" customWidth="1"/>
    <col min="42" max="42" width="8.44140625" bestFit="1" customWidth="1"/>
    <col min="43" max="43" width="9" bestFit="1" customWidth="1"/>
    <col min="44" max="44" width="6.5546875" bestFit="1" customWidth="1"/>
    <col min="45" max="45" width="9.21875" bestFit="1" customWidth="1"/>
    <col min="46" max="46" width="7.21875" bestFit="1" customWidth="1"/>
    <col min="47" max="47" width="5.44140625" bestFit="1" customWidth="1"/>
    <col min="48" max="48" width="7.6640625" bestFit="1" customWidth="1"/>
    <col min="49" max="49" width="5" bestFit="1" customWidth="1"/>
    <col min="50" max="50" width="16.5546875" bestFit="1" customWidth="1"/>
    <col min="51" max="51" width="9.77734375" bestFit="1" customWidth="1"/>
    <col min="52" max="52" width="6.6640625" bestFit="1" customWidth="1"/>
    <col min="53" max="53" width="6.44140625" bestFit="1" customWidth="1"/>
    <col min="54" max="54" width="7.5546875" bestFit="1" customWidth="1"/>
    <col min="55" max="55" width="10.109375" bestFit="1" customWidth="1"/>
    <col min="56" max="56" width="6.109375" bestFit="1" customWidth="1"/>
    <col min="57" max="57" width="8.44140625" bestFit="1" customWidth="1"/>
    <col min="58" max="58" width="9" bestFit="1" customWidth="1"/>
    <col min="59" max="59" width="6.5546875" bestFit="1" customWidth="1"/>
    <col min="60" max="60" width="9.21875" bestFit="1" customWidth="1"/>
    <col min="61" max="61" width="7.21875" bestFit="1" customWidth="1"/>
    <col min="62" max="62" width="5.44140625" bestFit="1" customWidth="1"/>
    <col min="63" max="63" width="7.6640625" bestFit="1" customWidth="1"/>
    <col min="64" max="64" width="4.33203125" bestFit="1" customWidth="1"/>
    <col min="65" max="65" width="18" bestFit="1" customWidth="1"/>
    <col min="66" max="66" width="9.77734375" bestFit="1" customWidth="1"/>
    <col min="67" max="67" width="6.6640625" bestFit="1" customWidth="1"/>
    <col min="68" max="68" width="6.44140625" bestFit="1" customWidth="1"/>
    <col min="69" max="69" width="7.5546875" bestFit="1" customWidth="1"/>
    <col min="70" max="70" width="10.109375" bestFit="1" customWidth="1"/>
    <col min="71" max="71" width="6.109375" bestFit="1" customWidth="1"/>
    <col min="72" max="72" width="8.44140625" bestFit="1" customWidth="1"/>
    <col min="73" max="73" width="9" bestFit="1" customWidth="1"/>
    <col min="74" max="74" width="6.5546875" bestFit="1" customWidth="1"/>
    <col min="75" max="75" width="9.21875" bestFit="1" customWidth="1"/>
    <col min="76" max="76" width="7.21875" bestFit="1" customWidth="1"/>
    <col min="77" max="77" width="5.44140625" bestFit="1" customWidth="1"/>
    <col min="78" max="78" width="7.6640625" bestFit="1" customWidth="1"/>
    <col min="79" max="79" width="4.33203125" bestFit="1" customWidth="1"/>
    <col min="80" max="80" width="11.88671875" bestFit="1" customWidth="1"/>
    <col min="81" max="81" width="14.5546875" bestFit="1" customWidth="1"/>
    <col min="82" max="82" width="16.6640625" bestFit="1" customWidth="1"/>
    <col min="83" max="83" width="21.44140625" bestFit="1" customWidth="1"/>
    <col min="84" max="84" width="22.77734375" bestFit="1" customWidth="1"/>
  </cols>
  <sheetData>
    <row r="1" spans="1:28" ht="15" thickBot="1" x14ac:dyDescent="0.35"/>
    <row r="2" spans="1:28" ht="18.600000000000001" thickBot="1" x14ac:dyDescent="0.4">
      <c r="A2" s="38" t="s">
        <v>1824</v>
      </c>
      <c r="B2" s="39"/>
      <c r="C2" s="39"/>
      <c r="D2" s="39"/>
      <c r="E2" s="39"/>
      <c r="F2" s="39"/>
      <c r="G2" s="39"/>
      <c r="H2" s="40"/>
      <c r="I2" s="4"/>
      <c r="L2" s="38" t="s">
        <v>1825</v>
      </c>
      <c r="M2" s="39"/>
      <c r="N2" s="39"/>
      <c r="O2" s="39"/>
      <c r="P2" s="39"/>
      <c r="Q2" s="39"/>
      <c r="R2" s="39"/>
      <c r="S2" s="4"/>
    </row>
    <row r="11" spans="1:28" ht="15" thickBot="1" x14ac:dyDescent="0.35"/>
    <row r="12" spans="1:28" ht="18.600000000000001" thickBot="1" x14ac:dyDescent="0.4">
      <c r="V12" s="35" t="s">
        <v>1818</v>
      </c>
      <c r="W12" s="36"/>
      <c r="X12" s="36"/>
      <c r="Y12" s="36"/>
      <c r="Z12" s="36"/>
      <c r="AA12" s="36"/>
      <c r="AB12" s="37"/>
    </row>
    <row r="13" spans="1:28" ht="18.600000000000001" thickBot="1" x14ac:dyDescent="0.4">
      <c r="A13" s="29" t="s">
        <v>1822</v>
      </c>
      <c r="L13" s="29" t="s">
        <v>1823</v>
      </c>
    </row>
    <row r="14" spans="1:28" ht="15" thickBot="1" x14ac:dyDescent="0.35">
      <c r="A14" s="1" t="s">
        <v>8</v>
      </c>
      <c r="B14" s="1" t="s">
        <v>4</v>
      </c>
      <c r="C14" s="2" t="s">
        <v>1805</v>
      </c>
      <c r="D14" s="2" t="s">
        <v>1804</v>
      </c>
      <c r="E14" s="2" t="s">
        <v>1812</v>
      </c>
      <c r="F14" s="2" t="s">
        <v>1806</v>
      </c>
      <c r="G14" s="2" t="s">
        <v>1807</v>
      </c>
      <c r="H14" s="2" t="s">
        <v>1808</v>
      </c>
      <c r="L14" s="1" t="s">
        <v>1826</v>
      </c>
      <c r="M14" s="2" t="s">
        <v>1805</v>
      </c>
      <c r="N14" s="2" t="s">
        <v>1804</v>
      </c>
      <c r="O14" s="2" t="s">
        <v>1812</v>
      </c>
      <c r="P14" s="2" t="s">
        <v>1806</v>
      </c>
      <c r="Q14" s="2" t="s">
        <v>1807</v>
      </c>
      <c r="R14" s="2" t="s">
        <v>1808</v>
      </c>
      <c r="S14" s="2"/>
      <c r="V14" s="15" t="s">
        <v>1</v>
      </c>
      <c r="W14" s="6" t="s">
        <v>1805</v>
      </c>
      <c r="X14" s="7" t="s">
        <v>1804</v>
      </c>
      <c r="Y14" s="7" t="s">
        <v>1812</v>
      </c>
      <c r="Z14" s="7" t="s">
        <v>1806</v>
      </c>
      <c r="AA14" s="7" t="s">
        <v>1807</v>
      </c>
      <c r="AB14" s="8" t="s">
        <v>1808</v>
      </c>
    </row>
    <row r="15" spans="1:28" x14ac:dyDescent="0.3">
      <c r="A15" t="s">
        <v>480</v>
      </c>
      <c r="B15" t="s">
        <v>200</v>
      </c>
      <c r="C15" s="5">
        <v>110965000</v>
      </c>
      <c r="D15" s="5">
        <v>408736047</v>
      </c>
      <c r="E15" s="5">
        <v>297771047</v>
      </c>
      <c r="F15" s="50">
        <v>0</v>
      </c>
      <c r="G15" s="50">
        <v>0</v>
      </c>
      <c r="H15" s="50">
        <v>1010</v>
      </c>
      <c r="L15" s="33" t="s">
        <v>1814</v>
      </c>
      <c r="M15" s="5">
        <v>768000</v>
      </c>
      <c r="N15" s="5">
        <v>12506000</v>
      </c>
      <c r="O15" s="5">
        <v>11738000</v>
      </c>
      <c r="P15" s="50">
        <v>0</v>
      </c>
      <c r="Q15" s="50">
        <v>1</v>
      </c>
      <c r="R15" s="50">
        <v>239</v>
      </c>
      <c r="S15" s="2"/>
      <c r="V15" s="57" t="s">
        <v>1167</v>
      </c>
      <c r="W15" s="10">
        <v>355000</v>
      </c>
      <c r="X15" s="11">
        <v>355000</v>
      </c>
      <c r="Y15" s="11">
        <v>0</v>
      </c>
      <c r="Z15" s="59">
        <v>0</v>
      </c>
      <c r="AA15" s="59">
        <v>0</v>
      </c>
      <c r="AB15" s="60">
        <v>85</v>
      </c>
    </row>
    <row r="16" spans="1:28" x14ac:dyDescent="0.3">
      <c r="B16" t="s">
        <v>22</v>
      </c>
      <c r="C16" s="5">
        <v>4500000</v>
      </c>
      <c r="D16" s="5">
        <v>4500000</v>
      </c>
      <c r="E16" s="5">
        <v>0</v>
      </c>
      <c r="F16" s="50">
        <v>0</v>
      </c>
      <c r="G16" s="50">
        <v>0</v>
      </c>
      <c r="H16" s="50">
        <v>128</v>
      </c>
      <c r="L16" s="34">
        <v>11366</v>
      </c>
      <c r="M16" s="5">
        <v>355000</v>
      </c>
      <c r="N16" s="5">
        <v>355000</v>
      </c>
      <c r="O16" s="5">
        <v>0</v>
      </c>
      <c r="P16" s="50">
        <v>0</v>
      </c>
      <c r="Q16" s="50">
        <v>0</v>
      </c>
      <c r="R16" s="50">
        <v>85</v>
      </c>
      <c r="S16" s="2"/>
      <c r="V16" s="57" t="s">
        <v>1165</v>
      </c>
      <c r="W16" s="13">
        <v>262000</v>
      </c>
      <c r="X16" s="55">
        <v>12000000</v>
      </c>
      <c r="Y16" s="55">
        <v>11738000</v>
      </c>
      <c r="Z16" s="56">
        <v>0</v>
      </c>
      <c r="AA16" s="56">
        <v>0</v>
      </c>
      <c r="AB16" s="58">
        <v>71</v>
      </c>
    </row>
    <row r="17" spans="1:28" ht="15" thickBot="1" x14ac:dyDescent="0.35">
      <c r="A17" t="s">
        <v>1809</v>
      </c>
      <c r="C17" s="5">
        <v>115465000</v>
      </c>
      <c r="D17" s="5">
        <v>413236047</v>
      </c>
      <c r="E17" s="5">
        <v>297771047</v>
      </c>
      <c r="F17" s="50">
        <v>0</v>
      </c>
      <c r="G17" s="50">
        <v>0</v>
      </c>
      <c r="H17" s="50">
        <v>1138</v>
      </c>
      <c r="L17" s="34">
        <v>11436</v>
      </c>
      <c r="M17" s="5">
        <v>151000</v>
      </c>
      <c r="N17" s="5">
        <v>151000</v>
      </c>
      <c r="O17" s="5">
        <v>0</v>
      </c>
      <c r="P17" s="50">
        <v>0</v>
      </c>
      <c r="Q17" s="50">
        <v>1</v>
      </c>
      <c r="R17" s="50">
        <v>83</v>
      </c>
      <c r="S17" s="2"/>
      <c r="V17" s="57" t="s">
        <v>1222</v>
      </c>
      <c r="W17" s="13">
        <v>151000</v>
      </c>
      <c r="X17" s="55">
        <v>151000</v>
      </c>
      <c r="Y17" s="55">
        <v>0</v>
      </c>
      <c r="Z17" s="56">
        <v>0</v>
      </c>
      <c r="AA17" s="56">
        <v>1</v>
      </c>
      <c r="AB17" s="58">
        <v>83</v>
      </c>
    </row>
    <row r="18" spans="1:28" ht="15" thickBot="1" x14ac:dyDescent="0.35">
      <c r="A18" t="s">
        <v>423</v>
      </c>
      <c r="B18" t="s">
        <v>45</v>
      </c>
      <c r="C18" s="5">
        <v>40000000</v>
      </c>
      <c r="D18" s="5">
        <v>40000000</v>
      </c>
      <c r="E18" s="5">
        <v>0</v>
      </c>
      <c r="F18" s="50">
        <v>0</v>
      </c>
      <c r="G18" s="50">
        <v>0</v>
      </c>
      <c r="H18" s="50">
        <v>127</v>
      </c>
      <c r="L18" s="34">
        <v>11648</v>
      </c>
      <c r="M18" s="5">
        <v>262000</v>
      </c>
      <c r="N18" s="5">
        <v>12000000</v>
      </c>
      <c r="O18" s="5">
        <v>11738000</v>
      </c>
      <c r="P18" s="50">
        <v>0</v>
      </c>
      <c r="Q18" s="50">
        <v>0</v>
      </c>
      <c r="R18" s="50">
        <v>71</v>
      </c>
      <c r="S18" s="2"/>
      <c r="V18" s="16" t="s">
        <v>1803</v>
      </c>
      <c r="W18" s="14">
        <v>768000</v>
      </c>
      <c r="X18" s="9">
        <v>12506000</v>
      </c>
      <c r="Y18" s="9">
        <v>11738000</v>
      </c>
      <c r="Z18" s="51">
        <v>0</v>
      </c>
      <c r="AA18" s="51">
        <v>1</v>
      </c>
      <c r="AB18" s="52">
        <v>239</v>
      </c>
    </row>
    <row r="19" spans="1:28" x14ac:dyDescent="0.3">
      <c r="B19" t="s">
        <v>200</v>
      </c>
      <c r="C19" s="5">
        <v>38230000</v>
      </c>
      <c r="D19" s="5">
        <v>55700000</v>
      </c>
      <c r="E19" s="5">
        <v>17470000</v>
      </c>
      <c r="F19" s="50">
        <v>0</v>
      </c>
      <c r="G19" s="50">
        <v>0</v>
      </c>
      <c r="H19" s="50">
        <v>477</v>
      </c>
      <c r="L19" s="33" t="s">
        <v>1803</v>
      </c>
      <c r="M19" s="5">
        <v>768000</v>
      </c>
      <c r="N19" s="5">
        <v>12506000</v>
      </c>
      <c r="O19" s="5">
        <v>11738000</v>
      </c>
      <c r="P19" s="50">
        <v>0</v>
      </c>
      <c r="Q19" s="50">
        <v>1</v>
      </c>
      <c r="R19" s="50">
        <v>239</v>
      </c>
      <c r="S19" s="2"/>
    </row>
    <row r="20" spans="1:28" x14ac:dyDescent="0.3">
      <c r="A20" t="s">
        <v>1811</v>
      </c>
      <c r="C20" s="5">
        <v>78230000</v>
      </c>
      <c r="D20" s="5">
        <v>95700000</v>
      </c>
      <c r="E20" s="5">
        <v>17470000</v>
      </c>
      <c r="F20" s="50">
        <v>0</v>
      </c>
      <c r="G20" s="50">
        <v>0</v>
      </c>
      <c r="H20" s="50">
        <v>604</v>
      </c>
      <c r="S20" s="2"/>
    </row>
    <row r="21" spans="1:28" x14ac:dyDescent="0.3">
      <c r="A21" t="s">
        <v>19</v>
      </c>
      <c r="B21" t="s">
        <v>200</v>
      </c>
      <c r="C21" s="5">
        <v>850000</v>
      </c>
      <c r="D21" s="5">
        <v>22000000</v>
      </c>
      <c r="E21" s="5">
        <v>21150000</v>
      </c>
      <c r="F21" s="50">
        <v>0</v>
      </c>
      <c r="G21" s="50">
        <v>0</v>
      </c>
      <c r="H21" s="50">
        <v>102</v>
      </c>
      <c r="S21" s="2"/>
    </row>
    <row r="22" spans="1:28" x14ac:dyDescent="0.3">
      <c r="A22" t="s">
        <v>1810</v>
      </c>
      <c r="C22" s="5">
        <v>850000</v>
      </c>
      <c r="D22" s="5">
        <v>22000000</v>
      </c>
      <c r="E22" s="5">
        <v>21150000</v>
      </c>
      <c r="F22" s="50">
        <v>0</v>
      </c>
      <c r="G22" s="50">
        <v>0</v>
      </c>
      <c r="H22" s="50">
        <v>102</v>
      </c>
      <c r="S22" s="2"/>
    </row>
    <row r="23" spans="1:28" x14ac:dyDescent="0.3">
      <c r="A23" t="s">
        <v>1803</v>
      </c>
      <c r="C23" s="5">
        <v>194545000</v>
      </c>
      <c r="D23" s="5">
        <v>530936047</v>
      </c>
      <c r="E23" s="5">
        <v>336391047</v>
      </c>
      <c r="F23" s="50">
        <v>0</v>
      </c>
      <c r="G23" s="50">
        <v>0</v>
      </c>
      <c r="H23" s="50">
        <v>1844</v>
      </c>
      <c r="S23" s="2"/>
    </row>
    <row r="24" spans="1:28" x14ac:dyDescent="0.3">
      <c r="C24"/>
      <c r="D24"/>
      <c r="E24"/>
      <c r="F24"/>
      <c r="G24"/>
      <c r="H24"/>
      <c r="S24" s="2"/>
    </row>
    <row r="25" spans="1:28" x14ac:dyDescent="0.3">
      <c r="C25"/>
      <c r="D25"/>
      <c r="E25"/>
      <c r="F25"/>
      <c r="G25"/>
      <c r="H25"/>
      <c r="S25" s="2"/>
    </row>
    <row r="26" spans="1:28" x14ac:dyDescent="0.3">
      <c r="C26"/>
      <c r="D26"/>
      <c r="E26"/>
      <c r="F26"/>
      <c r="G26"/>
      <c r="H26"/>
      <c r="S26" s="2"/>
    </row>
    <row r="27" spans="1:28" x14ac:dyDescent="0.3">
      <c r="C27"/>
      <c r="D27"/>
      <c r="E27"/>
      <c r="F27"/>
      <c r="G27"/>
      <c r="H27"/>
      <c r="S27" s="2"/>
    </row>
    <row r="28" spans="1:28" x14ac:dyDescent="0.3">
      <c r="C28"/>
      <c r="D28"/>
      <c r="E28"/>
      <c r="F28"/>
      <c r="G28"/>
      <c r="H28"/>
      <c r="S28" s="2"/>
    </row>
    <row r="29" spans="1:28" x14ac:dyDescent="0.3">
      <c r="C29"/>
      <c r="D29"/>
      <c r="E29"/>
      <c r="F29"/>
      <c r="G29"/>
      <c r="H29"/>
      <c r="S29" s="2"/>
    </row>
    <row r="30" spans="1:28" x14ac:dyDescent="0.3">
      <c r="C30"/>
      <c r="D30"/>
      <c r="E30"/>
      <c r="F30"/>
      <c r="G30"/>
      <c r="H30"/>
      <c r="S30" s="2"/>
    </row>
    <row r="31" spans="1:28" x14ac:dyDescent="0.3">
      <c r="C31"/>
      <c r="D31"/>
      <c r="E31"/>
      <c r="F31"/>
      <c r="G31"/>
      <c r="H31"/>
      <c r="S31" s="2"/>
    </row>
    <row r="32" spans="1:28" x14ac:dyDescent="0.3">
      <c r="C32"/>
      <c r="D32"/>
      <c r="E32"/>
      <c r="F32"/>
      <c r="G32"/>
      <c r="H32"/>
      <c r="S32" s="2"/>
    </row>
    <row r="33" spans="3:28" x14ac:dyDescent="0.3">
      <c r="C33"/>
      <c r="D33"/>
      <c r="E33"/>
      <c r="F33"/>
      <c r="G33"/>
      <c r="H33"/>
      <c r="S33" s="2"/>
    </row>
    <row r="34" spans="3:28" x14ac:dyDescent="0.3">
      <c r="C34"/>
      <c r="D34"/>
      <c r="E34"/>
      <c r="F34"/>
      <c r="G34"/>
      <c r="H34"/>
      <c r="S34" s="2"/>
    </row>
    <row r="35" spans="3:28" ht="15" thickBot="1" x14ac:dyDescent="0.35">
      <c r="C35"/>
      <c r="D35"/>
      <c r="E35"/>
      <c r="F35"/>
      <c r="G35"/>
      <c r="H35"/>
      <c r="S35" s="2"/>
    </row>
    <row r="36" spans="3:28" ht="15" thickBot="1" x14ac:dyDescent="0.35">
      <c r="C36"/>
      <c r="D36"/>
      <c r="E36"/>
      <c r="F36"/>
      <c r="G36"/>
      <c r="H36"/>
      <c r="S36" s="2"/>
    </row>
    <row r="37" spans="3:28" x14ac:dyDescent="0.3">
      <c r="C37"/>
      <c r="D37"/>
      <c r="E37"/>
      <c r="F37"/>
      <c r="G37"/>
      <c r="H37"/>
      <c r="S37" s="2"/>
    </row>
    <row r="38" spans="3:28" ht="15" thickBot="1" x14ac:dyDescent="0.35">
      <c r="C38"/>
      <c r="D38"/>
      <c r="E38"/>
      <c r="F38"/>
      <c r="G38"/>
      <c r="H38"/>
      <c r="S38" s="2"/>
    </row>
    <row r="39" spans="3:28" ht="18.600000000000001" thickBot="1" x14ac:dyDescent="0.4">
      <c r="C39"/>
      <c r="D39"/>
      <c r="E39"/>
      <c r="F39"/>
      <c r="G39"/>
      <c r="H39"/>
      <c r="S39" s="2"/>
      <c r="V39" s="35" t="s">
        <v>1815</v>
      </c>
      <c r="W39" s="36"/>
      <c r="X39" s="36"/>
      <c r="Y39" s="36"/>
      <c r="Z39" s="36"/>
      <c r="AA39" s="36"/>
      <c r="AB39" s="37"/>
    </row>
    <row r="40" spans="3:28" ht="15" thickBot="1" x14ac:dyDescent="0.35">
      <c r="C40"/>
      <c r="D40"/>
      <c r="E40"/>
      <c r="F40"/>
      <c r="G40"/>
      <c r="H40"/>
      <c r="S40" s="2"/>
    </row>
    <row r="41" spans="3:28" ht="15" thickBot="1" x14ac:dyDescent="0.35">
      <c r="C41"/>
      <c r="D41"/>
      <c r="E41"/>
      <c r="F41"/>
      <c r="G41"/>
      <c r="H41"/>
      <c r="S41" s="2"/>
      <c r="V41" s="15" t="s">
        <v>1</v>
      </c>
      <c r="W41" s="6" t="s">
        <v>1805</v>
      </c>
      <c r="X41" s="7" t="s">
        <v>1804</v>
      </c>
      <c r="Y41" s="7" t="s">
        <v>1812</v>
      </c>
      <c r="Z41" s="7" t="s">
        <v>1806</v>
      </c>
      <c r="AA41" s="7" t="s">
        <v>1807</v>
      </c>
      <c r="AB41" s="8" t="s">
        <v>1808</v>
      </c>
    </row>
    <row r="42" spans="3:28" x14ac:dyDescent="0.3">
      <c r="C42"/>
      <c r="D42"/>
      <c r="E42"/>
      <c r="F42"/>
      <c r="G42"/>
      <c r="H42"/>
      <c r="S42" s="2"/>
      <c r="V42" s="57" t="s">
        <v>1165</v>
      </c>
      <c r="W42" s="10">
        <v>262000</v>
      </c>
      <c r="X42" s="11">
        <v>12000000</v>
      </c>
      <c r="Y42" s="11">
        <v>11738000</v>
      </c>
      <c r="Z42" s="59">
        <v>0</v>
      </c>
      <c r="AA42" s="59">
        <v>0</v>
      </c>
      <c r="AB42" s="60">
        <v>71</v>
      </c>
    </row>
    <row r="43" spans="3:28" x14ac:dyDescent="0.3">
      <c r="C43"/>
      <c r="D43"/>
      <c r="E43"/>
      <c r="F43"/>
      <c r="G43"/>
      <c r="H43"/>
      <c r="S43" s="2"/>
      <c r="V43" s="57" t="s">
        <v>1222</v>
      </c>
      <c r="W43" s="13">
        <v>151000</v>
      </c>
      <c r="X43" s="55">
        <v>151000</v>
      </c>
      <c r="Y43" s="55">
        <v>0</v>
      </c>
      <c r="Z43" s="56">
        <v>0</v>
      </c>
      <c r="AA43" s="56">
        <v>1</v>
      </c>
      <c r="AB43" s="58">
        <v>83</v>
      </c>
    </row>
    <row r="44" spans="3:28" ht="15" thickBot="1" x14ac:dyDescent="0.35">
      <c r="C44"/>
      <c r="D44"/>
      <c r="E44"/>
      <c r="F44"/>
      <c r="G44"/>
      <c r="H44"/>
      <c r="S44" s="2"/>
      <c r="V44" s="57" t="s">
        <v>1167</v>
      </c>
      <c r="W44" s="13">
        <v>355000</v>
      </c>
      <c r="X44" s="55">
        <v>355000</v>
      </c>
      <c r="Y44" s="55">
        <v>0</v>
      </c>
      <c r="Z44" s="56">
        <v>0</v>
      </c>
      <c r="AA44" s="56">
        <v>0</v>
      </c>
      <c r="AB44" s="58">
        <v>85</v>
      </c>
    </row>
    <row r="45" spans="3:28" ht="15" thickBot="1" x14ac:dyDescent="0.35">
      <c r="C45"/>
      <c r="D45"/>
      <c r="E45"/>
      <c r="F45"/>
      <c r="G45"/>
      <c r="H45"/>
      <c r="S45" s="2"/>
      <c r="V45" s="16" t="s">
        <v>1803</v>
      </c>
      <c r="W45" s="14">
        <v>768000</v>
      </c>
      <c r="X45" s="9">
        <v>12506000</v>
      </c>
      <c r="Y45" s="9">
        <v>11738000</v>
      </c>
      <c r="Z45" s="51">
        <v>0</v>
      </c>
      <c r="AA45" s="51">
        <v>1</v>
      </c>
      <c r="AB45" s="52">
        <v>239</v>
      </c>
    </row>
    <row r="46" spans="3:28" x14ac:dyDescent="0.3">
      <c r="C46"/>
      <c r="D46"/>
      <c r="E46"/>
      <c r="F46"/>
      <c r="G46"/>
      <c r="H46"/>
      <c r="S46" s="2"/>
    </row>
    <row r="47" spans="3:28" x14ac:dyDescent="0.3">
      <c r="C47"/>
      <c r="D47"/>
      <c r="E47"/>
      <c r="F47"/>
      <c r="G47"/>
      <c r="H47"/>
      <c r="S47" s="2"/>
    </row>
    <row r="48" spans="3:28" x14ac:dyDescent="0.3">
      <c r="C48"/>
      <c r="D48"/>
      <c r="E48"/>
      <c r="F48"/>
      <c r="G48"/>
      <c r="H48"/>
      <c r="S48" s="2"/>
    </row>
    <row r="49" spans="3:19" x14ac:dyDescent="0.3">
      <c r="C49"/>
      <c r="D49"/>
      <c r="E49"/>
      <c r="F49"/>
      <c r="G49"/>
      <c r="H49"/>
      <c r="S49" s="2"/>
    </row>
    <row r="50" spans="3:19" x14ac:dyDescent="0.3">
      <c r="C50"/>
      <c r="D50"/>
      <c r="E50"/>
      <c r="F50"/>
      <c r="G50"/>
      <c r="H50"/>
      <c r="S50" s="2"/>
    </row>
    <row r="51" spans="3:19" x14ac:dyDescent="0.3">
      <c r="C51"/>
      <c r="D51"/>
      <c r="E51"/>
      <c r="F51"/>
      <c r="G51"/>
      <c r="H51"/>
      <c r="S51" s="2"/>
    </row>
    <row r="52" spans="3:19" x14ac:dyDescent="0.3">
      <c r="C52"/>
      <c r="D52"/>
      <c r="E52"/>
      <c r="F52"/>
      <c r="G52"/>
      <c r="H52"/>
      <c r="S52" s="2"/>
    </row>
    <row r="53" spans="3:19" x14ac:dyDescent="0.3">
      <c r="C53"/>
      <c r="D53"/>
      <c r="E53"/>
      <c r="F53"/>
      <c r="G53"/>
      <c r="H53"/>
      <c r="S53" s="2"/>
    </row>
    <row r="54" spans="3:19" x14ac:dyDescent="0.3">
      <c r="C54"/>
      <c r="D54"/>
      <c r="E54"/>
      <c r="F54"/>
      <c r="G54"/>
      <c r="H54"/>
      <c r="S54" s="2"/>
    </row>
    <row r="55" spans="3:19" x14ac:dyDescent="0.3">
      <c r="C55"/>
      <c r="D55"/>
      <c r="E55"/>
      <c r="F55"/>
      <c r="G55"/>
      <c r="H55"/>
      <c r="S55" s="2"/>
    </row>
    <row r="56" spans="3:19" x14ac:dyDescent="0.3">
      <c r="C56"/>
      <c r="D56"/>
      <c r="E56"/>
      <c r="F56"/>
      <c r="G56"/>
      <c r="H56"/>
      <c r="S56" s="2"/>
    </row>
    <row r="57" spans="3:19" x14ac:dyDescent="0.3">
      <c r="C57"/>
      <c r="D57"/>
      <c r="E57"/>
      <c r="F57"/>
      <c r="G57"/>
      <c r="H57"/>
      <c r="S57" s="2"/>
    </row>
    <row r="58" spans="3:19" x14ac:dyDescent="0.3">
      <c r="C58"/>
      <c r="D58"/>
      <c r="E58"/>
      <c r="F58"/>
      <c r="G58"/>
      <c r="H58"/>
      <c r="S58" s="2"/>
    </row>
    <row r="59" spans="3:19" x14ac:dyDescent="0.3">
      <c r="C59"/>
      <c r="D59"/>
      <c r="E59"/>
      <c r="F59"/>
      <c r="G59"/>
      <c r="H59"/>
      <c r="S59" s="2"/>
    </row>
    <row r="60" spans="3:19" x14ac:dyDescent="0.3">
      <c r="C60"/>
      <c r="D60"/>
      <c r="E60"/>
      <c r="F60"/>
      <c r="G60"/>
      <c r="H60"/>
      <c r="S60" s="2"/>
    </row>
    <row r="61" spans="3:19" ht="15" thickBot="1" x14ac:dyDescent="0.35">
      <c r="C61"/>
      <c r="D61"/>
      <c r="E61"/>
      <c r="F61"/>
      <c r="G61"/>
      <c r="H61"/>
      <c r="S61" s="2"/>
    </row>
    <row r="62" spans="3:19" ht="15" thickBot="1" x14ac:dyDescent="0.35">
      <c r="C62"/>
      <c r="D62"/>
      <c r="E62"/>
      <c r="F62"/>
      <c r="G62"/>
      <c r="H62"/>
      <c r="S62" s="2"/>
    </row>
    <row r="63" spans="3:19" x14ac:dyDescent="0.3">
      <c r="C63"/>
      <c r="D63"/>
      <c r="E63"/>
      <c r="F63"/>
      <c r="G63"/>
      <c r="H63"/>
      <c r="S63" s="2"/>
    </row>
    <row r="64" spans="3:19" ht="15" thickBot="1" x14ac:dyDescent="0.35">
      <c r="C64"/>
      <c r="D64"/>
      <c r="E64"/>
      <c r="F64"/>
      <c r="G64"/>
      <c r="H64"/>
      <c r="S64" s="2"/>
    </row>
    <row r="65" spans="3:29" ht="18.600000000000001" thickBot="1" x14ac:dyDescent="0.4">
      <c r="C65"/>
      <c r="D65"/>
      <c r="E65"/>
      <c r="F65"/>
      <c r="G65"/>
      <c r="H65"/>
      <c r="S65" s="2"/>
      <c r="V65" s="35" t="s">
        <v>1817</v>
      </c>
      <c r="W65" s="36"/>
      <c r="X65" s="36"/>
      <c r="Y65" s="36"/>
      <c r="Z65" s="36"/>
      <c r="AA65" s="36"/>
      <c r="AB65" s="36"/>
      <c r="AC65" s="37"/>
    </row>
    <row r="66" spans="3:29" ht="15" thickBot="1" x14ac:dyDescent="0.35">
      <c r="C66"/>
      <c r="D66"/>
      <c r="E66"/>
      <c r="F66"/>
      <c r="G66"/>
      <c r="H66"/>
      <c r="S66" s="2"/>
    </row>
    <row r="67" spans="3:29" ht="15" thickBot="1" x14ac:dyDescent="0.35">
      <c r="C67"/>
      <c r="D67"/>
      <c r="E67"/>
      <c r="F67"/>
      <c r="G67"/>
      <c r="H67"/>
      <c r="S67" s="2"/>
      <c r="V67" s="18" t="s">
        <v>1813</v>
      </c>
      <c r="W67" s="12" t="s">
        <v>1816</v>
      </c>
      <c r="X67" s="19" t="s">
        <v>1805</v>
      </c>
      <c r="Y67" s="20" t="s">
        <v>1804</v>
      </c>
      <c r="Z67" s="20" t="s">
        <v>1812</v>
      </c>
      <c r="AA67" s="20" t="s">
        <v>1806</v>
      </c>
      <c r="AB67" s="20" t="s">
        <v>1807</v>
      </c>
      <c r="AC67" s="21" t="s">
        <v>1808</v>
      </c>
    </row>
    <row r="68" spans="3:29" ht="15" thickBot="1" x14ac:dyDescent="0.35">
      <c r="C68"/>
      <c r="D68"/>
      <c r="E68"/>
      <c r="F68"/>
      <c r="G68"/>
      <c r="H68"/>
      <c r="S68" s="2"/>
      <c r="V68" s="17" t="s">
        <v>1814</v>
      </c>
      <c r="W68" s="61">
        <v>3</v>
      </c>
      <c r="X68" s="11">
        <v>768000</v>
      </c>
      <c r="Y68" s="11">
        <v>12506000</v>
      </c>
      <c r="Z68" s="11">
        <v>11738000</v>
      </c>
      <c r="AA68" s="59">
        <v>0</v>
      </c>
      <c r="AB68" s="59">
        <v>1</v>
      </c>
      <c r="AC68" s="60">
        <v>239</v>
      </c>
    </row>
    <row r="69" spans="3:29" ht="15" thickBot="1" x14ac:dyDescent="0.35">
      <c r="C69"/>
      <c r="D69"/>
      <c r="E69"/>
      <c r="F69"/>
      <c r="G69"/>
      <c r="H69"/>
      <c r="S69" s="2"/>
      <c r="V69" s="22" t="s">
        <v>1803</v>
      </c>
      <c r="W69" s="62">
        <v>3</v>
      </c>
      <c r="X69" s="9">
        <v>768000</v>
      </c>
      <c r="Y69" s="9">
        <v>12506000</v>
      </c>
      <c r="Z69" s="9">
        <v>11738000</v>
      </c>
      <c r="AA69" s="51">
        <v>0</v>
      </c>
      <c r="AB69" s="51">
        <v>1</v>
      </c>
      <c r="AC69" s="52">
        <v>239</v>
      </c>
    </row>
    <row r="70" spans="3:29" x14ac:dyDescent="0.3">
      <c r="C70"/>
      <c r="D70"/>
      <c r="E70"/>
      <c r="F70"/>
      <c r="G70"/>
      <c r="H70"/>
      <c r="S70" s="2"/>
    </row>
    <row r="71" spans="3:29" x14ac:dyDescent="0.3">
      <c r="C71"/>
      <c r="D71"/>
      <c r="E71"/>
      <c r="F71"/>
      <c r="G71"/>
      <c r="H71"/>
      <c r="S71" s="2"/>
    </row>
    <row r="72" spans="3:29" x14ac:dyDescent="0.3">
      <c r="C72"/>
      <c r="D72"/>
      <c r="E72"/>
      <c r="F72"/>
      <c r="G72"/>
      <c r="H72"/>
      <c r="S72" s="2"/>
    </row>
    <row r="73" spans="3:29" x14ac:dyDescent="0.3">
      <c r="C73"/>
      <c r="D73"/>
      <c r="E73"/>
      <c r="F73"/>
      <c r="G73"/>
      <c r="H73"/>
      <c r="S73" s="2"/>
    </row>
    <row r="74" spans="3:29" x14ac:dyDescent="0.3">
      <c r="C74"/>
      <c r="D74"/>
      <c r="E74"/>
      <c r="F74"/>
      <c r="G74"/>
      <c r="H74"/>
      <c r="S74" s="2"/>
    </row>
    <row r="75" spans="3:29" x14ac:dyDescent="0.3">
      <c r="C75"/>
      <c r="D75"/>
      <c r="E75"/>
      <c r="F75"/>
      <c r="G75"/>
      <c r="H75"/>
      <c r="S75" s="2"/>
    </row>
    <row r="76" spans="3:29" x14ac:dyDescent="0.3">
      <c r="C76"/>
      <c r="D76"/>
      <c r="E76"/>
      <c r="F76"/>
      <c r="G76"/>
      <c r="H76"/>
      <c r="S76" s="2"/>
    </row>
    <row r="77" spans="3:29" x14ac:dyDescent="0.3">
      <c r="C77"/>
      <c r="D77"/>
      <c r="E77"/>
      <c r="F77"/>
      <c r="G77"/>
      <c r="H77"/>
      <c r="S77" s="2"/>
    </row>
    <row r="78" spans="3:29" x14ac:dyDescent="0.3">
      <c r="C78"/>
      <c r="D78"/>
      <c r="E78"/>
      <c r="F78"/>
      <c r="G78"/>
      <c r="H78"/>
      <c r="S78" s="2"/>
    </row>
    <row r="79" spans="3:29" x14ac:dyDescent="0.3">
      <c r="C79"/>
      <c r="D79"/>
      <c r="E79"/>
      <c r="F79"/>
      <c r="G79"/>
      <c r="H79"/>
      <c r="S79" s="2"/>
    </row>
    <row r="80" spans="3:29" x14ac:dyDescent="0.3">
      <c r="S80" s="2"/>
    </row>
    <row r="81" spans="3:19" x14ac:dyDescent="0.3">
      <c r="S81" s="2"/>
    </row>
    <row r="82" spans="3:19" x14ac:dyDescent="0.3">
      <c r="C82"/>
      <c r="D82"/>
      <c r="E82"/>
      <c r="F82"/>
      <c r="G82"/>
      <c r="H82"/>
      <c r="I82"/>
      <c r="S82" s="2"/>
    </row>
    <row r="83" spans="3:19" x14ac:dyDescent="0.3">
      <c r="C83"/>
      <c r="D83"/>
      <c r="E83"/>
      <c r="F83"/>
      <c r="G83"/>
      <c r="H83"/>
      <c r="I83"/>
      <c r="S83" s="2"/>
    </row>
    <row r="84" spans="3:19" x14ac:dyDescent="0.3">
      <c r="C84"/>
      <c r="D84"/>
      <c r="E84"/>
      <c r="F84"/>
      <c r="G84"/>
      <c r="H84"/>
      <c r="I84"/>
      <c r="S84" s="2"/>
    </row>
    <row r="85" spans="3:19" x14ac:dyDescent="0.3">
      <c r="C85"/>
      <c r="D85"/>
      <c r="E85"/>
      <c r="F85"/>
      <c r="G85"/>
      <c r="H85"/>
      <c r="I85"/>
      <c r="S85" s="2"/>
    </row>
    <row r="86" spans="3:19" x14ac:dyDescent="0.3">
      <c r="C86"/>
      <c r="D86"/>
      <c r="E86"/>
      <c r="F86"/>
      <c r="G86"/>
      <c r="H86"/>
      <c r="I86"/>
      <c r="S86" s="2"/>
    </row>
    <row r="87" spans="3:19" x14ac:dyDescent="0.3">
      <c r="C87"/>
      <c r="D87"/>
      <c r="E87"/>
      <c r="F87"/>
      <c r="G87"/>
      <c r="H87"/>
      <c r="I87"/>
      <c r="S87" s="2"/>
    </row>
    <row r="88" spans="3:19" x14ac:dyDescent="0.3">
      <c r="C88"/>
      <c r="D88"/>
      <c r="E88"/>
      <c r="F88"/>
      <c r="G88"/>
      <c r="H88"/>
      <c r="I88"/>
      <c r="S88" s="2"/>
    </row>
    <row r="89" spans="3:19" x14ac:dyDescent="0.3">
      <c r="C89"/>
      <c r="D89"/>
      <c r="E89"/>
      <c r="F89"/>
      <c r="G89"/>
      <c r="H89"/>
      <c r="I89"/>
      <c r="S89" s="2"/>
    </row>
    <row r="90" spans="3:19" x14ac:dyDescent="0.3">
      <c r="C90"/>
      <c r="D90"/>
      <c r="E90"/>
      <c r="F90"/>
      <c r="G90"/>
      <c r="H90"/>
      <c r="I90"/>
      <c r="S90" s="2"/>
    </row>
    <row r="91" spans="3:19" x14ac:dyDescent="0.3">
      <c r="C91"/>
      <c r="D91"/>
      <c r="E91"/>
      <c r="F91"/>
      <c r="G91"/>
      <c r="H91"/>
      <c r="I91"/>
      <c r="S91" s="2"/>
    </row>
    <row r="92" spans="3:19" x14ac:dyDescent="0.3">
      <c r="C92"/>
      <c r="D92"/>
      <c r="E92"/>
      <c r="F92"/>
      <c r="G92"/>
      <c r="H92"/>
      <c r="I92"/>
      <c r="S92" s="2"/>
    </row>
    <row r="93" spans="3:19" x14ac:dyDescent="0.3">
      <c r="C93"/>
      <c r="D93"/>
      <c r="E93"/>
      <c r="F93"/>
      <c r="G93"/>
      <c r="H93"/>
      <c r="I93"/>
      <c r="S93" s="2"/>
    </row>
    <row r="94" spans="3:19" x14ac:dyDescent="0.3">
      <c r="C94"/>
      <c r="D94"/>
      <c r="E94"/>
      <c r="F94"/>
      <c r="G94"/>
      <c r="H94"/>
      <c r="I94"/>
      <c r="S94" s="2"/>
    </row>
    <row r="95" spans="3:19" x14ac:dyDescent="0.3">
      <c r="C95"/>
      <c r="D95"/>
      <c r="E95"/>
      <c r="F95"/>
      <c r="G95"/>
      <c r="H95"/>
      <c r="I95"/>
      <c r="S95" s="2"/>
    </row>
    <row r="96" spans="3:19" x14ac:dyDescent="0.3">
      <c r="C96"/>
      <c r="D96"/>
      <c r="E96"/>
      <c r="F96"/>
      <c r="G96"/>
      <c r="H96"/>
      <c r="I96"/>
      <c r="S96" s="2"/>
    </row>
    <row r="97" spans="3:19" x14ac:dyDescent="0.3">
      <c r="C97"/>
      <c r="D97"/>
      <c r="E97"/>
      <c r="F97"/>
      <c r="G97"/>
      <c r="H97"/>
      <c r="I97"/>
      <c r="S97" s="2"/>
    </row>
    <row r="98" spans="3:19" x14ac:dyDescent="0.3">
      <c r="C98"/>
      <c r="D98"/>
      <c r="E98"/>
      <c r="F98"/>
      <c r="G98"/>
      <c r="H98"/>
      <c r="I98"/>
      <c r="S98" s="2"/>
    </row>
    <row r="99" spans="3:19" x14ac:dyDescent="0.3">
      <c r="C99"/>
      <c r="D99"/>
      <c r="E99"/>
      <c r="F99"/>
      <c r="G99"/>
      <c r="H99"/>
      <c r="I99"/>
      <c r="S99" s="2"/>
    </row>
    <row r="100" spans="3:19" x14ac:dyDescent="0.3">
      <c r="C100"/>
      <c r="D100"/>
      <c r="E100"/>
      <c r="F100"/>
      <c r="G100"/>
      <c r="H100"/>
      <c r="I100"/>
      <c r="S100" s="2"/>
    </row>
    <row r="101" spans="3:19" x14ac:dyDescent="0.3">
      <c r="C101"/>
      <c r="D101"/>
      <c r="E101"/>
      <c r="F101"/>
      <c r="G101"/>
      <c r="H101"/>
      <c r="I101"/>
      <c r="S101" s="2"/>
    </row>
    <row r="102" spans="3:19" x14ac:dyDescent="0.3">
      <c r="C102"/>
      <c r="D102"/>
      <c r="E102"/>
      <c r="F102"/>
      <c r="G102"/>
      <c r="H102"/>
      <c r="I102"/>
      <c r="S102" s="2"/>
    </row>
    <row r="103" spans="3:19" x14ac:dyDescent="0.3">
      <c r="C103"/>
      <c r="D103"/>
      <c r="E103"/>
      <c r="F103"/>
      <c r="G103"/>
      <c r="H103"/>
      <c r="I103"/>
      <c r="S103" s="2"/>
    </row>
    <row r="104" spans="3:19" x14ac:dyDescent="0.3">
      <c r="C104"/>
      <c r="D104"/>
      <c r="E104"/>
      <c r="F104"/>
      <c r="G104"/>
      <c r="H104"/>
      <c r="I104"/>
      <c r="S104" s="2"/>
    </row>
    <row r="105" spans="3:19" x14ac:dyDescent="0.3">
      <c r="C105"/>
      <c r="D105"/>
      <c r="E105"/>
      <c r="F105"/>
      <c r="G105"/>
      <c r="H105"/>
      <c r="I105"/>
      <c r="S105" s="2"/>
    </row>
    <row r="106" spans="3:19" x14ac:dyDescent="0.3">
      <c r="C106"/>
      <c r="D106"/>
      <c r="E106"/>
      <c r="F106"/>
      <c r="G106"/>
      <c r="H106"/>
      <c r="I106"/>
      <c r="S106" s="2"/>
    </row>
    <row r="107" spans="3:19" x14ac:dyDescent="0.3">
      <c r="C107"/>
      <c r="D107"/>
      <c r="E107"/>
      <c r="F107"/>
      <c r="G107"/>
      <c r="H107"/>
      <c r="I107"/>
      <c r="S107" s="2"/>
    </row>
    <row r="108" spans="3:19" x14ac:dyDescent="0.3">
      <c r="C108"/>
      <c r="D108"/>
      <c r="E108"/>
      <c r="F108"/>
      <c r="G108"/>
      <c r="H108"/>
      <c r="I108"/>
      <c r="S108" s="2"/>
    </row>
    <row r="109" spans="3:19" x14ac:dyDescent="0.3">
      <c r="C109"/>
      <c r="D109"/>
      <c r="E109"/>
      <c r="F109"/>
      <c r="G109"/>
      <c r="H109"/>
      <c r="I109"/>
      <c r="S109" s="2"/>
    </row>
    <row r="110" spans="3:19" x14ac:dyDescent="0.3">
      <c r="C110"/>
      <c r="D110"/>
      <c r="E110"/>
      <c r="F110"/>
      <c r="G110"/>
      <c r="H110"/>
      <c r="I110"/>
      <c r="S110" s="2"/>
    </row>
    <row r="111" spans="3:19" x14ac:dyDescent="0.3">
      <c r="C111"/>
      <c r="D111"/>
      <c r="E111"/>
      <c r="F111"/>
      <c r="G111"/>
      <c r="H111"/>
      <c r="I111"/>
      <c r="S111" s="2"/>
    </row>
    <row r="112" spans="3:19" x14ac:dyDescent="0.3">
      <c r="C112"/>
      <c r="D112"/>
      <c r="E112"/>
      <c r="F112"/>
      <c r="G112"/>
      <c r="H112"/>
      <c r="I112"/>
      <c r="S112" s="2"/>
    </row>
    <row r="113" spans="3:19" x14ac:dyDescent="0.3">
      <c r="C113"/>
      <c r="D113"/>
      <c r="E113"/>
      <c r="F113"/>
      <c r="G113"/>
      <c r="H113"/>
      <c r="I113"/>
      <c r="S113" s="2"/>
    </row>
    <row r="114" spans="3:19" x14ac:dyDescent="0.3">
      <c r="C114"/>
      <c r="D114"/>
      <c r="E114"/>
      <c r="F114"/>
      <c r="G114"/>
      <c r="H114"/>
      <c r="I114"/>
      <c r="S114" s="2"/>
    </row>
    <row r="115" spans="3:19" x14ac:dyDescent="0.3">
      <c r="C115"/>
      <c r="D115"/>
      <c r="E115"/>
      <c r="F115"/>
      <c r="G115"/>
      <c r="H115"/>
      <c r="I115"/>
      <c r="S115" s="2"/>
    </row>
    <row r="116" spans="3:19" x14ac:dyDescent="0.3">
      <c r="C116"/>
      <c r="D116"/>
      <c r="E116"/>
      <c r="F116"/>
      <c r="G116"/>
      <c r="H116"/>
      <c r="I116"/>
      <c r="S116" s="2"/>
    </row>
    <row r="117" spans="3:19" x14ac:dyDescent="0.3">
      <c r="C117"/>
      <c r="D117"/>
      <c r="E117"/>
      <c r="F117"/>
      <c r="G117"/>
      <c r="H117"/>
      <c r="I117"/>
      <c r="S117" s="2"/>
    </row>
    <row r="118" spans="3:19" x14ac:dyDescent="0.3">
      <c r="C118"/>
      <c r="D118"/>
      <c r="E118"/>
      <c r="F118"/>
      <c r="G118"/>
      <c r="H118"/>
      <c r="I118"/>
      <c r="S118" s="2"/>
    </row>
    <row r="119" spans="3:19" x14ac:dyDescent="0.3">
      <c r="C119"/>
      <c r="D119"/>
      <c r="E119"/>
      <c r="F119"/>
      <c r="G119"/>
      <c r="H119"/>
      <c r="I119"/>
      <c r="S119" s="2"/>
    </row>
    <row r="120" spans="3:19" x14ac:dyDescent="0.3">
      <c r="C120"/>
      <c r="D120"/>
      <c r="E120"/>
      <c r="F120"/>
      <c r="G120"/>
      <c r="H120"/>
      <c r="I120"/>
      <c r="S120" s="2"/>
    </row>
    <row r="121" spans="3:19" x14ac:dyDescent="0.3">
      <c r="C121"/>
      <c r="D121"/>
      <c r="E121"/>
      <c r="F121"/>
      <c r="G121"/>
      <c r="H121"/>
      <c r="I121"/>
      <c r="S121" s="2"/>
    </row>
    <row r="122" spans="3:19" x14ac:dyDescent="0.3">
      <c r="C122"/>
      <c r="D122"/>
      <c r="E122"/>
      <c r="F122"/>
      <c r="G122"/>
      <c r="H122"/>
      <c r="I122"/>
      <c r="S122" s="2"/>
    </row>
    <row r="123" spans="3:19" x14ac:dyDescent="0.3">
      <c r="C123"/>
      <c r="D123"/>
      <c r="E123"/>
      <c r="F123"/>
      <c r="G123"/>
      <c r="H123"/>
      <c r="I123"/>
      <c r="S123" s="2"/>
    </row>
    <row r="124" spans="3:19" x14ac:dyDescent="0.3">
      <c r="C124"/>
      <c r="D124"/>
      <c r="E124"/>
      <c r="F124"/>
      <c r="G124"/>
      <c r="H124"/>
      <c r="I124"/>
      <c r="S124" s="2"/>
    </row>
    <row r="125" spans="3:19" x14ac:dyDescent="0.3">
      <c r="C125"/>
      <c r="D125"/>
      <c r="E125"/>
      <c r="F125"/>
      <c r="G125"/>
      <c r="H125"/>
      <c r="I125"/>
      <c r="S125" s="2"/>
    </row>
    <row r="126" spans="3:19" x14ac:dyDescent="0.3">
      <c r="C126"/>
      <c r="D126"/>
      <c r="E126"/>
      <c r="F126"/>
      <c r="G126"/>
      <c r="H126"/>
      <c r="I126"/>
      <c r="S126" s="2"/>
    </row>
    <row r="127" spans="3:19" x14ac:dyDescent="0.3">
      <c r="C127"/>
      <c r="D127"/>
      <c r="E127"/>
      <c r="F127"/>
      <c r="G127"/>
      <c r="H127"/>
      <c r="I127"/>
      <c r="S127" s="2"/>
    </row>
    <row r="128" spans="3:19" x14ac:dyDescent="0.3">
      <c r="C128"/>
      <c r="D128"/>
      <c r="E128"/>
      <c r="F128"/>
      <c r="G128"/>
      <c r="H128"/>
      <c r="I128"/>
      <c r="S128" s="2"/>
    </row>
    <row r="129" spans="3:19" x14ac:dyDescent="0.3">
      <c r="C129"/>
      <c r="D129"/>
      <c r="E129"/>
      <c r="F129"/>
      <c r="G129"/>
      <c r="H129"/>
      <c r="I129"/>
      <c r="S129" s="2"/>
    </row>
    <row r="130" spans="3:19" x14ac:dyDescent="0.3">
      <c r="C130"/>
      <c r="D130"/>
      <c r="E130"/>
      <c r="F130"/>
      <c r="G130"/>
      <c r="H130"/>
      <c r="I130"/>
      <c r="S130" s="2"/>
    </row>
    <row r="131" spans="3:19" x14ac:dyDescent="0.3">
      <c r="C131"/>
      <c r="D131"/>
      <c r="E131"/>
      <c r="F131"/>
      <c r="G131"/>
      <c r="H131"/>
      <c r="I131"/>
      <c r="S131" s="2"/>
    </row>
    <row r="132" spans="3:19" x14ac:dyDescent="0.3">
      <c r="C132"/>
      <c r="D132"/>
      <c r="E132"/>
      <c r="F132"/>
      <c r="G132"/>
      <c r="H132"/>
      <c r="I132"/>
      <c r="S132" s="2"/>
    </row>
    <row r="133" spans="3:19" x14ac:dyDescent="0.3">
      <c r="C133"/>
      <c r="D133"/>
      <c r="E133"/>
      <c r="F133"/>
      <c r="G133"/>
      <c r="H133"/>
      <c r="I133"/>
      <c r="S133" s="2"/>
    </row>
    <row r="134" spans="3:19" x14ac:dyDescent="0.3">
      <c r="C134"/>
      <c r="D134"/>
      <c r="E134"/>
      <c r="F134"/>
      <c r="G134"/>
      <c r="H134"/>
      <c r="I134"/>
      <c r="S134" s="2"/>
    </row>
    <row r="135" spans="3:19" x14ac:dyDescent="0.3">
      <c r="C135"/>
      <c r="D135"/>
      <c r="E135"/>
      <c r="F135"/>
      <c r="G135"/>
      <c r="H135"/>
      <c r="I135"/>
      <c r="S135" s="2"/>
    </row>
    <row r="136" spans="3:19" x14ac:dyDescent="0.3">
      <c r="C136"/>
      <c r="D136"/>
      <c r="E136"/>
      <c r="F136"/>
      <c r="G136"/>
      <c r="H136"/>
      <c r="I136"/>
      <c r="S136" s="2"/>
    </row>
    <row r="137" spans="3:19" x14ac:dyDescent="0.3">
      <c r="C137"/>
      <c r="D137"/>
      <c r="E137"/>
      <c r="F137"/>
      <c r="G137"/>
      <c r="H137"/>
      <c r="I137"/>
      <c r="S137" s="2"/>
    </row>
    <row r="138" spans="3:19" x14ac:dyDescent="0.3">
      <c r="C138"/>
      <c r="D138"/>
      <c r="E138"/>
      <c r="F138"/>
      <c r="G138"/>
      <c r="H138"/>
      <c r="I138"/>
      <c r="S138" s="2"/>
    </row>
    <row r="139" spans="3:19" x14ac:dyDescent="0.3">
      <c r="C139"/>
      <c r="D139"/>
      <c r="E139"/>
      <c r="F139"/>
      <c r="G139"/>
      <c r="H139"/>
      <c r="I139"/>
      <c r="S139" s="2"/>
    </row>
    <row r="140" spans="3:19" x14ac:dyDescent="0.3">
      <c r="C140"/>
      <c r="D140"/>
      <c r="E140"/>
      <c r="F140"/>
      <c r="G140"/>
      <c r="H140"/>
      <c r="I140"/>
      <c r="S140" s="2"/>
    </row>
    <row r="141" spans="3:19" x14ac:dyDescent="0.3">
      <c r="C141"/>
      <c r="D141"/>
      <c r="E141"/>
      <c r="F141"/>
      <c r="G141"/>
      <c r="H141"/>
      <c r="I141"/>
      <c r="S141" s="2"/>
    </row>
    <row r="142" spans="3:19" x14ac:dyDescent="0.3">
      <c r="C142"/>
      <c r="D142"/>
      <c r="E142"/>
      <c r="F142"/>
      <c r="G142"/>
      <c r="H142"/>
      <c r="I142"/>
      <c r="S142" s="2"/>
    </row>
    <row r="143" spans="3:19" x14ac:dyDescent="0.3">
      <c r="C143"/>
      <c r="D143"/>
      <c r="E143"/>
      <c r="F143"/>
      <c r="G143"/>
      <c r="H143"/>
      <c r="I143"/>
      <c r="S143" s="2"/>
    </row>
    <row r="144" spans="3:19" x14ac:dyDescent="0.3">
      <c r="C144"/>
      <c r="D144"/>
      <c r="E144"/>
      <c r="F144"/>
      <c r="G144"/>
      <c r="H144"/>
      <c r="I144"/>
      <c r="S144" s="2"/>
    </row>
    <row r="145" spans="3:29" x14ac:dyDescent="0.3">
      <c r="C145"/>
      <c r="D145"/>
      <c r="E145"/>
      <c r="F145"/>
      <c r="G145"/>
      <c r="H145"/>
      <c r="I145"/>
      <c r="S145" s="2"/>
    </row>
    <row r="146" spans="3:29" x14ac:dyDescent="0.3">
      <c r="C146"/>
      <c r="D146"/>
      <c r="E146"/>
      <c r="F146"/>
      <c r="G146"/>
      <c r="H146"/>
      <c r="I146"/>
      <c r="S146" s="2"/>
    </row>
    <row r="147" spans="3:29" x14ac:dyDescent="0.3">
      <c r="C147"/>
      <c r="D147"/>
      <c r="E147"/>
      <c r="F147"/>
      <c r="G147"/>
      <c r="H147"/>
      <c r="I147"/>
      <c r="S147" s="2"/>
    </row>
    <row r="148" spans="3:29" x14ac:dyDescent="0.3">
      <c r="C148"/>
      <c r="D148"/>
      <c r="E148"/>
      <c r="F148"/>
      <c r="G148"/>
      <c r="H148"/>
      <c r="I148"/>
      <c r="S148" s="2"/>
    </row>
    <row r="149" spans="3:29" x14ac:dyDescent="0.3">
      <c r="C149"/>
      <c r="D149"/>
      <c r="E149"/>
      <c r="F149"/>
      <c r="G149"/>
      <c r="H149"/>
      <c r="I149"/>
      <c r="S149" s="2"/>
    </row>
    <row r="150" spans="3:29" x14ac:dyDescent="0.3">
      <c r="C150"/>
      <c r="D150"/>
      <c r="E150"/>
      <c r="F150"/>
      <c r="G150"/>
      <c r="H150"/>
      <c r="I150"/>
      <c r="S150" s="2"/>
    </row>
    <row r="151" spans="3:29" x14ac:dyDescent="0.3">
      <c r="C151"/>
      <c r="D151"/>
      <c r="E151"/>
      <c r="F151"/>
      <c r="G151"/>
      <c r="H151"/>
      <c r="I151"/>
      <c r="S151" s="2"/>
    </row>
    <row r="152" spans="3:29" ht="15" thickBot="1" x14ac:dyDescent="0.35">
      <c r="C152"/>
      <c r="D152"/>
      <c r="E152"/>
      <c r="F152"/>
      <c r="G152"/>
      <c r="H152"/>
      <c r="I152"/>
      <c r="S152" s="2"/>
    </row>
    <row r="153" spans="3:29" ht="15" thickBot="1" x14ac:dyDescent="0.35">
      <c r="C153"/>
      <c r="D153"/>
      <c r="E153"/>
      <c r="F153"/>
      <c r="G153"/>
      <c r="H153"/>
      <c r="I153"/>
      <c r="S153" s="2"/>
    </row>
    <row r="154" spans="3:29" x14ac:dyDescent="0.3">
      <c r="C154"/>
      <c r="D154"/>
      <c r="E154"/>
      <c r="F154"/>
      <c r="G154"/>
      <c r="H154"/>
      <c r="I154"/>
      <c r="S154" s="2"/>
    </row>
    <row r="155" spans="3:29" x14ac:dyDescent="0.3">
      <c r="C155"/>
      <c r="D155"/>
      <c r="E155"/>
      <c r="F155"/>
      <c r="G155"/>
      <c r="H155"/>
      <c r="I155"/>
      <c r="S155" s="2"/>
    </row>
    <row r="156" spans="3:29" ht="15" thickBot="1" x14ac:dyDescent="0.35">
      <c r="C156"/>
      <c r="D156"/>
      <c r="E156"/>
      <c r="F156"/>
      <c r="G156"/>
      <c r="H156"/>
      <c r="I156"/>
      <c r="S156" s="2"/>
    </row>
    <row r="157" spans="3:29" ht="18.600000000000001" thickBot="1" x14ac:dyDescent="0.4">
      <c r="C157"/>
      <c r="D157"/>
      <c r="E157"/>
      <c r="F157"/>
      <c r="G157"/>
      <c r="H157"/>
      <c r="I157"/>
      <c r="S157" s="2"/>
      <c r="V157" s="35" t="s">
        <v>1819</v>
      </c>
      <c r="W157" s="36"/>
      <c r="X157" s="36"/>
      <c r="Y157" s="36"/>
      <c r="Z157" s="36"/>
      <c r="AA157" s="36"/>
      <c r="AB157" s="36"/>
      <c r="AC157" s="37"/>
    </row>
    <row r="158" spans="3:29" x14ac:dyDescent="0.3">
      <c r="C158"/>
      <c r="D158"/>
      <c r="E158"/>
      <c r="F158"/>
      <c r="G158"/>
      <c r="H158"/>
      <c r="I158"/>
      <c r="S158" s="2"/>
    </row>
    <row r="159" spans="3:29" x14ac:dyDescent="0.3">
      <c r="C159"/>
      <c r="D159"/>
      <c r="E159"/>
      <c r="F159"/>
      <c r="G159"/>
      <c r="H159"/>
      <c r="I159"/>
      <c r="S159" s="2"/>
      <c r="V159" s="53" t="s">
        <v>1</v>
      </c>
      <c r="W159" s="53" t="s">
        <v>1813</v>
      </c>
      <c r="X159" s="54" t="s">
        <v>1805</v>
      </c>
      <c r="Y159" s="54" t="s">
        <v>1804</v>
      </c>
      <c r="Z159" s="54" t="s">
        <v>1812</v>
      </c>
      <c r="AA159" s="54" t="s">
        <v>1806</v>
      </c>
      <c r="AB159" s="54" t="s">
        <v>1807</v>
      </c>
      <c r="AC159" s="54" t="s">
        <v>1808</v>
      </c>
    </row>
    <row r="160" spans="3:29" x14ac:dyDescent="0.3">
      <c r="C160"/>
      <c r="D160"/>
      <c r="E160"/>
      <c r="F160"/>
      <c r="G160"/>
      <c r="H160"/>
      <c r="I160"/>
      <c r="S160" s="2"/>
      <c r="V160" s="54" t="s">
        <v>1803</v>
      </c>
      <c r="W160" s="54"/>
      <c r="X160" s="55"/>
      <c r="Y160" s="55"/>
      <c r="Z160" s="55"/>
      <c r="AA160" s="56"/>
      <c r="AB160" s="56"/>
      <c r="AC160" s="56"/>
    </row>
    <row r="161" spans="3:19" x14ac:dyDescent="0.3">
      <c r="C161"/>
      <c r="D161"/>
      <c r="E161"/>
      <c r="F161"/>
      <c r="G161"/>
      <c r="H161"/>
      <c r="I161"/>
      <c r="S161" s="2"/>
    </row>
    <row r="162" spans="3:19" x14ac:dyDescent="0.3">
      <c r="C162"/>
      <c r="D162"/>
      <c r="E162"/>
      <c r="F162"/>
      <c r="G162"/>
      <c r="H162"/>
      <c r="I162"/>
      <c r="S162" s="2"/>
    </row>
    <row r="163" spans="3:19" x14ac:dyDescent="0.3">
      <c r="C163"/>
      <c r="D163"/>
      <c r="E163"/>
      <c r="F163"/>
      <c r="G163"/>
      <c r="H163"/>
      <c r="I163"/>
      <c r="S163" s="2"/>
    </row>
    <row r="164" spans="3:19" x14ac:dyDescent="0.3">
      <c r="C164"/>
      <c r="D164"/>
      <c r="E164"/>
      <c r="F164"/>
      <c r="G164"/>
      <c r="H164"/>
      <c r="I164"/>
      <c r="S164" s="2"/>
    </row>
    <row r="165" spans="3:19" x14ac:dyDescent="0.3">
      <c r="C165"/>
      <c r="D165"/>
      <c r="E165"/>
      <c r="F165"/>
      <c r="G165"/>
      <c r="H165"/>
      <c r="I165"/>
      <c r="S165" s="2"/>
    </row>
    <row r="166" spans="3:19" x14ac:dyDescent="0.3">
      <c r="C166"/>
      <c r="D166"/>
      <c r="E166"/>
      <c r="F166"/>
      <c r="G166"/>
      <c r="H166"/>
      <c r="I166"/>
      <c r="S166" s="2"/>
    </row>
    <row r="167" spans="3:19" x14ac:dyDescent="0.3">
      <c r="C167"/>
      <c r="D167"/>
      <c r="E167"/>
      <c r="F167"/>
      <c r="G167"/>
      <c r="H167"/>
      <c r="I167"/>
      <c r="S167" s="2"/>
    </row>
    <row r="168" spans="3:19" x14ac:dyDescent="0.3">
      <c r="C168"/>
      <c r="D168"/>
      <c r="E168"/>
      <c r="F168"/>
      <c r="G168"/>
      <c r="H168"/>
      <c r="I168"/>
      <c r="S168" s="2"/>
    </row>
    <row r="169" spans="3:19" x14ac:dyDescent="0.3">
      <c r="C169"/>
      <c r="D169"/>
      <c r="E169"/>
      <c r="F169"/>
      <c r="G169"/>
      <c r="H169"/>
      <c r="I169"/>
      <c r="S169" s="2"/>
    </row>
    <row r="170" spans="3:19" x14ac:dyDescent="0.3">
      <c r="C170"/>
      <c r="D170"/>
      <c r="E170"/>
      <c r="F170"/>
      <c r="G170"/>
      <c r="H170"/>
      <c r="I170"/>
      <c r="S170" s="2"/>
    </row>
    <row r="171" spans="3:19" x14ac:dyDescent="0.3">
      <c r="C171"/>
      <c r="D171"/>
      <c r="E171"/>
      <c r="F171"/>
      <c r="G171"/>
      <c r="H171"/>
      <c r="I171"/>
      <c r="S171" s="2"/>
    </row>
    <row r="172" spans="3:19" x14ac:dyDescent="0.3">
      <c r="C172"/>
      <c r="D172"/>
      <c r="E172"/>
      <c r="F172"/>
      <c r="G172"/>
      <c r="H172"/>
      <c r="I172"/>
      <c r="S172" s="2"/>
    </row>
    <row r="173" spans="3:19" x14ac:dyDescent="0.3">
      <c r="C173"/>
      <c r="D173"/>
      <c r="E173"/>
      <c r="F173"/>
      <c r="G173"/>
      <c r="H173"/>
      <c r="I173"/>
      <c r="S173" s="2"/>
    </row>
    <row r="174" spans="3:19" x14ac:dyDescent="0.3">
      <c r="C174"/>
      <c r="D174"/>
      <c r="E174"/>
      <c r="F174"/>
      <c r="G174"/>
      <c r="H174"/>
      <c r="I174"/>
      <c r="S174" s="2"/>
    </row>
    <row r="175" spans="3:19" x14ac:dyDescent="0.3">
      <c r="C175"/>
      <c r="D175"/>
      <c r="E175"/>
      <c r="F175"/>
      <c r="G175"/>
      <c r="H175"/>
      <c r="I175"/>
      <c r="S175" s="2"/>
    </row>
    <row r="176" spans="3:19" x14ac:dyDescent="0.3">
      <c r="C176"/>
      <c r="D176"/>
      <c r="E176"/>
      <c r="F176"/>
      <c r="G176"/>
      <c r="H176"/>
      <c r="I176"/>
      <c r="S176" s="2"/>
    </row>
    <row r="177" spans="3:19" x14ac:dyDescent="0.3">
      <c r="C177"/>
      <c r="D177"/>
      <c r="E177"/>
      <c r="F177"/>
      <c r="G177"/>
      <c r="H177"/>
      <c r="I177"/>
      <c r="S177" s="2"/>
    </row>
    <row r="178" spans="3:19" x14ac:dyDescent="0.3">
      <c r="C178"/>
      <c r="D178"/>
      <c r="E178"/>
      <c r="F178"/>
      <c r="G178"/>
      <c r="H178"/>
      <c r="I178"/>
      <c r="S178" s="2"/>
    </row>
    <row r="179" spans="3:19" x14ac:dyDescent="0.3">
      <c r="C179"/>
      <c r="D179"/>
      <c r="E179"/>
      <c r="F179"/>
      <c r="G179"/>
      <c r="H179"/>
      <c r="I179"/>
      <c r="S179" s="2"/>
    </row>
    <row r="180" spans="3:19" x14ac:dyDescent="0.3">
      <c r="C180"/>
      <c r="D180"/>
      <c r="E180"/>
      <c r="F180"/>
      <c r="G180"/>
      <c r="H180"/>
      <c r="I180"/>
      <c r="S180" s="2"/>
    </row>
    <row r="181" spans="3:19" x14ac:dyDescent="0.3">
      <c r="C181"/>
      <c r="D181"/>
      <c r="E181"/>
      <c r="F181"/>
      <c r="G181"/>
      <c r="H181"/>
      <c r="I181"/>
      <c r="S181" s="2"/>
    </row>
    <row r="182" spans="3:19" x14ac:dyDescent="0.3">
      <c r="C182"/>
      <c r="D182"/>
      <c r="E182"/>
      <c r="F182"/>
      <c r="G182"/>
      <c r="H182"/>
      <c r="I182"/>
      <c r="S182" s="2"/>
    </row>
    <row r="183" spans="3:19" x14ac:dyDescent="0.3">
      <c r="C183"/>
      <c r="D183"/>
      <c r="E183"/>
      <c r="F183"/>
      <c r="G183"/>
      <c r="H183"/>
      <c r="I183"/>
      <c r="S183" s="2"/>
    </row>
    <row r="184" spans="3:19" x14ac:dyDescent="0.3">
      <c r="C184"/>
      <c r="D184"/>
      <c r="E184"/>
      <c r="F184"/>
      <c r="G184"/>
      <c r="H184"/>
      <c r="I184"/>
      <c r="S184" s="2"/>
    </row>
    <row r="185" spans="3:19" x14ac:dyDescent="0.3">
      <c r="C185"/>
      <c r="D185"/>
      <c r="E185"/>
      <c r="F185"/>
      <c r="G185"/>
      <c r="H185"/>
      <c r="I185"/>
      <c r="S185" s="2"/>
    </row>
    <row r="186" spans="3:19" x14ac:dyDescent="0.3">
      <c r="C186"/>
      <c r="D186"/>
      <c r="E186"/>
      <c r="F186"/>
      <c r="G186"/>
      <c r="H186"/>
      <c r="I186"/>
      <c r="S186" s="2"/>
    </row>
    <row r="187" spans="3:19" x14ac:dyDescent="0.3">
      <c r="C187"/>
      <c r="D187"/>
      <c r="E187"/>
      <c r="F187"/>
      <c r="G187"/>
      <c r="H187"/>
      <c r="I187"/>
      <c r="S187" s="2"/>
    </row>
    <row r="188" spans="3:19" x14ac:dyDescent="0.3">
      <c r="C188"/>
      <c r="D188"/>
      <c r="E188"/>
      <c r="F188"/>
      <c r="G188"/>
      <c r="H188"/>
      <c r="I188"/>
      <c r="S188" s="2"/>
    </row>
    <row r="189" spans="3:19" x14ac:dyDescent="0.3">
      <c r="C189"/>
      <c r="D189"/>
      <c r="E189"/>
      <c r="F189"/>
      <c r="G189"/>
      <c r="H189"/>
      <c r="I189"/>
      <c r="S189" s="2"/>
    </row>
    <row r="190" spans="3:19" x14ac:dyDescent="0.3">
      <c r="C190"/>
      <c r="D190"/>
      <c r="E190"/>
      <c r="F190"/>
      <c r="G190"/>
      <c r="H190"/>
      <c r="I190"/>
      <c r="S190" s="2"/>
    </row>
    <row r="191" spans="3:19" x14ac:dyDescent="0.3">
      <c r="C191"/>
      <c r="D191"/>
      <c r="E191"/>
      <c r="F191"/>
      <c r="G191"/>
      <c r="H191"/>
      <c r="I191"/>
      <c r="S191" s="2"/>
    </row>
    <row r="192" spans="3:19" x14ac:dyDescent="0.3">
      <c r="C192"/>
      <c r="D192"/>
      <c r="E192"/>
      <c r="F192"/>
      <c r="G192"/>
      <c r="H192"/>
      <c r="I192"/>
      <c r="S192" s="2"/>
    </row>
    <row r="193" spans="3:19" x14ac:dyDescent="0.3">
      <c r="C193"/>
      <c r="D193"/>
      <c r="E193"/>
      <c r="F193"/>
      <c r="G193"/>
      <c r="H193"/>
      <c r="I193"/>
      <c r="S193" s="2"/>
    </row>
    <row r="194" spans="3:19" x14ac:dyDescent="0.3">
      <c r="C194"/>
      <c r="D194"/>
      <c r="E194"/>
      <c r="F194"/>
      <c r="G194"/>
      <c r="H194"/>
      <c r="I194"/>
      <c r="S194" s="2"/>
    </row>
    <row r="195" spans="3:19" x14ac:dyDescent="0.3">
      <c r="C195"/>
      <c r="D195"/>
      <c r="E195"/>
      <c r="F195"/>
      <c r="G195"/>
      <c r="H195"/>
      <c r="I195"/>
      <c r="S195" s="2"/>
    </row>
    <row r="196" spans="3:19" x14ac:dyDescent="0.3">
      <c r="C196"/>
      <c r="D196"/>
      <c r="E196"/>
      <c r="F196"/>
      <c r="G196"/>
      <c r="H196"/>
      <c r="I196"/>
      <c r="S196" s="2"/>
    </row>
    <row r="197" spans="3:19" x14ac:dyDescent="0.3">
      <c r="C197"/>
      <c r="D197"/>
      <c r="E197"/>
      <c r="F197"/>
      <c r="G197"/>
      <c r="H197"/>
      <c r="I197"/>
      <c r="S197" s="2"/>
    </row>
    <row r="198" spans="3:19" x14ac:dyDescent="0.3">
      <c r="C198"/>
      <c r="D198"/>
      <c r="E198"/>
      <c r="F198"/>
      <c r="G198"/>
      <c r="H198"/>
      <c r="I198"/>
      <c r="S198" s="2"/>
    </row>
    <row r="199" spans="3:19" x14ac:dyDescent="0.3">
      <c r="C199"/>
      <c r="D199"/>
      <c r="E199"/>
      <c r="F199"/>
      <c r="G199"/>
      <c r="H199"/>
      <c r="I199"/>
      <c r="S199" s="2"/>
    </row>
    <row r="200" spans="3:19" x14ac:dyDescent="0.3">
      <c r="C200"/>
      <c r="D200"/>
      <c r="E200"/>
      <c r="F200"/>
      <c r="G200"/>
      <c r="H200"/>
      <c r="I200"/>
      <c r="S200" s="2"/>
    </row>
    <row r="201" spans="3:19" x14ac:dyDescent="0.3">
      <c r="C201"/>
      <c r="D201"/>
      <c r="E201"/>
      <c r="F201"/>
      <c r="G201"/>
      <c r="H201"/>
      <c r="I201"/>
      <c r="S201" s="2"/>
    </row>
    <row r="202" spans="3:19" x14ac:dyDescent="0.3">
      <c r="C202"/>
      <c r="D202"/>
      <c r="E202"/>
      <c r="F202"/>
      <c r="G202"/>
      <c r="H202"/>
      <c r="I202"/>
      <c r="S202" s="2"/>
    </row>
    <row r="203" spans="3:19" x14ac:dyDescent="0.3">
      <c r="C203"/>
      <c r="D203"/>
      <c r="E203"/>
      <c r="F203"/>
      <c r="G203"/>
      <c r="H203"/>
      <c r="I203"/>
      <c r="S203" s="2"/>
    </row>
    <row r="204" spans="3:19" x14ac:dyDescent="0.3">
      <c r="C204"/>
      <c r="D204"/>
      <c r="E204"/>
      <c r="F204"/>
      <c r="G204"/>
      <c r="H204"/>
      <c r="I204"/>
      <c r="S204" s="2"/>
    </row>
    <row r="205" spans="3:19" x14ac:dyDescent="0.3">
      <c r="C205"/>
      <c r="D205"/>
      <c r="E205"/>
      <c r="F205"/>
      <c r="G205"/>
      <c r="H205"/>
      <c r="I205"/>
      <c r="S205" s="2"/>
    </row>
    <row r="206" spans="3:19" x14ac:dyDescent="0.3">
      <c r="C206"/>
      <c r="D206"/>
      <c r="E206"/>
      <c r="F206"/>
      <c r="G206"/>
      <c r="H206"/>
      <c r="I206"/>
      <c r="S206" s="2"/>
    </row>
    <row r="207" spans="3:19" x14ac:dyDescent="0.3">
      <c r="C207"/>
      <c r="D207"/>
      <c r="E207"/>
      <c r="F207"/>
      <c r="G207"/>
      <c r="H207"/>
      <c r="I207"/>
      <c r="S207" s="2"/>
    </row>
    <row r="208" spans="3:19" x14ac:dyDescent="0.3">
      <c r="C208"/>
      <c r="D208"/>
      <c r="E208"/>
      <c r="F208"/>
      <c r="G208"/>
      <c r="H208"/>
      <c r="I208"/>
      <c r="S208" s="2"/>
    </row>
    <row r="209" spans="3:19" x14ac:dyDescent="0.3">
      <c r="C209"/>
      <c r="D209"/>
      <c r="E209"/>
      <c r="F209"/>
      <c r="G209"/>
      <c r="H209"/>
      <c r="I209"/>
      <c r="S209" s="2"/>
    </row>
    <row r="210" spans="3:19" x14ac:dyDescent="0.3">
      <c r="C210"/>
      <c r="D210"/>
      <c r="E210"/>
      <c r="F210"/>
      <c r="G210"/>
      <c r="H210"/>
      <c r="I210"/>
      <c r="S210" s="2"/>
    </row>
    <row r="211" spans="3:19" x14ac:dyDescent="0.3">
      <c r="C211"/>
      <c r="D211"/>
      <c r="E211"/>
      <c r="F211"/>
      <c r="G211"/>
      <c r="H211"/>
      <c r="I211"/>
      <c r="S211" s="2"/>
    </row>
    <row r="212" spans="3:19" x14ac:dyDescent="0.3">
      <c r="C212"/>
      <c r="D212"/>
      <c r="E212"/>
      <c r="F212"/>
      <c r="G212"/>
      <c r="H212"/>
      <c r="I212"/>
      <c r="S212" s="2"/>
    </row>
    <row r="213" spans="3:19" x14ac:dyDescent="0.3">
      <c r="C213"/>
      <c r="D213"/>
      <c r="E213"/>
      <c r="F213"/>
      <c r="G213"/>
      <c r="H213"/>
      <c r="I213"/>
      <c r="S213" s="2"/>
    </row>
    <row r="214" spans="3:19" x14ac:dyDescent="0.3">
      <c r="C214"/>
      <c r="D214"/>
      <c r="E214"/>
      <c r="F214"/>
      <c r="G214"/>
      <c r="H214"/>
      <c r="I214"/>
      <c r="S214" s="2"/>
    </row>
    <row r="215" spans="3:19" x14ac:dyDescent="0.3">
      <c r="C215"/>
      <c r="D215"/>
      <c r="E215"/>
      <c r="F215"/>
      <c r="G215"/>
      <c r="H215"/>
      <c r="I215"/>
      <c r="S215" s="2"/>
    </row>
    <row r="216" spans="3:19" x14ac:dyDescent="0.3">
      <c r="C216"/>
      <c r="D216"/>
      <c r="E216"/>
      <c r="F216"/>
      <c r="G216"/>
      <c r="H216"/>
      <c r="I216"/>
      <c r="S216" s="2"/>
    </row>
    <row r="217" spans="3:19" x14ac:dyDescent="0.3">
      <c r="C217"/>
      <c r="D217"/>
      <c r="E217"/>
      <c r="F217"/>
      <c r="G217"/>
      <c r="H217"/>
      <c r="I217"/>
      <c r="S217" s="2"/>
    </row>
    <row r="218" spans="3:19" x14ac:dyDescent="0.3">
      <c r="C218"/>
      <c r="D218"/>
      <c r="E218"/>
      <c r="F218"/>
      <c r="G218"/>
      <c r="H218"/>
      <c r="I218"/>
      <c r="S218" s="2"/>
    </row>
    <row r="219" spans="3:19" x14ac:dyDescent="0.3">
      <c r="C219"/>
      <c r="D219"/>
      <c r="E219"/>
      <c r="F219"/>
      <c r="G219"/>
      <c r="H219"/>
      <c r="I219"/>
      <c r="S219" s="2"/>
    </row>
    <row r="220" spans="3:19" x14ac:dyDescent="0.3">
      <c r="C220"/>
      <c r="D220"/>
      <c r="E220"/>
      <c r="F220"/>
      <c r="G220"/>
      <c r="H220"/>
      <c r="I220"/>
      <c r="S220" s="2"/>
    </row>
    <row r="221" spans="3:19" x14ac:dyDescent="0.3">
      <c r="C221"/>
      <c r="D221"/>
      <c r="E221"/>
      <c r="F221"/>
      <c r="G221"/>
      <c r="H221"/>
      <c r="I221"/>
      <c r="S221" s="2"/>
    </row>
    <row r="222" spans="3:19" x14ac:dyDescent="0.3">
      <c r="C222"/>
      <c r="D222"/>
      <c r="E222"/>
      <c r="F222"/>
      <c r="G222"/>
      <c r="H222"/>
      <c r="I222"/>
      <c r="S222" s="2"/>
    </row>
    <row r="223" spans="3:19" x14ac:dyDescent="0.3">
      <c r="C223"/>
      <c r="D223"/>
      <c r="E223"/>
      <c r="F223"/>
      <c r="G223"/>
      <c r="H223"/>
      <c r="I223"/>
      <c r="S223" s="2"/>
    </row>
    <row r="224" spans="3:19" x14ac:dyDescent="0.3">
      <c r="C224"/>
      <c r="D224"/>
      <c r="E224"/>
      <c r="F224"/>
      <c r="G224"/>
      <c r="H224"/>
      <c r="I224"/>
      <c r="S224" s="2"/>
    </row>
    <row r="225" spans="3:19" x14ac:dyDescent="0.3">
      <c r="C225"/>
      <c r="D225"/>
      <c r="E225"/>
      <c r="F225"/>
      <c r="G225"/>
      <c r="H225"/>
      <c r="I225"/>
      <c r="S225" s="2"/>
    </row>
    <row r="226" spans="3:19" x14ac:dyDescent="0.3">
      <c r="C226"/>
      <c r="D226"/>
      <c r="E226"/>
      <c r="F226"/>
      <c r="G226"/>
      <c r="H226"/>
      <c r="I226"/>
      <c r="S226" s="2"/>
    </row>
    <row r="227" spans="3:19" x14ac:dyDescent="0.3">
      <c r="C227"/>
      <c r="D227"/>
      <c r="E227"/>
      <c r="F227"/>
      <c r="G227"/>
      <c r="H227"/>
      <c r="I227"/>
      <c r="S227" s="2"/>
    </row>
    <row r="228" spans="3:19" x14ac:dyDescent="0.3">
      <c r="C228"/>
      <c r="D228"/>
      <c r="E228"/>
      <c r="F228"/>
      <c r="G228"/>
      <c r="H228"/>
      <c r="I228"/>
      <c r="S228" s="2"/>
    </row>
    <row r="229" spans="3:19" x14ac:dyDescent="0.3">
      <c r="C229"/>
      <c r="D229"/>
      <c r="E229"/>
      <c r="F229"/>
      <c r="G229"/>
      <c r="H229"/>
      <c r="I229"/>
      <c r="S229" s="2"/>
    </row>
    <row r="230" spans="3:19" x14ac:dyDescent="0.3">
      <c r="C230"/>
      <c r="D230"/>
      <c r="E230"/>
      <c r="F230"/>
      <c r="G230"/>
      <c r="H230"/>
      <c r="I230"/>
      <c r="S230" s="2"/>
    </row>
    <row r="231" spans="3:19" x14ac:dyDescent="0.3">
      <c r="C231"/>
      <c r="D231"/>
      <c r="E231"/>
      <c r="F231"/>
      <c r="G231"/>
      <c r="H231"/>
      <c r="I231"/>
      <c r="S231" s="2"/>
    </row>
    <row r="232" spans="3:19" x14ac:dyDescent="0.3">
      <c r="C232"/>
      <c r="D232"/>
      <c r="E232"/>
      <c r="F232"/>
      <c r="G232"/>
      <c r="H232"/>
      <c r="I232"/>
      <c r="S232" s="2"/>
    </row>
    <row r="233" spans="3:19" x14ac:dyDescent="0.3">
      <c r="C233"/>
      <c r="D233"/>
      <c r="E233"/>
      <c r="F233"/>
      <c r="G233"/>
      <c r="H233"/>
      <c r="I233"/>
      <c r="S233" s="2"/>
    </row>
    <row r="234" spans="3:19" x14ac:dyDescent="0.3">
      <c r="C234"/>
      <c r="D234"/>
      <c r="E234"/>
      <c r="F234"/>
      <c r="G234"/>
      <c r="H234"/>
      <c r="I234"/>
      <c r="S234" s="2"/>
    </row>
    <row r="235" spans="3:19" x14ac:dyDescent="0.3">
      <c r="C235"/>
      <c r="D235"/>
      <c r="E235"/>
      <c r="F235"/>
      <c r="G235"/>
      <c r="H235"/>
      <c r="I235"/>
      <c r="S235" s="2"/>
    </row>
    <row r="236" spans="3:19" x14ac:dyDescent="0.3">
      <c r="C236"/>
      <c r="D236"/>
      <c r="E236"/>
      <c r="F236"/>
      <c r="G236"/>
      <c r="H236"/>
      <c r="I236"/>
      <c r="S236" s="2"/>
    </row>
    <row r="237" spans="3:19" x14ac:dyDescent="0.3">
      <c r="C237"/>
      <c r="D237"/>
      <c r="E237"/>
      <c r="F237"/>
      <c r="G237"/>
      <c r="H237"/>
      <c r="I237"/>
      <c r="S237" s="2"/>
    </row>
    <row r="238" spans="3:19" x14ac:dyDescent="0.3">
      <c r="C238"/>
      <c r="D238"/>
      <c r="E238"/>
      <c r="F238"/>
      <c r="G238"/>
      <c r="H238"/>
      <c r="I238"/>
      <c r="S238" s="2"/>
    </row>
    <row r="239" spans="3:19" x14ac:dyDescent="0.3">
      <c r="C239"/>
      <c r="D239"/>
      <c r="E239"/>
      <c r="F239"/>
      <c r="G239"/>
      <c r="H239"/>
      <c r="I239"/>
      <c r="S239" s="2"/>
    </row>
    <row r="240" spans="3:19" x14ac:dyDescent="0.3">
      <c r="C240"/>
      <c r="D240"/>
      <c r="E240"/>
      <c r="F240"/>
      <c r="G240"/>
      <c r="H240"/>
      <c r="I240"/>
      <c r="S240" s="2"/>
    </row>
    <row r="241" spans="3:19" x14ac:dyDescent="0.3">
      <c r="C241"/>
      <c r="D241"/>
      <c r="E241"/>
      <c r="F241"/>
      <c r="G241"/>
      <c r="H241"/>
      <c r="I241"/>
      <c r="S241" s="2"/>
    </row>
    <row r="242" spans="3:19" x14ac:dyDescent="0.3">
      <c r="C242"/>
      <c r="D242"/>
      <c r="E242"/>
      <c r="F242"/>
      <c r="G242"/>
      <c r="H242"/>
      <c r="I242"/>
      <c r="S242" s="2"/>
    </row>
    <row r="243" spans="3:19" x14ac:dyDescent="0.3">
      <c r="C243"/>
      <c r="D243"/>
      <c r="E243"/>
      <c r="F243"/>
      <c r="G243"/>
      <c r="H243"/>
      <c r="I243"/>
      <c r="S243" s="2"/>
    </row>
    <row r="244" spans="3:19" x14ac:dyDescent="0.3">
      <c r="C244"/>
      <c r="D244"/>
      <c r="E244"/>
      <c r="F244"/>
      <c r="G244"/>
      <c r="H244"/>
      <c r="I244"/>
      <c r="S244" s="2"/>
    </row>
    <row r="245" spans="3:19" x14ac:dyDescent="0.3">
      <c r="C245"/>
      <c r="D245"/>
      <c r="E245"/>
      <c r="F245"/>
      <c r="G245"/>
      <c r="H245"/>
      <c r="I245"/>
      <c r="S245" s="2"/>
    </row>
    <row r="246" spans="3:19" x14ac:dyDescent="0.3">
      <c r="C246"/>
      <c r="D246"/>
      <c r="E246"/>
      <c r="F246"/>
      <c r="G246"/>
      <c r="H246"/>
      <c r="I246"/>
      <c r="S246" s="2"/>
    </row>
    <row r="247" spans="3:19" x14ac:dyDescent="0.3">
      <c r="C247"/>
      <c r="D247"/>
      <c r="E247"/>
      <c r="F247"/>
      <c r="G247"/>
      <c r="H247"/>
      <c r="I247"/>
      <c r="S247" s="2"/>
    </row>
    <row r="248" spans="3:19" x14ac:dyDescent="0.3">
      <c r="C248"/>
      <c r="D248"/>
      <c r="E248"/>
      <c r="F248"/>
      <c r="G248"/>
      <c r="H248"/>
      <c r="I248"/>
      <c r="S248" s="2"/>
    </row>
    <row r="249" spans="3:19" x14ac:dyDescent="0.3">
      <c r="C249"/>
      <c r="D249"/>
      <c r="E249"/>
      <c r="F249"/>
      <c r="G249"/>
      <c r="H249"/>
      <c r="I249"/>
      <c r="S249" s="2"/>
    </row>
    <row r="250" spans="3:19" x14ac:dyDescent="0.3">
      <c r="C250"/>
      <c r="D250"/>
      <c r="E250"/>
      <c r="F250"/>
      <c r="G250"/>
      <c r="H250"/>
      <c r="I250"/>
      <c r="S250" s="2"/>
    </row>
    <row r="251" spans="3:19" x14ac:dyDescent="0.3">
      <c r="C251"/>
      <c r="D251"/>
      <c r="E251"/>
      <c r="F251"/>
      <c r="G251"/>
      <c r="H251"/>
      <c r="I251"/>
      <c r="S251" s="2"/>
    </row>
    <row r="252" spans="3:19" x14ac:dyDescent="0.3">
      <c r="C252"/>
      <c r="D252"/>
      <c r="E252"/>
      <c r="F252"/>
      <c r="G252"/>
      <c r="H252"/>
      <c r="I252"/>
      <c r="S252" s="2"/>
    </row>
    <row r="253" spans="3:19" x14ac:dyDescent="0.3">
      <c r="C253"/>
      <c r="D253"/>
      <c r="E253"/>
      <c r="F253"/>
      <c r="G253"/>
      <c r="H253"/>
      <c r="I253"/>
      <c r="S253" s="2"/>
    </row>
    <row r="254" spans="3:19" x14ac:dyDescent="0.3">
      <c r="C254"/>
      <c r="D254"/>
      <c r="E254"/>
      <c r="F254"/>
      <c r="G254"/>
      <c r="H254"/>
      <c r="I254"/>
      <c r="S254" s="2"/>
    </row>
    <row r="255" spans="3:19" x14ac:dyDescent="0.3">
      <c r="C255"/>
      <c r="D255"/>
      <c r="E255"/>
      <c r="F255"/>
      <c r="G255"/>
      <c r="H255"/>
      <c r="I255"/>
      <c r="S255" s="2"/>
    </row>
    <row r="256" spans="3:19" x14ac:dyDescent="0.3">
      <c r="C256"/>
      <c r="D256"/>
      <c r="E256"/>
      <c r="F256"/>
      <c r="G256"/>
      <c r="H256"/>
      <c r="I256"/>
      <c r="S256" s="2"/>
    </row>
    <row r="257" spans="3:19" x14ac:dyDescent="0.3">
      <c r="C257"/>
      <c r="D257"/>
      <c r="E257"/>
      <c r="F257"/>
      <c r="G257"/>
      <c r="H257"/>
      <c r="I257"/>
      <c r="S257" s="2"/>
    </row>
    <row r="258" spans="3:19" x14ac:dyDescent="0.3">
      <c r="C258"/>
      <c r="D258"/>
      <c r="E258"/>
      <c r="F258"/>
      <c r="G258"/>
      <c r="H258"/>
      <c r="I258"/>
      <c r="S258" s="2"/>
    </row>
    <row r="259" spans="3:19" x14ac:dyDescent="0.3">
      <c r="C259"/>
      <c r="D259"/>
      <c r="E259"/>
      <c r="F259"/>
      <c r="G259"/>
      <c r="H259"/>
      <c r="I259"/>
      <c r="S259" s="2"/>
    </row>
    <row r="260" spans="3:19" x14ac:dyDescent="0.3">
      <c r="C260"/>
      <c r="D260"/>
      <c r="E260"/>
      <c r="F260"/>
      <c r="G260"/>
      <c r="H260"/>
      <c r="I260"/>
      <c r="S260" s="2"/>
    </row>
    <row r="261" spans="3:19" x14ac:dyDescent="0.3">
      <c r="C261"/>
      <c r="D261"/>
      <c r="E261"/>
      <c r="F261"/>
      <c r="G261"/>
      <c r="H261"/>
      <c r="I261"/>
      <c r="S261" s="2"/>
    </row>
    <row r="262" spans="3:19" x14ac:dyDescent="0.3">
      <c r="C262"/>
      <c r="D262"/>
      <c r="E262"/>
      <c r="F262"/>
      <c r="G262"/>
      <c r="H262"/>
      <c r="I262"/>
      <c r="S262" s="2"/>
    </row>
    <row r="263" spans="3:19" x14ac:dyDescent="0.3">
      <c r="C263"/>
      <c r="D263"/>
      <c r="E263"/>
      <c r="F263"/>
      <c r="G263"/>
      <c r="H263"/>
      <c r="I263"/>
      <c r="S263" s="2"/>
    </row>
    <row r="264" spans="3:19" x14ac:dyDescent="0.3">
      <c r="C264"/>
      <c r="D264"/>
      <c r="E264"/>
      <c r="F264"/>
      <c r="G264"/>
      <c r="H264"/>
      <c r="I264"/>
      <c r="S264" s="2"/>
    </row>
    <row r="265" spans="3:19" x14ac:dyDescent="0.3">
      <c r="C265"/>
      <c r="D265"/>
      <c r="E265"/>
      <c r="F265"/>
      <c r="G265"/>
      <c r="H265"/>
      <c r="I265"/>
      <c r="S265" s="2"/>
    </row>
    <row r="266" spans="3:19" x14ac:dyDescent="0.3">
      <c r="C266"/>
      <c r="D266"/>
      <c r="E266"/>
      <c r="F266"/>
      <c r="G266"/>
      <c r="H266"/>
      <c r="I266"/>
      <c r="S266" s="2"/>
    </row>
    <row r="267" spans="3:19" x14ac:dyDescent="0.3">
      <c r="C267"/>
      <c r="D267"/>
      <c r="E267"/>
      <c r="F267"/>
      <c r="G267"/>
      <c r="H267"/>
      <c r="I267"/>
      <c r="S267" s="2"/>
    </row>
    <row r="268" spans="3:19" x14ac:dyDescent="0.3">
      <c r="C268"/>
      <c r="D268"/>
      <c r="E268"/>
      <c r="F268"/>
      <c r="G268"/>
      <c r="H268"/>
      <c r="I268"/>
      <c r="S268" s="2"/>
    </row>
    <row r="269" spans="3:19" x14ac:dyDescent="0.3">
      <c r="C269"/>
      <c r="D269"/>
      <c r="E269"/>
      <c r="F269"/>
      <c r="G269"/>
      <c r="H269"/>
      <c r="I269"/>
      <c r="S269" s="2"/>
    </row>
    <row r="270" spans="3:19" x14ac:dyDescent="0.3">
      <c r="C270"/>
      <c r="D270"/>
      <c r="E270"/>
      <c r="F270"/>
      <c r="G270"/>
      <c r="H270"/>
      <c r="I270"/>
      <c r="S270" s="2"/>
    </row>
    <row r="271" spans="3:19" x14ac:dyDescent="0.3">
      <c r="C271"/>
      <c r="D271"/>
      <c r="E271"/>
      <c r="F271"/>
      <c r="G271"/>
      <c r="H271"/>
      <c r="I271"/>
      <c r="S271" s="2"/>
    </row>
    <row r="272" spans="3:19" x14ac:dyDescent="0.3">
      <c r="C272"/>
      <c r="D272"/>
      <c r="E272"/>
      <c r="F272"/>
      <c r="G272"/>
      <c r="H272"/>
      <c r="I272"/>
      <c r="S272" s="2"/>
    </row>
    <row r="273" spans="3:19" x14ac:dyDescent="0.3">
      <c r="C273"/>
      <c r="D273"/>
      <c r="E273"/>
      <c r="F273"/>
      <c r="G273"/>
      <c r="H273"/>
      <c r="I273"/>
      <c r="S273" s="2"/>
    </row>
    <row r="274" spans="3:19" x14ac:dyDescent="0.3">
      <c r="C274"/>
      <c r="D274"/>
      <c r="E274"/>
      <c r="F274"/>
      <c r="G274"/>
      <c r="H274"/>
      <c r="I274"/>
      <c r="S274" s="2"/>
    </row>
    <row r="275" spans="3:19" x14ac:dyDescent="0.3">
      <c r="C275"/>
      <c r="D275"/>
      <c r="E275"/>
      <c r="F275"/>
      <c r="G275"/>
      <c r="H275"/>
      <c r="I275"/>
      <c r="S275" s="2"/>
    </row>
    <row r="276" spans="3:19" x14ac:dyDescent="0.3">
      <c r="C276"/>
      <c r="D276"/>
      <c r="E276"/>
      <c r="F276"/>
      <c r="G276"/>
      <c r="H276"/>
      <c r="I276"/>
      <c r="S276" s="2"/>
    </row>
    <row r="277" spans="3:19" x14ac:dyDescent="0.3">
      <c r="C277"/>
      <c r="D277"/>
      <c r="E277"/>
      <c r="F277"/>
      <c r="G277"/>
      <c r="H277"/>
      <c r="I277"/>
      <c r="S277" s="2"/>
    </row>
    <row r="278" spans="3:19" x14ac:dyDescent="0.3">
      <c r="C278"/>
      <c r="D278"/>
      <c r="E278"/>
      <c r="F278"/>
      <c r="G278"/>
      <c r="H278"/>
      <c r="I278"/>
      <c r="S278" s="2"/>
    </row>
    <row r="279" spans="3:19" x14ac:dyDescent="0.3">
      <c r="C279"/>
      <c r="D279"/>
      <c r="E279"/>
      <c r="F279"/>
      <c r="G279"/>
      <c r="H279"/>
      <c r="I279"/>
      <c r="S279" s="2"/>
    </row>
    <row r="280" spans="3:19" x14ac:dyDescent="0.3">
      <c r="C280"/>
      <c r="D280"/>
      <c r="E280"/>
      <c r="F280"/>
      <c r="G280"/>
      <c r="H280"/>
      <c r="I280"/>
      <c r="S280" s="2"/>
    </row>
    <row r="281" spans="3:19" x14ac:dyDescent="0.3">
      <c r="C281"/>
      <c r="D281"/>
      <c r="E281"/>
      <c r="F281"/>
      <c r="G281"/>
      <c r="H281"/>
      <c r="I281"/>
      <c r="S281" s="2"/>
    </row>
    <row r="282" spans="3:19" x14ac:dyDescent="0.3">
      <c r="C282"/>
      <c r="D282"/>
      <c r="E282"/>
      <c r="F282"/>
      <c r="G282"/>
      <c r="H282"/>
      <c r="I282"/>
      <c r="S282" s="2"/>
    </row>
    <row r="283" spans="3:19" x14ac:dyDescent="0.3">
      <c r="C283"/>
      <c r="D283"/>
      <c r="E283"/>
      <c r="F283"/>
      <c r="G283"/>
      <c r="H283"/>
      <c r="I283"/>
      <c r="S283" s="2"/>
    </row>
    <row r="284" spans="3:19" x14ac:dyDescent="0.3">
      <c r="C284"/>
      <c r="D284"/>
      <c r="E284"/>
      <c r="F284"/>
      <c r="G284"/>
      <c r="H284"/>
      <c r="I284"/>
      <c r="S284" s="2"/>
    </row>
    <row r="285" spans="3:19" x14ac:dyDescent="0.3">
      <c r="C285"/>
      <c r="D285"/>
      <c r="E285"/>
      <c r="F285"/>
      <c r="G285"/>
      <c r="H285"/>
      <c r="I285"/>
      <c r="S285" s="2"/>
    </row>
    <row r="286" spans="3:19" x14ac:dyDescent="0.3">
      <c r="C286"/>
      <c r="D286"/>
      <c r="E286"/>
      <c r="F286"/>
      <c r="G286"/>
      <c r="H286"/>
      <c r="I286"/>
      <c r="S286" s="2"/>
    </row>
    <row r="287" spans="3:19" x14ac:dyDescent="0.3">
      <c r="C287"/>
      <c r="D287"/>
      <c r="E287"/>
      <c r="F287"/>
      <c r="G287"/>
      <c r="H287"/>
      <c r="I287"/>
      <c r="S287" s="2"/>
    </row>
    <row r="288" spans="3:19" x14ac:dyDescent="0.3">
      <c r="C288"/>
      <c r="D288"/>
      <c r="E288"/>
      <c r="F288"/>
      <c r="G288"/>
      <c r="H288"/>
      <c r="I288"/>
      <c r="S288" s="2"/>
    </row>
    <row r="289" spans="3:19" x14ac:dyDescent="0.3">
      <c r="C289"/>
      <c r="D289"/>
      <c r="E289"/>
      <c r="F289"/>
      <c r="G289"/>
      <c r="H289"/>
      <c r="I289"/>
      <c r="S289" s="2"/>
    </row>
    <row r="290" spans="3:19" x14ac:dyDescent="0.3">
      <c r="C290"/>
      <c r="D290"/>
      <c r="E290"/>
      <c r="F290"/>
      <c r="G290"/>
      <c r="H290"/>
      <c r="I290"/>
      <c r="S290" s="2"/>
    </row>
    <row r="291" spans="3:19" x14ac:dyDescent="0.3">
      <c r="C291"/>
      <c r="D291"/>
      <c r="E291"/>
      <c r="F291"/>
      <c r="G291"/>
      <c r="H291"/>
      <c r="I291"/>
      <c r="S291" s="2"/>
    </row>
    <row r="292" spans="3:19" x14ac:dyDescent="0.3">
      <c r="C292"/>
      <c r="D292"/>
      <c r="E292"/>
      <c r="F292"/>
      <c r="G292"/>
      <c r="H292"/>
      <c r="I292"/>
      <c r="S292" s="2"/>
    </row>
    <row r="293" spans="3:19" x14ac:dyDescent="0.3">
      <c r="C293"/>
      <c r="D293"/>
      <c r="E293"/>
      <c r="F293"/>
      <c r="G293"/>
      <c r="H293"/>
      <c r="I293"/>
      <c r="S293" s="2"/>
    </row>
    <row r="294" spans="3:19" x14ac:dyDescent="0.3">
      <c r="C294"/>
      <c r="D294"/>
      <c r="E294"/>
      <c r="F294"/>
      <c r="G294"/>
      <c r="H294"/>
      <c r="I294"/>
      <c r="S294" s="2"/>
    </row>
    <row r="295" spans="3:19" x14ac:dyDescent="0.3">
      <c r="C295"/>
      <c r="D295"/>
      <c r="E295"/>
      <c r="F295"/>
      <c r="G295"/>
      <c r="H295"/>
      <c r="I295"/>
      <c r="S295" s="2"/>
    </row>
    <row r="296" spans="3:19" x14ac:dyDescent="0.3">
      <c r="C296"/>
      <c r="D296"/>
      <c r="E296"/>
      <c r="F296"/>
      <c r="G296"/>
      <c r="H296"/>
      <c r="I296"/>
      <c r="S296" s="2"/>
    </row>
    <row r="297" spans="3:19" x14ac:dyDescent="0.3">
      <c r="C297"/>
      <c r="D297"/>
      <c r="E297"/>
      <c r="F297"/>
      <c r="G297"/>
      <c r="H297"/>
      <c r="I297"/>
      <c r="S297" s="2"/>
    </row>
    <row r="298" spans="3:19" x14ac:dyDescent="0.3">
      <c r="C298"/>
      <c r="D298"/>
      <c r="E298"/>
      <c r="F298"/>
      <c r="G298"/>
      <c r="H298"/>
      <c r="I298"/>
      <c r="S298" s="2"/>
    </row>
    <row r="299" spans="3:19" x14ac:dyDescent="0.3">
      <c r="C299"/>
      <c r="D299"/>
      <c r="E299"/>
      <c r="F299"/>
      <c r="G299"/>
      <c r="H299"/>
      <c r="I299"/>
      <c r="S299" s="2"/>
    </row>
    <row r="300" spans="3:19" x14ac:dyDescent="0.3">
      <c r="C300"/>
      <c r="D300"/>
      <c r="E300"/>
      <c r="F300"/>
      <c r="G300"/>
      <c r="H300"/>
      <c r="I300"/>
      <c r="S300" s="2"/>
    </row>
    <row r="301" spans="3:19" x14ac:dyDescent="0.3">
      <c r="C301"/>
      <c r="D301"/>
      <c r="E301"/>
      <c r="F301"/>
      <c r="G301"/>
      <c r="H301"/>
      <c r="I301"/>
      <c r="S301" s="2"/>
    </row>
    <row r="302" spans="3:19" x14ac:dyDescent="0.3">
      <c r="C302"/>
      <c r="D302"/>
      <c r="E302"/>
      <c r="F302"/>
      <c r="G302"/>
      <c r="H302"/>
      <c r="I302"/>
      <c r="S302" s="2"/>
    </row>
    <row r="303" spans="3:19" x14ac:dyDescent="0.3">
      <c r="C303"/>
      <c r="D303"/>
      <c r="E303"/>
      <c r="F303"/>
      <c r="G303"/>
      <c r="H303"/>
      <c r="I303"/>
      <c r="S303" s="2"/>
    </row>
    <row r="304" spans="3:19" x14ac:dyDescent="0.3">
      <c r="C304"/>
      <c r="D304"/>
      <c r="E304"/>
      <c r="F304"/>
      <c r="G304"/>
      <c r="H304"/>
      <c r="I304"/>
      <c r="S304" s="2"/>
    </row>
    <row r="305" spans="3:19" x14ac:dyDescent="0.3">
      <c r="C305"/>
      <c r="D305"/>
      <c r="E305"/>
      <c r="F305"/>
      <c r="G305"/>
      <c r="H305"/>
      <c r="I305"/>
      <c r="S305" s="2"/>
    </row>
    <row r="306" spans="3:19" x14ac:dyDescent="0.3">
      <c r="C306"/>
      <c r="D306"/>
      <c r="E306"/>
      <c r="F306"/>
      <c r="G306"/>
      <c r="H306"/>
      <c r="I306"/>
      <c r="S306" s="2"/>
    </row>
    <row r="307" spans="3:19" x14ac:dyDescent="0.3">
      <c r="C307"/>
      <c r="D307"/>
      <c r="E307"/>
      <c r="F307"/>
      <c r="G307"/>
      <c r="H307"/>
      <c r="I307"/>
      <c r="S307" s="2"/>
    </row>
    <row r="308" spans="3:19" x14ac:dyDescent="0.3">
      <c r="C308"/>
      <c r="D308"/>
      <c r="E308"/>
      <c r="F308"/>
      <c r="G308"/>
      <c r="H308"/>
      <c r="I308"/>
      <c r="S308" s="2"/>
    </row>
    <row r="309" spans="3:19" x14ac:dyDescent="0.3">
      <c r="C309"/>
      <c r="D309"/>
      <c r="E309"/>
      <c r="F309"/>
      <c r="G309"/>
      <c r="H309"/>
      <c r="I309"/>
      <c r="S309" s="2"/>
    </row>
    <row r="310" spans="3:19" x14ac:dyDescent="0.3">
      <c r="C310"/>
      <c r="D310"/>
      <c r="E310"/>
      <c r="F310"/>
      <c r="G310"/>
      <c r="H310"/>
      <c r="I310"/>
      <c r="S310" s="2"/>
    </row>
    <row r="311" spans="3:19" x14ac:dyDescent="0.3">
      <c r="C311"/>
      <c r="D311"/>
      <c r="E311"/>
      <c r="F311"/>
      <c r="G311"/>
      <c r="H311"/>
      <c r="I311"/>
      <c r="S311" s="2"/>
    </row>
    <row r="312" spans="3:19" x14ac:dyDescent="0.3">
      <c r="C312"/>
      <c r="D312"/>
      <c r="E312"/>
      <c r="F312"/>
      <c r="G312"/>
      <c r="H312"/>
      <c r="I312"/>
      <c r="S312" s="2"/>
    </row>
    <row r="313" spans="3:19" x14ac:dyDescent="0.3">
      <c r="C313"/>
      <c r="D313"/>
      <c r="E313"/>
      <c r="F313"/>
      <c r="G313"/>
      <c r="H313"/>
      <c r="I313"/>
      <c r="S313" s="2"/>
    </row>
    <row r="314" spans="3:19" x14ac:dyDescent="0.3">
      <c r="C314"/>
      <c r="D314"/>
      <c r="E314"/>
      <c r="F314"/>
      <c r="G314"/>
      <c r="H314"/>
      <c r="I314"/>
      <c r="S314" s="2"/>
    </row>
    <row r="315" spans="3:19" x14ac:dyDescent="0.3">
      <c r="C315"/>
      <c r="D315"/>
      <c r="E315"/>
      <c r="F315"/>
      <c r="G315"/>
      <c r="H315"/>
      <c r="I315"/>
      <c r="S315" s="2"/>
    </row>
    <row r="316" spans="3:19" x14ac:dyDescent="0.3">
      <c r="C316"/>
      <c r="D316"/>
      <c r="E316"/>
      <c r="F316"/>
      <c r="G316"/>
      <c r="H316"/>
      <c r="I316"/>
      <c r="S316" s="2"/>
    </row>
    <row r="317" spans="3:19" x14ac:dyDescent="0.3">
      <c r="C317"/>
      <c r="D317"/>
      <c r="E317"/>
      <c r="F317"/>
      <c r="G317"/>
      <c r="H317"/>
      <c r="I317"/>
      <c r="S317" s="2"/>
    </row>
    <row r="318" spans="3:19" x14ac:dyDescent="0.3">
      <c r="C318"/>
      <c r="D318"/>
      <c r="E318"/>
      <c r="F318"/>
      <c r="G318"/>
      <c r="H318"/>
      <c r="I318"/>
      <c r="S318" s="2"/>
    </row>
    <row r="319" spans="3:19" x14ac:dyDescent="0.3">
      <c r="C319"/>
      <c r="D319"/>
      <c r="E319"/>
      <c r="F319"/>
      <c r="G319"/>
      <c r="H319"/>
      <c r="I319"/>
      <c r="S319" s="2"/>
    </row>
    <row r="320" spans="3:19" x14ac:dyDescent="0.3">
      <c r="C320"/>
      <c r="D320"/>
      <c r="E320"/>
      <c r="F320"/>
      <c r="G320"/>
      <c r="H320"/>
      <c r="I320"/>
      <c r="S320" s="2"/>
    </row>
    <row r="321" spans="3:19" x14ac:dyDescent="0.3">
      <c r="C321"/>
      <c r="D321"/>
      <c r="E321"/>
      <c r="F321"/>
      <c r="G321"/>
      <c r="H321"/>
      <c r="I321"/>
      <c r="S321" s="2"/>
    </row>
    <row r="322" spans="3:19" x14ac:dyDescent="0.3">
      <c r="C322"/>
      <c r="D322"/>
      <c r="E322"/>
      <c r="F322"/>
      <c r="G322"/>
      <c r="H322"/>
      <c r="I322"/>
      <c r="S322" s="2"/>
    </row>
    <row r="323" spans="3:19" x14ac:dyDescent="0.3">
      <c r="C323"/>
      <c r="D323"/>
      <c r="E323"/>
      <c r="F323"/>
      <c r="G323"/>
      <c r="H323"/>
      <c r="I323"/>
      <c r="S323" s="2"/>
    </row>
    <row r="324" spans="3:19" x14ac:dyDescent="0.3">
      <c r="C324"/>
      <c r="D324"/>
      <c r="E324"/>
      <c r="F324"/>
      <c r="G324"/>
      <c r="H324"/>
      <c r="I324"/>
      <c r="S324" s="2"/>
    </row>
    <row r="325" spans="3:19" x14ac:dyDescent="0.3">
      <c r="C325"/>
      <c r="D325"/>
      <c r="E325"/>
      <c r="F325"/>
      <c r="G325"/>
      <c r="H325"/>
      <c r="I325"/>
      <c r="S325" s="2"/>
    </row>
    <row r="326" spans="3:19" x14ac:dyDescent="0.3">
      <c r="C326"/>
      <c r="D326"/>
      <c r="E326"/>
      <c r="F326"/>
      <c r="G326"/>
      <c r="H326"/>
      <c r="I326"/>
      <c r="S326" s="2"/>
    </row>
    <row r="327" spans="3:19" x14ac:dyDescent="0.3">
      <c r="C327"/>
      <c r="D327"/>
      <c r="E327"/>
      <c r="F327"/>
      <c r="G327"/>
      <c r="H327"/>
      <c r="I327"/>
      <c r="S327" s="2"/>
    </row>
    <row r="328" spans="3:19" x14ac:dyDescent="0.3">
      <c r="C328"/>
      <c r="D328"/>
      <c r="E328"/>
      <c r="F328"/>
      <c r="G328"/>
      <c r="H328"/>
      <c r="I328"/>
      <c r="S328" s="2"/>
    </row>
    <row r="329" spans="3:19" x14ac:dyDescent="0.3">
      <c r="C329"/>
      <c r="D329"/>
      <c r="E329"/>
      <c r="F329"/>
      <c r="G329"/>
      <c r="H329"/>
      <c r="I329"/>
      <c r="S329" s="2"/>
    </row>
    <row r="330" spans="3:19" x14ac:dyDescent="0.3">
      <c r="C330"/>
      <c r="D330"/>
      <c r="E330"/>
      <c r="F330"/>
      <c r="G330"/>
      <c r="H330"/>
      <c r="I330"/>
      <c r="S330" s="2"/>
    </row>
    <row r="331" spans="3:19" x14ac:dyDescent="0.3">
      <c r="C331"/>
      <c r="D331"/>
      <c r="E331"/>
      <c r="F331"/>
      <c r="G331"/>
      <c r="H331"/>
      <c r="I331"/>
      <c r="S331" s="2"/>
    </row>
    <row r="332" spans="3:19" x14ac:dyDescent="0.3">
      <c r="C332"/>
      <c r="D332"/>
      <c r="E332"/>
      <c r="F332"/>
      <c r="G332"/>
      <c r="H332"/>
      <c r="I332"/>
      <c r="S332" s="2"/>
    </row>
    <row r="333" spans="3:19" x14ac:dyDescent="0.3">
      <c r="C333"/>
      <c r="D333"/>
      <c r="E333"/>
      <c r="F333"/>
      <c r="G333"/>
      <c r="H333"/>
      <c r="I333"/>
      <c r="S333" s="2"/>
    </row>
    <row r="334" spans="3:19" x14ac:dyDescent="0.3">
      <c r="C334"/>
      <c r="D334"/>
      <c r="E334"/>
      <c r="F334"/>
      <c r="G334"/>
      <c r="H334"/>
      <c r="I334"/>
      <c r="S334" s="2"/>
    </row>
    <row r="335" spans="3:19" x14ac:dyDescent="0.3">
      <c r="C335"/>
      <c r="D335"/>
      <c r="E335"/>
      <c r="F335"/>
      <c r="G335"/>
      <c r="H335"/>
      <c r="I335"/>
      <c r="S335" s="2"/>
    </row>
    <row r="336" spans="3:19" x14ac:dyDescent="0.3">
      <c r="C336"/>
      <c r="D336"/>
      <c r="E336"/>
      <c r="F336"/>
      <c r="G336"/>
      <c r="H336"/>
      <c r="I336"/>
      <c r="S336" s="2"/>
    </row>
    <row r="337" spans="3:19" x14ac:dyDescent="0.3">
      <c r="C337"/>
      <c r="D337"/>
      <c r="E337"/>
      <c r="F337"/>
      <c r="G337"/>
      <c r="H337"/>
      <c r="I337"/>
      <c r="S337" s="2"/>
    </row>
    <row r="338" spans="3:19" x14ac:dyDescent="0.3">
      <c r="C338"/>
      <c r="D338"/>
      <c r="E338"/>
      <c r="F338"/>
      <c r="G338"/>
      <c r="H338"/>
      <c r="I338"/>
      <c r="S338" s="2"/>
    </row>
    <row r="339" spans="3:19" x14ac:dyDescent="0.3">
      <c r="C339"/>
      <c r="D339"/>
      <c r="E339"/>
      <c r="F339"/>
      <c r="G339"/>
      <c r="H339"/>
      <c r="I339"/>
      <c r="S339" s="2"/>
    </row>
    <row r="340" spans="3:19" x14ac:dyDescent="0.3">
      <c r="C340"/>
      <c r="D340"/>
      <c r="E340"/>
      <c r="F340"/>
      <c r="G340"/>
      <c r="H340"/>
      <c r="I340"/>
      <c r="S340" s="2"/>
    </row>
    <row r="341" spans="3:19" x14ac:dyDescent="0.3">
      <c r="C341"/>
      <c r="D341"/>
      <c r="E341"/>
      <c r="F341"/>
      <c r="G341"/>
      <c r="H341"/>
      <c r="I341"/>
      <c r="S341" s="2"/>
    </row>
    <row r="342" spans="3:19" x14ac:dyDescent="0.3">
      <c r="C342"/>
      <c r="D342"/>
      <c r="E342"/>
      <c r="F342"/>
      <c r="G342"/>
      <c r="H342"/>
      <c r="I342"/>
      <c r="S342" s="2"/>
    </row>
    <row r="343" spans="3:19" x14ac:dyDescent="0.3">
      <c r="C343"/>
      <c r="D343"/>
      <c r="E343"/>
      <c r="F343"/>
      <c r="G343"/>
      <c r="H343"/>
      <c r="I343"/>
      <c r="S343" s="2"/>
    </row>
    <row r="344" spans="3:19" x14ac:dyDescent="0.3">
      <c r="C344"/>
      <c r="D344"/>
      <c r="E344"/>
      <c r="F344"/>
      <c r="G344"/>
      <c r="H344"/>
      <c r="I344"/>
      <c r="S344" s="2"/>
    </row>
    <row r="345" spans="3:19" x14ac:dyDescent="0.3">
      <c r="C345"/>
      <c r="D345"/>
      <c r="E345"/>
      <c r="F345"/>
      <c r="G345"/>
      <c r="H345"/>
      <c r="I345"/>
      <c r="S345" s="2"/>
    </row>
    <row r="346" spans="3:19" x14ac:dyDescent="0.3">
      <c r="C346"/>
      <c r="D346"/>
      <c r="E346"/>
      <c r="F346"/>
      <c r="G346"/>
      <c r="H346"/>
      <c r="I346"/>
      <c r="S346" s="2"/>
    </row>
    <row r="347" spans="3:19" x14ac:dyDescent="0.3">
      <c r="C347"/>
      <c r="D347"/>
      <c r="E347"/>
      <c r="F347"/>
      <c r="G347"/>
      <c r="H347"/>
      <c r="I347"/>
      <c r="S347" s="2"/>
    </row>
    <row r="348" spans="3:19" x14ac:dyDescent="0.3">
      <c r="C348"/>
      <c r="D348"/>
      <c r="E348"/>
      <c r="F348"/>
      <c r="G348"/>
      <c r="H348"/>
      <c r="I348"/>
      <c r="S348" s="2"/>
    </row>
    <row r="349" spans="3:19" x14ac:dyDescent="0.3">
      <c r="C349"/>
      <c r="D349"/>
      <c r="E349"/>
      <c r="F349"/>
      <c r="G349"/>
      <c r="H349"/>
      <c r="I349"/>
      <c r="S349" s="2"/>
    </row>
    <row r="350" spans="3:19" x14ac:dyDescent="0.3">
      <c r="C350"/>
      <c r="D350"/>
      <c r="E350"/>
      <c r="F350"/>
      <c r="G350"/>
      <c r="H350"/>
      <c r="I350"/>
      <c r="S350" s="2"/>
    </row>
    <row r="351" spans="3:19" x14ac:dyDescent="0.3">
      <c r="C351"/>
      <c r="D351"/>
      <c r="E351"/>
      <c r="F351"/>
      <c r="G351"/>
      <c r="H351"/>
      <c r="I351"/>
      <c r="S351" s="2"/>
    </row>
    <row r="352" spans="3:19" x14ac:dyDescent="0.3">
      <c r="C352"/>
      <c r="D352"/>
      <c r="E352"/>
      <c r="F352"/>
      <c r="G352"/>
      <c r="H352"/>
      <c r="I352"/>
      <c r="S352" s="2"/>
    </row>
    <row r="353" spans="3:19" x14ac:dyDescent="0.3">
      <c r="C353"/>
      <c r="D353"/>
      <c r="E353"/>
      <c r="F353"/>
      <c r="G353"/>
      <c r="H353"/>
      <c r="I353"/>
      <c r="S353" s="2"/>
    </row>
    <row r="354" spans="3:19" x14ac:dyDescent="0.3">
      <c r="C354"/>
      <c r="D354"/>
      <c r="E354"/>
      <c r="F354"/>
      <c r="G354"/>
      <c r="H354"/>
      <c r="I354"/>
      <c r="S354" s="2"/>
    </row>
    <row r="355" spans="3:19" x14ac:dyDescent="0.3">
      <c r="C355"/>
      <c r="D355"/>
      <c r="E355"/>
      <c r="F355"/>
      <c r="G355"/>
      <c r="H355"/>
      <c r="I355"/>
      <c r="S355" s="2"/>
    </row>
    <row r="356" spans="3:19" x14ac:dyDescent="0.3">
      <c r="C356"/>
      <c r="D356"/>
      <c r="E356"/>
      <c r="F356"/>
      <c r="G356"/>
      <c r="H356"/>
      <c r="I356"/>
      <c r="S356" s="2"/>
    </row>
    <row r="357" spans="3:19" x14ac:dyDescent="0.3">
      <c r="C357"/>
      <c r="D357"/>
      <c r="E357"/>
      <c r="F357"/>
      <c r="G357"/>
      <c r="H357"/>
      <c r="I357"/>
      <c r="S357" s="2"/>
    </row>
    <row r="358" spans="3:19" x14ac:dyDescent="0.3">
      <c r="C358"/>
      <c r="D358"/>
      <c r="E358"/>
      <c r="F358"/>
      <c r="G358"/>
      <c r="H358"/>
      <c r="I358"/>
      <c r="S358" s="2"/>
    </row>
    <row r="359" spans="3:19" x14ac:dyDescent="0.3">
      <c r="C359"/>
      <c r="D359"/>
      <c r="E359"/>
      <c r="F359"/>
      <c r="G359"/>
      <c r="H359"/>
      <c r="I359"/>
      <c r="S359" s="2"/>
    </row>
    <row r="360" spans="3:19" x14ac:dyDescent="0.3">
      <c r="C360"/>
      <c r="D360"/>
      <c r="E360"/>
      <c r="F360"/>
      <c r="G360"/>
      <c r="H360"/>
      <c r="I360"/>
      <c r="S360" s="2"/>
    </row>
    <row r="361" spans="3:19" x14ac:dyDescent="0.3">
      <c r="C361"/>
      <c r="D361"/>
      <c r="E361"/>
      <c r="F361"/>
      <c r="G361"/>
      <c r="H361"/>
      <c r="I361"/>
      <c r="S361" s="2"/>
    </row>
    <row r="362" spans="3:19" x14ac:dyDescent="0.3">
      <c r="C362"/>
      <c r="D362"/>
      <c r="E362"/>
      <c r="F362"/>
      <c r="G362"/>
      <c r="H362"/>
      <c r="I362"/>
      <c r="S362" s="2"/>
    </row>
    <row r="363" spans="3:19" x14ac:dyDescent="0.3">
      <c r="C363"/>
      <c r="D363"/>
      <c r="E363"/>
      <c r="F363"/>
      <c r="G363"/>
      <c r="H363"/>
      <c r="I363"/>
      <c r="S363" s="2"/>
    </row>
    <row r="364" spans="3:19" x14ac:dyDescent="0.3">
      <c r="C364"/>
      <c r="D364"/>
      <c r="E364"/>
      <c r="F364"/>
      <c r="G364"/>
      <c r="H364"/>
      <c r="I364"/>
      <c r="S364" s="2"/>
    </row>
    <row r="365" spans="3:19" x14ac:dyDescent="0.3">
      <c r="C365"/>
      <c r="D365"/>
      <c r="E365"/>
      <c r="F365"/>
      <c r="G365"/>
      <c r="H365"/>
      <c r="I365"/>
      <c r="S365" s="2"/>
    </row>
    <row r="366" spans="3:19" x14ac:dyDescent="0.3">
      <c r="C366"/>
      <c r="D366"/>
      <c r="E366"/>
      <c r="F366"/>
      <c r="G366"/>
      <c r="H366"/>
      <c r="I366"/>
      <c r="S366" s="2"/>
    </row>
    <row r="367" spans="3:19" x14ac:dyDescent="0.3">
      <c r="C367"/>
      <c r="D367"/>
      <c r="E367"/>
      <c r="F367"/>
      <c r="G367"/>
      <c r="H367"/>
      <c r="I367"/>
      <c r="S367" s="2"/>
    </row>
    <row r="368" spans="3:19" x14ac:dyDescent="0.3">
      <c r="C368"/>
      <c r="D368"/>
      <c r="E368"/>
      <c r="F368"/>
      <c r="G368"/>
      <c r="H368"/>
      <c r="I368"/>
      <c r="S368" s="2"/>
    </row>
    <row r="369" spans="3:19" x14ac:dyDescent="0.3">
      <c r="C369"/>
      <c r="D369"/>
      <c r="E369"/>
      <c r="F369"/>
      <c r="G369"/>
      <c r="H369"/>
      <c r="I369"/>
      <c r="S369" s="2"/>
    </row>
    <row r="370" spans="3:19" x14ac:dyDescent="0.3">
      <c r="C370"/>
      <c r="D370"/>
      <c r="E370"/>
      <c r="F370"/>
      <c r="G370"/>
      <c r="H370"/>
      <c r="I370"/>
      <c r="S370" s="2"/>
    </row>
    <row r="371" spans="3:19" x14ac:dyDescent="0.3">
      <c r="C371"/>
      <c r="D371"/>
      <c r="E371"/>
      <c r="F371"/>
      <c r="G371"/>
      <c r="H371"/>
      <c r="I371"/>
      <c r="S371" s="2"/>
    </row>
    <row r="372" spans="3:19" x14ac:dyDescent="0.3">
      <c r="C372"/>
      <c r="D372"/>
      <c r="E372"/>
      <c r="F372"/>
      <c r="G372"/>
      <c r="H372"/>
      <c r="I372"/>
      <c r="S372" s="2"/>
    </row>
    <row r="373" spans="3:19" x14ac:dyDescent="0.3">
      <c r="C373"/>
      <c r="D373"/>
      <c r="E373"/>
      <c r="F373"/>
      <c r="G373"/>
      <c r="H373"/>
      <c r="I373"/>
      <c r="S373" s="2"/>
    </row>
    <row r="374" spans="3:19" x14ac:dyDescent="0.3">
      <c r="C374"/>
      <c r="D374"/>
      <c r="E374"/>
      <c r="F374"/>
      <c r="G374"/>
      <c r="H374"/>
      <c r="I374"/>
      <c r="S374" s="2"/>
    </row>
    <row r="375" spans="3:19" x14ac:dyDescent="0.3">
      <c r="C375"/>
      <c r="D375"/>
      <c r="E375"/>
      <c r="F375"/>
      <c r="G375"/>
      <c r="H375"/>
      <c r="I375"/>
      <c r="S375" s="2"/>
    </row>
    <row r="376" spans="3:19" x14ac:dyDescent="0.3">
      <c r="C376"/>
      <c r="D376"/>
      <c r="E376"/>
      <c r="F376"/>
      <c r="G376"/>
      <c r="H376"/>
      <c r="I376"/>
      <c r="S376" s="2"/>
    </row>
    <row r="377" spans="3:19" x14ac:dyDescent="0.3">
      <c r="C377"/>
      <c r="D377"/>
      <c r="E377"/>
      <c r="F377"/>
      <c r="G377"/>
      <c r="H377"/>
      <c r="I377"/>
      <c r="S377" s="2"/>
    </row>
    <row r="378" spans="3:19" x14ac:dyDescent="0.3">
      <c r="C378"/>
      <c r="D378"/>
      <c r="E378"/>
      <c r="F378"/>
      <c r="G378"/>
      <c r="H378"/>
      <c r="I378"/>
      <c r="S378" s="2"/>
    </row>
    <row r="379" spans="3:19" x14ac:dyDescent="0.3">
      <c r="C379"/>
      <c r="D379"/>
      <c r="E379"/>
      <c r="F379"/>
      <c r="G379"/>
      <c r="H379"/>
      <c r="I379"/>
      <c r="S379" s="2"/>
    </row>
    <row r="380" spans="3:19" x14ac:dyDescent="0.3">
      <c r="C380"/>
      <c r="D380"/>
      <c r="E380"/>
      <c r="F380"/>
      <c r="G380"/>
      <c r="H380"/>
      <c r="I380"/>
      <c r="S380" s="2"/>
    </row>
    <row r="381" spans="3:19" x14ac:dyDescent="0.3">
      <c r="C381"/>
      <c r="D381"/>
      <c r="E381"/>
      <c r="F381"/>
      <c r="G381"/>
      <c r="H381"/>
      <c r="I381"/>
      <c r="S381" s="2"/>
    </row>
    <row r="382" spans="3:19" x14ac:dyDescent="0.3">
      <c r="C382"/>
      <c r="D382"/>
      <c r="E382"/>
      <c r="F382"/>
      <c r="G382"/>
      <c r="H382"/>
      <c r="I382"/>
      <c r="S382" s="2"/>
    </row>
    <row r="383" spans="3:19" x14ac:dyDescent="0.3">
      <c r="C383"/>
      <c r="D383"/>
      <c r="E383"/>
      <c r="F383"/>
      <c r="G383"/>
      <c r="H383"/>
      <c r="I383"/>
      <c r="S383" s="2"/>
    </row>
    <row r="384" spans="3:19" x14ac:dyDescent="0.3">
      <c r="C384"/>
      <c r="D384"/>
      <c r="E384"/>
      <c r="F384"/>
      <c r="G384"/>
      <c r="H384"/>
      <c r="I384"/>
      <c r="S384" s="2"/>
    </row>
    <row r="385" spans="3:19" x14ac:dyDescent="0.3">
      <c r="C385"/>
      <c r="D385"/>
      <c r="E385"/>
      <c r="F385"/>
      <c r="G385"/>
      <c r="H385"/>
      <c r="I385"/>
      <c r="S385" s="2"/>
    </row>
    <row r="386" spans="3:19" x14ac:dyDescent="0.3">
      <c r="C386"/>
      <c r="D386"/>
      <c r="E386"/>
      <c r="F386"/>
      <c r="G386"/>
      <c r="H386"/>
      <c r="I386"/>
      <c r="S386" s="2"/>
    </row>
    <row r="387" spans="3:19" x14ac:dyDescent="0.3">
      <c r="C387"/>
      <c r="D387"/>
      <c r="E387"/>
      <c r="F387"/>
      <c r="G387"/>
      <c r="H387"/>
      <c r="I387"/>
      <c r="S387" s="2"/>
    </row>
    <row r="388" spans="3:19" x14ac:dyDescent="0.3">
      <c r="C388"/>
      <c r="D388"/>
      <c r="E388"/>
      <c r="F388"/>
      <c r="G388"/>
      <c r="H388"/>
      <c r="I388"/>
      <c r="S388" s="2"/>
    </row>
    <row r="389" spans="3:19" x14ac:dyDescent="0.3">
      <c r="C389"/>
      <c r="D389"/>
      <c r="E389"/>
      <c r="F389"/>
      <c r="G389"/>
      <c r="H389"/>
      <c r="I389"/>
      <c r="S389" s="2"/>
    </row>
    <row r="390" spans="3:19" x14ac:dyDescent="0.3">
      <c r="C390"/>
      <c r="D390"/>
      <c r="E390"/>
      <c r="F390"/>
      <c r="G390"/>
      <c r="H390"/>
      <c r="I390"/>
      <c r="S390" s="2"/>
    </row>
    <row r="391" spans="3:19" x14ac:dyDescent="0.3">
      <c r="C391"/>
      <c r="D391"/>
      <c r="E391"/>
      <c r="F391"/>
      <c r="G391"/>
      <c r="H391"/>
      <c r="I391"/>
      <c r="S391" s="2"/>
    </row>
    <row r="392" spans="3:19" x14ac:dyDescent="0.3">
      <c r="C392"/>
      <c r="D392"/>
      <c r="E392"/>
      <c r="F392"/>
      <c r="G392"/>
      <c r="H392"/>
      <c r="I392"/>
      <c r="S392" s="2"/>
    </row>
    <row r="393" spans="3:19" x14ac:dyDescent="0.3">
      <c r="C393"/>
      <c r="D393"/>
      <c r="E393"/>
      <c r="F393"/>
      <c r="G393"/>
      <c r="H393"/>
      <c r="I393"/>
      <c r="S393" s="2"/>
    </row>
    <row r="394" spans="3:19" x14ac:dyDescent="0.3">
      <c r="C394"/>
      <c r="D394"/>
      <c r="E394"/>
      <c r="F394"/>
      <c r="G394"/>
      <c r="H394"/>
      <c r="I394"/>
      <c r="S394" s="2"/>
    </row>
    <row r="395" spans="3:19" x14ac:dyDescent="0.3">
      <c r="C395"/>
      <c r="D395"/>
      <c r="E395"/>
      <c r="F395"/>
      <c r="G395"/>
      <c r="H395"/>
      <c r="I395"/>
      <c r="S395" s="2"/>
    </row>
    <row r="396" spans="3:19" x14ac:dyDescent="0.3">
      <c r="C396"/>
      <c r="D396"/>
      <c r="E396"/>
      <c r="F396"/>
      <c r="G396"/>
      <c r="H396"/>
      <c r="I396"/>
      <c r="S396" s="2"/>
    </row>
    <row r="397" spans="3:19" x14ac:dyDescent="0.3">
      <c r="C397"/>
      <c r="D397"/>
      <c r="E397"/>
      <c r="F397"/>
      <c r="G397"/>
      <c r="H397"/>
      <c r="I397"/>
      <c r="S397" s="2"/>
    </row>
    <row r="398" spans="3:19" x14ac:dyDescent="0.3">
      <c r="C398"/>
      <c r="D398"/>
      <c r="E398"/>
      <c r="F398"/>
      <c r="G398"/>
      <c r="H398"/>
      <c r="I398"/>
      <c r="S398" s="2"/>
    </row>
    <row r="399" spans="3:19" x14ac:dyDescent="0.3">
      <c r="C399"/>
      <c r="D399"/>
      <c r="E399"/>
      <c r="F399"/>
      <c r="G399"/>
      <c r="H399"/>
      <c r="I399"/>
      <c r="S399" s="2"/>
    </row>
    <row r="400" spans="3:19" x14ac:dyDescent="0.3">
      <c r="C400"/>
      <c r="D400"/>
      <c r="E400"/>
      <c r="F400"/>
      <c r="G400"/>
      <c r="H400"/>
      <c r="I400"/>
      <c r="S400" s="2"/>
    </row>
    <row r="401" spans="3:19" x14ac:dyDescent="0.3">
      <c r="C401"/>
      <c r="D401"/>
      <c r="E401"/>
      <c r="F401"/>
      <c r="G401"/>
      <c r="H401"/>
      <c r="I401"/>
      <c r="S401" s="2"/>
    </row>
    <row r="402" spans="3:19" x14ac:dyDescent="0.3">
      <c r="C402"/>
      <c r="D402"/>
      <c r="E402"/>
      <c r="F402"/>
      <c r="G402"/>
      <c r="H402"/>
      <c r="I402"/>
      <c r="S402" s="2"/>
    </row>
    <row r="403" spans="3:19" x14ac:dyDescent="0.3">
      <c r="C403"/>
      <c r="D403"/>
      <c r="E403"/>
      <c r="F403"/>
      <c r="G403"/>
      <c r="H403"/>
      <c r="I403"/>
      <c r="S403" s="2"/>
    </row>
    <row r="404" spans="3:19" x14ac:dyDescent="0.3">
      <c r="C404"/>
      <c r="D404"/>
      <c r="E404"/>
      <c r="F404"/>
      <c r="G404"/>
      <c r="H404"/>
      <c r="I404"/>
      <c r="S404" s="2"/>
    </row>
    <row r="405" spans="3:19" x14ac:dyDescent="0.3">
      <c r="C405"/>
      <c r="D405"/>
      <c r="E405"/>
      <c r="F405"/>
      <c r="G405"/>
      <c r="H405"/>
      <c r="I405"/>
      <c r="S405" s="2"/>
    </row>
    <row r="406" spans="3:19" x14ac:dyDescent="0.3">
      <c r="C406"/>
      <c r="D406"/>
      <c r="E406"/>
      <c r="F406"/>
      <c r="G406"/>
      <c r="H406"/>
      <c r="I406"/>
      <c r="S406" s="2"/>
    </row>
    <row r="407" spans="3:19" x14ac:dyDescent="0.3">
      <c r="C407"/>
      <c r="D407"/>
      <c r="E407"/>
      <c r="F407"/>
      <c r="G407"/>
      <c r="H407"/>
      <c r="I407"/>
      <c r="S407" s="2"/>
    </row>
    <row r="408" spans="3:19" x14ac:dyDescent="0.3">
      <c r="C408"/>
      <c r="D408"/>
      <c r="E408"/>
      <c r="F408"/>
      <c r="G408"/>
      <c r="H408"/>
      <c r="I408"/>
      <c r="S408" s="2"/>
    </row>
    <row r="409" spans="3:19" x14ac:dyDescent="0.3">
      <c r="C409"/>
      <c r="D409"/>
      <c r="E409"/>
      <c r="F409"/>
      <c r="G409"/>
      <c r="H409"/>
      <c r="I409"/>
      <c r="S409" s="2"/>
    </row>
    <row r="410" spans="3:19" x14ac:dyDescent="0.3">
      <c r="C410"/>
      <c r="D410"/>
      <c r="E410"/>
      <c r="F410"/>
      <c r="G410"/>
      <c r="H410"/>
      <c r="I410"/>
      <c r="S410" s="2"/>
    </row>
    <row r="411" spans="3:19" x14ac:dyDescent="0.3">
      <c r="C411"/>
      <c r="D411"/>
      <c r="E411"/>
      <c r="F411"/>
      <c r="G411"/>
      <c r="H411"/>
      <c r="I411"/>
      <c r="S411" s="2"/>
    </row>
    <row r="412" spans="3:19" x14ac:dyDescent="0.3">
      <c r="C412"/>
      <c r="D412"/>
      <c r="E412"/>
      <c r="F412"/>
      <c r="G412"/>
      <c r="H412"/>
      <c r="I412"/>
      <c r="S412" s="2"/>
    </row>
    <row r="413" spans="3:19" x14ac:dyDescent="0.3">
      <c r="C413"/>
      <c r="D413"/>
      <c r="E413"/>
      <c r="F413"/>
      <c r="G413"/>
      <c r="H413"/>
      <c r="I413"/>
      <c r="S413" s="2"/>
    </row>
    <row r="414" spans="3:19" x14ac:dyDescent="0.3">
      <c r="C414"/>
      <c r="D414"/>
      <c r="E414"/>
      <c r="F414"/>
      <c r="G414"/>
      <c r="H414"/>
      <c r="I414"/>
      <c r="S414" s="2"/>
    </row>
    <row r="415" spans="3:19" x14ac:dyDescent="0.3">
      <c r="C415"/>
      <c r="D415"/>
      <c r="E415"/>
      <c r="F415"/>
      <c r="G415"/>
      <c r="H415"/>
      <c r="I415"/>
      <c r="S415" s="2"/>
    </row>
    <row r="416" spans="3:19" x14ac:dyDescent="0.3">
      <c r="C416"/>
      <c r="D416"/>
      <c r="E416"/>
      <c r="F416"/>
      <c r="G416"/>
      <c r="H416"/>
      <c r="I416"/>
      <c r="S416" s="2"/>
    </row>
    <row r="417" spans="3:19" x14ac:dyDescent="0.3">
      <c r="C417"/>
      <c r="D417"/>
      <c r="E417"/>
      <c r="F417"/>
      <c r="G417"/>
      <c r="H417"/>
      <c r="I417"/>
      <c r="S417" s="2"/>
    </row>
    <row r="418" spans="3:19" x14ac:dyDescent="0.3">
      <c r="C418"/>
      <c r="D418"/>
      <c r="E418"/>
      <c r="F418"/>
      <c r="G418"/>
      <c r="H418"/>
      <c r="I418"/>
      <c r="S418" s="2"/>
    </row>
    <row r="419" spans="3:19" x14ac:dyDescent="0.3">
      <c r="C419"/>
      <c r="D419"/>
      <c r="E419"/>
      <c r="F419"/>
      <c r="G419"/>
      <c r="H419"/>
      <c r="I419"/>
      <c r="S419" s="2"/>
    </row>
    <row r="420" spans="3:19" x14ac:dyDescent="0.3">
      <c r="C420"/>
      <c r="D420"/>
      <c r="E420"/>
      <c r="F420"/>
      <c r="G420"/>
      <c r="H420"/>
      <c r="I420"/>
      <c r="S420" s="2"/>
    </row>
    <row r="421" spans="3:19" x14ac:dyDescent="0.3">
      <c r="C421"/>
      <c r="D421"/>
      <c r="E421"/>
      <c r="F421"/>
      <c r="G421"/>
      <c r="H421"/>
      <c r="I421"/>
      <c r="S421" s="2"/>
    </row>
    <row r="422" spans="3:19" x14ac:dyDescent="0.3">
      <c r="C422"/>
      <c r="D422"/>
      <c r="E422"/>
      <c r="F422"/>
      <c r="G422"/>
      <c r="H422"/>
      <c r="I422"/>
      <c r="S422" s="2"/>
    </row>
    <row r="423" spans="3:19" x14ac:dyDescent="0.3">
      <c r="C423"/>
      <c r="D423"/>
      <c r="E423"/>
      <c r="F423"/>
      <c r="G423"/>
      <c r="H423"/>
      <c r="I423"/>
      <c r="S423" s="2"/>
    </row>
    <row r="424" spans="3:19" x14ac:dyDescent="0.3">
      <c r="C424"/>
      <c r="D424"/>
      <c r="E424"/>
      <c r="F424"/>
      <c r="G424"/>
      <c r="H424"/>
      <c r="I424"/>
      <c r="S424" s="2"/>
    </row>
    <row r="425" spans="3:19" x14ac:dyDescent="0.3">
      <c r="C425"/>
      <c r="D425"/>
      <c r="E425"/>
      <c r="F425"/>
      <c r="G425"/>
      <c r="H425"/>
      <c r="I425"/>
      <c r="S425" s="2"/>
    </row>
    <row r="426" spans="3:19" x14ac:dyDescent="0.3">
      <c r="C426"/>
      <c r="D426"/>
      <c r="E426"/>
      <c r="F426"/>
      <c r="G426"/>
      <c r="H426"/>
      <c r="I426"/>
      <c r="S426" s="2"/>
    </row>
    <row r="427" spans="3:19" x14ac:dyDescent="0.3">
      <c r="C427"/>
      <c r="D427"/>
      <c r="E427"/>
      <c r="F427"/>
      <c r="G427"/>
      <c r="H427"/>
      <c r="I427"/>
      <c r="S427" s="2"/>
    </row>
    <row r="428" spans="3:19" x14ac:dyDescent="0.3">
      <c r="C428"/>
      <c r="D428"/>
      <c r="E428"/>
      <c r="F428"/>
      <c r="G428"/>
      <c r="H428"/>
      <c r="I428"/>
      <c r="S428" s="2"/>
    </row>
    <row r="429" spans="3:19" x14ac:dyDescent="0.3">
      <c r="C429"/>
      <c r="D429"/>
      <c r="E429"/>
      <c r="F429"/>
      <c r="G429"/>
      <c r="H429"/>
      <c r="I429"/>
      <c r="S429" s="2"/>
    </row>
    <row r="430" spans="3:19" x14ac:dyDescent="0.3">
      <c r="C430"/>
      <c r="D430"/>
      <c r="E430"/>
      <c r="F430"/>
      <c r="G430"/>
      <c r="H430"/>
      <c r="I430"/>
      <c r="S430" s="2"/>
    </row>
    <row r="431" spans="3:19" x14ac:dyDescent="0.3">
      <c r="C431"/>
      <c r="D431"/>
      <c r="E431"/>
      <c r="F431"/>
      <c r="G431"/>
      <c r="H431"/>
      <c r="I431"/>
      <c r="S431" s="2"/>
    </row>
    <row r="432" spans="3:19" x14ac:dyDescent="0.3">
      <c r="C432"/>
      <c r="D432"/>
      <c r="E432"/>
      <c r="F432"/>
      <c r="G432"/>
      <c r="H432"/>
      <c r="I432"/>
      <c r="S432" s="2"/>
    </row>
    <row r="433" spans="3:19" x14ac:dyDescent="0.3">
      <c r="C433"/>
      <c r="D433"/>
      <c r="E433"/>
      <c r="F433"/>
      <c r="G433"/>
      <c r="H433"/>
      <c r="I433"/>
      <c r="S433" s="2"/>
    </row>
    <row r="434" spans="3:19" x14ac:dyDescent="0.3">
      <c r="C434"/>
      <c r="D434"/>
      <c r="E434"/>
      <c r="F434"/>
      <c r="G434"/>
      <c r="H434"/>
      <c r="I434"/>
      <c r="S434" s="2"/>
    </row>
    <row r="435" spans="3:19" x14ac:dyDescent="0.3">
      <c r="C435"/>
      <c r="D435"/>
      <c r="E435"/>
      <c r="F435"/>
      <c r="G435"/>
      <c r="H435"/>
      <c r="I435"/>
      <c r="S435" s="2"/>
    </row>
    <row r="436" spans="3:19" x14ac:dyDescent="0.3">
      <c r="C436"/>
      <c r="D436"/>
      <c r="E436"/>
      <c r="F436"/>
      <c r="G436"/>
      <c r="H436"/>
      <c r="I436"/>
      <c r="S436" s="2"/>
    </row>
    <row r="437" spans="3:19" x14ac:dyDescent="0.3">
      <c r="C437"/>
      <c r="D437"/>
      <c r="E437"/>
      <c r="F437"/>
      <c r="G437"/>
      <c r="H437"/>
      <c r="I437"/>
      <c r="S437" s="2"/>
    </row>
    <row r="438" spans="3:19" x14ac:dyDescent="0.3">
      <c r="C438"/>
      <c r="D438"/>
      <c r="E438"/>
      <c r="F438"/>
      <c r="G438"/>
      <c r="H438"/>
      <c r="I438"/>
      <c r="S438" s="2"/>
    </row>
    <row r="439" spans="3:19" x14ac:dyDescent="0.3">
      <c r="C439"/>
      <c r="D439"/>
      <c r="E439"/>
      <c r="F439"/>
      <c r="G439"/>
      <c r="H439"/>
      <c r="I439"/>
      <c r="S439" s="2"/>
    </row>
    <row r="440" spans="3:19" x14ac:dyDescent="0.3">
      <c r="C440"/>
      <c r="D440"/>
      <c r="E440"/>
      <c r="F440"/>
      <c r="G440"/>
      <c r="H440"/>
      <c r="I440"/>
      <c r="S440" s="2"/>
    </row>
    <row r="441" spans="3:19" x14ac:dyDescent="0.3">
      <c r="C441"/>
      <c r="D441"/>
      <c r="E441"/>
      <c r="F441"/>
      <c r="G441"/>
      <c r="H441"/>
      <c r="I441"/>
      <c r="S441" s="2"/>
    </row>
    <row r="442" spans="3:19" x14ac:dyDescent="0.3">
      <c r="C442"/>
      <c r="D442"/>
      <c r="E442"/>
      <c r="F442"/>
      <c r="G442"/>
      <c r="H442"/>
      <c r="I442"/>
      <c r="S442" s="2"/>
    </row>
    <row r="443" spans="3:19" x14ac:dyDescent="0.3">
      <c r="C443"/>
      <c r="D443"/>
      <c r="E443"/>
      <c r="F443"/>
      <c r="G443"/>
      <c r="H443"/>
      <c r="I443"/>
      <c r="S443" s="2"/>
    </row>
    <row r="444" spans="3:19" x14ac:dyDescent="0.3">
      <c r="C444"/>
      <c r="D444"/>
      <c r="E444"/>
      <c r="F444"/>
      <c r="G444"/>
      <c r="H444"/>
      <c r="I444"/>
      <c r="S444" s="2"/>
    </row>
    <row r="445" spans="3:19" x14ac:dyDescent="0.3">
      <c r="C445"/>
      <c r="D445"/>
      <c r="E445"/>
      <c r="F445"/>
      <c r="G445"/>
      <c r="H445"/>
      <c r="I445"/>
      <c r="S445" s="2"/>
    </row>
    <row r="446" spans="3:19" x14ac:dyDescent="0.3">
      <c r="C446"/>
      <c r="D446"/>
      <c r="E446"/>
      <c r="F446"/>
      <c r="G446"/>
      <c r="H446"/>
      <c r="I446"/>
      <c r="S446" s="2"/>
    </row>
    <row r="447" spans="3:19" x14ac:dyDescent="0.3">
      <c r="C447"/>
      <c r="D447"/>
      <c r="E447"/>
      <c r="F447"/>
      <c r="G447"/>
      <c r="H447"/>
      <c r="I447"/>
      <c r="S447" s="2"/>
    </row>
    <row r="448" spans="3:19" x14ac:dyDescent="0.3">
      <c r="C448"/>
      <c r="D448"/>
      <c r="E448"/>
      <c r="F448"/>
      <c r="G448"/>
      <c r="H448"/>
      <c r="I448"/>
      <c r="S448" s="2"/>
    </row>
    <row r="449" spans="3:19" x14ac:dyDescent="0.3">
      <c r="C449"/>
      <c r="D449"/>
      <c r="E449"/>
      <c r="F449"/>
      <c r="G449"/>
      <c r="H449"/>
      <c r="I449"/>
      <c r="S449" s="2"/>
    </row>
    <row r="450" spans="3:19" x14ac:dyDescent="0.3">
      <c r="C450"/>
      <c r="D450"/>
      <c r="E450"/>
      <c r="F450"/>
      <c r="G450"/>
      <c r="H450"/>
      <c r="I450"/>
      <c r="S450" s="2"/>
    </row>
    <row r="451" spans="3:19" x14ac:dyDescent="0.3">
      <c r="C451"/>
      <c r="D451"/>
      <c r="E451"/>
      <c r="F451"/>
      <c r="G451"/>
      <c r="H451"/>
      <c r="I451"/>
      <c r="S451" s="2"/>
    </row>
    <row r="452" spans="3:19" x14ac:dyDescent="0.3">
      <c r="C452"/>
      <c r="D452"/>
      <c r="E452"/>
      <c r="F452"/>
      <c r="G452"/>
      <c r="H452"/>
      <c r="I452"/>
      <c r="S452" s="2"/>
    </row>
    <row r="453" spans="3:19" x14ac:dyDescent="0.3">
      <c r="C453"/>
      <c r="D453"/>
      <c r="E453"/>
      <c r="F453"/>
      <c r="G453"/>
      <c r="H453"/>
      <c r="I453"/>
      <c r="S453" s="2"/>
    </row>
    <row r="454" spans="3:19" x14ac:dyDescent="0.3">
      <c r="C454"/>
      <c r="D454"/>
      <c r="E454"/>
      <c r="F454"/>
      <c r="G454"/>
      <c r="H454"/>
      <c r="I454"/>
      <c r="S454" s="2"/>
    </row>
    <row r="455" spans="3:19" x14ac:dyDescent="0.3">
      <c r="C455"/>
      <c r="D455"/>
      <c r="E455"/>
      <c r="F455"/>
      <c r="G455"/>
      <c r="H455"/>
      <c r="I455"/>
      <c r="S455" s="2"/>
    </row>
    <row r="456" spans="3:19" x14ac:dyDescent="0.3">
      <c r="C456"/>
      <c r="D456"/>
      <c r="E456"/>
      <c r="F456"/>
      <c r="G456"/>
      <c r="H456"/>
      <c r="I456"/>
      <c r="S456" s="2"/>
    </row>
    <row r="457" spans="3:19" x14ac:dyDescent="0.3">
      <c r="C457"/>
      <c r="D457"/>
      <c r="E457"/>
      <c r="F457"/>
      <c r="G457"/>
      <c r="H457"/>
      <c r="I457"/>
      <c r="S457" s="2"/>
    </row>
    <row r="458" spans="3:19" x14ac:dyDescent="0.3">
      <c r="C458"/>
      <c r="D458"/>
      <c r="E458"/>
      <c r="F458"/>
      <c r="G458"/>
      <c r="H458"/>
      <c r="I458"/>
      <c r="S458" s="2"/>
    </row>
    <row r="459" spans="3:19" x14ac:dyDescent="0.3">
      <c r="C459"/>
      <c r="D459"/>
      <c r="E459"/>
      <c r="F459"/>
      <c r="G459"/>
      <c r="H459"/>
      <c r="I459"/>
      <c r="S459" s="2"/>
    </row>
    <row r="460" spans="3:19" x14ac:dyDescent="0.3">
      <c r="C460"/>
      <c r="D460"/>
      <c r="E460"/>
      <c r="F460"/>
      <c r="G460"/>
      <c r="H460"/>
      <c r="I460"/>
      <c r="S460" s="2"/>
    </row>
    <row r="461" spans="3:19" x14ac:dyDescent="0.3">
      <c r="C461"/>
      <c r="D461"/>
      <c r="E461"/>
      <c r="F461"/>
      <c r="G461"/>
      <c r="H461"/>
      <c r="I461"/>
      <c r="S461" s="2"/>
    </row>
    <row r="462" spans="3:19" x14ac:dyDescent="0.3">
      <c r="C462"/>
      <c r="D462"/>
      <c r="E462"/>
      <c r="F462"/>
      <c r="G462"/>
      <c r="H462"/>
      <c r="I462"/>
      <c r="S462" s="2"/>
    </row>
    <row r="463" spans="3:19" x14ac:dyDescent="0.3">
      <c r="C463"/>
      <c r="D463"/>
      <c r="E463"/>
      <c r="F463"/>
      <c r="G463"/>
      <c r="H463"/>
      <c r="I463"/>
      <c r="S463" s="2"/>
    </row>
    <row r="464" spans="3:19" x14ac:dyDescent="0.3">
      <c r="C464"/>
      <c r="D464"/>
      <c r="E464"/>
      <c r="F464"/>
      <c r="G464"/>
      <c r="H464"/>
      <c r="I464"/>
      <c r="S464" s="2"/>
    </row>
    <row r="465" spans="3:19" x14ac:dyDescent="0.3">
      <c r="C465"/>
      <c r="D465"/>
      <c r="E465"/>
      <c r="F465"/>
      <c r="G465"/>
      <c r="H465"/>
      <c r="I465"/>
      <c r="S465" s="2"/>
    </row>
    <row r="466" spans="3:19" x14ac:dyDescent="0.3">
      <c r="C466"/>
      <c r="D466"/>
      <c r="E466"/>
      <c r="F466"/>
      <c r="G466"/>
      <c r="H466"/>
      <c r="I466"/>
      <c r="S466" s="2"/>
    </row>
    <row r="467" spans="3:19" x14ac:dyDescent="0.3">
      <c r="C467"/>
      <c r="D467"/>
      <c r="E467"/>
      <c r="F467"/>
      <c r="G467"/>
      <c r="H467"/>
      <c r="I467"/>
      <c r="S467" s="2"/>
    </row>
    <row r="468" spans="3:19" x14ac:dyDescent="0.3">
      <c r="C468"/>
      <c r="D468"/>
      <c r="E468"/>
      <c r="F468"/>
      <c r="G468"/>
      <c r="H468"/>
      <c r="I468"/>
      <c r="S468" s="2"/>
    </row>
    <row r="469" spans="3:19" x14ac:dyDescent="0.3">
      <c r="C469"/>
      <c r="D469"/>
      <c r="E469"/>
      <c r="F469"/>
      <c r="G469"/>
      <c r="H469"/>
      <c r="I469"/>
      <c r="S469" s="2"/>
    </row>
    <row r="470" spans="3:19" x14ac:dyDescent="0.3">
      <c r="C470"/>
      <c r="D470"/>
      <c r="E470"/>
      <c r="F470"/>
      <c r="G470"/>
      <c r="H470"/>
      <c r="I470"/>
      <c r="S470" s="2"/>
    </row>
    <row r="471" spans="3:19" x14ac:dyDescent="0.3">
      <c r="C471"/>
      <c r="D471"/>
      <c r="E471"/>
      <c r="F471"/>
      <c r="G471"/>
      <c r="H471"/>
      <c r="I471"/>
      <c r="S471" s="2"/>
    </row>
    <row r="472" spans="3:19" x14ac:dyDescent="0.3">
      <c r="C472"/>
      <c r="D472"/>
      <c r="E472"/>
      <c r="F472"/>
      <c r="G472"/>
      <c r="H472"/>
      <c r="I472"/>
      <c r="S472" s="2"/>
    </row>
    <row r="473" spans="3:19" x14ac:dyDescent="0.3">
      <c r="C473"/>
      <c r="D473"/>
      <c r="E473"/>
      <c r="F473"/>
      <c r="G473"/>
      <c r="H473"/>
      <c r="I473"/>
      <c r="S473" s="2"/>
    </row>
    <row r="474" spans="3:19" x14ac:dyDescent="0.3">
      <c r="C474"/>
      <c r="D474"/>
      <c r="E474"/>
      <c r="F474"/>
      <c r="G474"/>
      <c r="H474"/>
      <c r="I474"/>
      <c r="S474" s="2"/>
    </row>
    <row r="475" spans="3:19" x14ac:dyDescent="0.3">
      <c r="C475"/>
      <c r="D475"/>
      <c r="E475"/>
      <c r="F475"/>
      <c r="G475"/>
      <c r="H475"/>
      <c r="I475"/>
      <c r="S475" s="2"/>
    </row>
    <row r="476" spans="3:19" x14ac:dyDescent="0.3">
      <c r="C476"/>
      <c r="D476"/>
      <c r="E476"/>
      <c r="F476"/>
      <c r="G476"/>
      <c r="H476"/>
      <c r="I476"/>
      <c r="S476" s="2"/>
    </row>
    <row r="477" spans="3:19" x14ac:dyDescent="0.3">
      <c r="C477"/>
      <c r="D477"/>
      <c r="E477"/>
      <c r="F477"/>
      <c r="G477"/>
      <c r="H477"/>
      <c r="I477"/>
      <c r="S477" s="2"/>
    </row>
    <row r="478" spans="3:19" x14ac:dyDescent="0.3">
      <c r="C478"/>
      <c r="D478"/>
      <c r="E478"/>
      <c r="F478"/>
      <c r="G478"/>
      <c r="H478"/>
      <c r="I478"/>
      <c r="S478" s="2"/>
    </row>
    <row r="479" spans="3:19" x14ac:dyDescent="0.3">
      <c r="C479"/>
      <c r="D479"/>
      <c r="E479"/>
      <c r="F479"/>
      <c r="G479"/>
      <c r="H479"/>
      <c r="I479"/>
      <c r="S479" s="2"/>
    </row>
    <row r="480" spans="3:19" x14ac:dyDescent="0.3">
      <c r="C480"/>
      <c r="D480"/>
      <c r="E480"/>
      <c r="F480"/>
      <c r="G480"/>
      <c r="H480"/>
      <c r="I480"/>
      <c r="S480" s="2"/>
    </row>
    <row r="481" spans="3:19" x14ac:dyDescent="0.3">
      <c r="C481"/>
      <c r="D481"/>
      <c r="E481"/>
      <c r="F481"/>
      <c r="G481"/>
      <c r="H481"/>
      <c r="I481"/>
      <c r="S481" s="2"/>
    </row>
    <row r="482" spans="3:19" x14ac:dyDescent="0.3">
      <c r="C482"/>
      <c r="D482"/>
      <c r="E482"/>
      <c r="F482"/>
      <c r="G482"/>
      <c r="H482"/>
      <c r="I482"/>
      <c r="S482" s="2"/>
    </row>
    <row r="483" spans="3:19" x14ac:dyDescent="0.3">
      <c r="C483"/>
      <c r="D483"/>
      <c r="E483"/>
      <c r="F483"/>
      <c r="G483"/>
      <c r="H483"/>
      <c r="I483"/>
      <c r="S483" s="2"/>
    </row>
    <row r="484" spans="3:19" x14ac:dyDescent="0.3">
      <c r="C484"/>
      <c r="D484"/>
      <c r="E484"/>
      <c r="F484"/>
      <c r="G484"/>
      <c r="H484"/>
      <c r="I484"/>
      <c r="S484" s="2"/>
    </row>
    <row r="485" spans="3:19" x14ac:dyDescent="0.3">
      <c r="C485"/>
      <c r="D485"/>
      <c r="E485"/>
      <c r="F485"/>
      <c r="G485"/>
      <c r="H485"/>
      <c r="I485"/>
      <c r="S485" s="2"/>
    </row>
    <row r="486" spans="3:19" x14ac:dyDescent="0.3">
      <c r="C486"/>
      <c r="D486"/>
      <c r="E486"/>
      <c r="F486"/>
      <c r="G486"/>
      <c r="H486"/>
      <c r="I486"/>
      <c r="S486" s="2"/>
    </row>
    <row r="487" spans="3:19" x14ac:dyDescent="0.3">
      <c r="C487"/>
      <c r="D487"/>
      <c r="E487"/>
      <c r="F487"/>
      <c r="G487"/>
      <c r="H487"/>
      <c r="I487"/>
      <c r="S487" s="2"/>
    </row>
    <row r="488" spans="3:19" x14ac:dyDescent="0.3">
      <c r="C488"/>
      <c r="D488"/>
      <c r="E488"/>
      <c r="F488"/>
      <c r="G488"/>
      <c r="H488"/>
      <c r="I488"/>
      <c r="S488" s="2"/>
    </row>
    <row r="489" spans="3:19" x14ac:dyDescent="0.3">
      <c r="C489"/>
      <c r="D489"/>
      <c r="E489"/>
      <c r="F489"/>
      <c r="G489"/>
      <c r="H489"/>
      <c r="I489"/>
      <c r="S489" s="2"/>
    </row>
    <row r="490" spans="3:19" x14ac:dyDescent="0.3">
      <c r="C490"/>
      <c r="D490"/>
      <c r="E490"/>
      <c r="F490"/>
      <c r="G490"/>
      <c r="H490"/>
      <c r="I490"/>
      <c r="S490" s="2"/>
    </row>
    <row r="491" spans="3:19" x14ac:dyDescent="0.3">
      <c r="C491"/>
      <c r="D491"/>
      <c r="E491"/>
      <c r="F491"/>
      <c r="G491"/>
      <c r="H491"/>
      <c r="I491"/>
      <c r="S491" s="2"/>
    </row>
    <row r="492" spans="3:19" x14ac:dyDescent="0.3">
      <c r="C492"/>
      <c r="D492"/>
      <c r="E492"/>
      <c r="F492"/>
      <c r="G492"/>
      <c r="H492"/>
      <c r="I492"/>
      <c r="S492" s="2"/>
    </row>
    <row r="493" spans="3:19" x14ac:dyDescent="0.3">
      <c r="C493"/>
      <c r="D493"/>
      <c r="E493"/>
      <c r="F493"/>
      <c r="G493"/>
      <c r="H493"/>
      <c r="I493"/>
      <c r="S493" s="2"/>
    </row>
    <row r="494" spans="3:19" x14ac:dyDescent="0.3">
      <c r="C494"/>
      <c r="D494"/>
      <c r="E494"/>
      <c r="F494"/>
      <c r="G494"/>
      <c r="H494"/>
      <c r="I494"/>
      <c r="S494" s="2"/>
    </row>
    <row r="495" spans="3:19" x14ac:dyDescent="0.3">
      <c r="C495"/>
      <c r="D495"/>
      <c r="E495"/>
      <c r="F495"/>
      <c r="G495"/>
      <c r="H495"/>
      <c r="I495"/>
      <c r="S495" s="2"/>
    </row>
    <row r="496" spans="3:19" x14ac:dyDescent="0.3">
      <c r="C496"/>
      <c r="D496"/>
      <c r="E496"/>
      <c r="F496"/>
      <c r="G496"/>
      <c r="H496"/>
      <c r="I496"/>
      <c r="S496" s="2"/>
    </row>
    <row r="497" spans="3:19" x14ac:dyDescent="0.3">
      <c r="C497"/>
      <c r="D497"/>
      <c r="E497"/>
      <c r="F497"/>
      <c r="G497"/>
      <c r="H497"/>
      <c r="I497"/>
      <c r="S497" s="2"/>
    </row>
    <row r="498" spans="3:19" x14ac:dyDescent="0.3">
      <c r="C498"/>
      <c r="D498"/>
      <c r="E498"/>
      <c r="F498"/>
      <c r="G498"/>
      <c r="H498"/>
      <c r="I498"/>
      <c r="S498" s="2"/>
    </row>
    <row r="499" spans="3:19" x14ac:dyDescent="0.3">
      <c r="C499"/>
      <c r="D499"/>
      <c r="E499"/>
      <c r="F499"/>
      <c r="G499"/>
      <c r="H499"/>
      <c r="I499"/>
      <c r="S499" s="2"/>
    </row>
    <row r="500" spans="3:19" x14ac:dyDescent="0.3">
      <c r="C500"/>
      <c r="D500"/>
      <c r="E500"/>
      <c r="F500"/>
      <c r="G500"/>
      <c r="H500"/>
      <c r="I500"/>
      <c r="S500" s="2"/>
    </row>
    <row r="501" spans="3:19" x14ac:dyDescent="0.3">
      <c r="C501"/>
      <c r="D501"/>
      <c r="E501"/>
      <c r="F501"/>
      <c r="G501"/>
      <c r="H501"/>
      <c r="I501"/>
      <c r="S501" s="2"/>
    </row>
    <row r="502" spans="3:19" x14ac:dyDescent="0.3">
      <c r="C502"/>
      <c r="D502"/>
      <c r="E502"/>
      <c r="F502"/>
      <c r="G502"/>
      <c r="H502"/>
      <c r="I502"/>
      <c r="S502" s="2"/>
    </row>
    <row r="503" spans="3:19" x14ac:dyDescent="0.3">
      <c r="C503"/>
      <c r="D503"/>
      <c r="E503"/>
      <c r="F503"/>
      <c r="G503"/>
      <c r="H503"/>
      <c r="I503"/>
      <c r="S503" s="2"/>
    </row>
    <row r="504" spans="3:19" x14ac:dyDescent="0.3">
      <c r="C504"/>
      <c r="D504"/>
      <c r="E504"/>
      <c r="F504"/>
      <c r="G504"/>
      <c r="H504"/>
      <c r="I504"/>
      <c r="S504" s="2"/>
    </row>
    <row r="505" spans="3:19" x14ac:dyDescent="0.3">
      <c r="C505"/>
      <c r="D505"/>
      <c r="E505"/>
      <c r="F505"/>
      <c r="G505"/>
      <c r="H505"/>
      <c r="I505"/>
      <c r="S505" s="2"/>
    </row>
    <row r="506" spans="3:19" x14ac:dyDescent="0.3">
      <c r="C506"/>
      <c r="D506"/>
      <c r="E506"/>
      <c r="F506"/>
      <c r="G506"/>
      <c r="H506"/>
      <c r="I506"/>
      <c r="S506" s="2"/>
    </row>
    <row r="507" spans="3:19" x14ac:dyDescent="0.3">
      <c r="C507"/>
      <c r="D507"/>
      <c r="E507"/>
      <c r="F507"/>
      <c r="G507"/>
      <c r="H507"/>
      <c r="I507"/>
      <c r="S507" s="2"/>
    </row>
    <row r="508" spans="3:19" x14ac:dyDescent="0.3">
      <c r="C508"/>
      <c r="D508"/>
      <c r="E508"/>
      <c r="F508"/>
      <c r="G508"/>
      <c r="H508"/>
      <c r="I508"/>
      <c r="S508" s="2"/>
    </row>
    <row r="509" spans="3:19" x14ac:dyDescent="0.3">
      <c r="C509"/>
      <c r="D509"/>
      <c r="E509"/>
      <c r="F509"/>
      <c r="G509"/>
      <c r="H509"/>
      <c r="I509"/>
      <c r="S509" s="2"/>
    </row>
    <row r="510" spans="3:19" x14ac:dyDescent="0.3">
      <c r="C510"/>
      <c r="D510"/>
      <c r="E510"/>
      <c r="F510"/>
      <c r="G510"/>
      <c r="H510"/>
      <c r="I510"/>
      <c r="S510" s="2"/>
    </row>
    <row r="511" spans="3:19" x14ac:dyDescent="0.3">
      <c r="C511"/>
      <c r="D511"/>
      <c r="E511"/>
      <c r="F511"/>
      <c r="G511"/>
      <c r="H511"/>
      <c r="I511"/>
      <c r="S511" s="2"/>
    </row>
    <row r="512" spans="3:19" x14ac:dyDescent="0.3">
      <c r="C512"/>
      <c r="D512"/>
      <c r="E512"/>
      <c r="F512"/>
      <c r="G512"/>
      <c r="H512"/>
      <c r="I512"/>
      <c r="S512" s="2"/>
    </row>
    <row r="513" spans="3:19" x14ac:dyDescent="0.3">
      <c r="C513"/>
      <c r="D513"/>
      <c r="E513"/>
      <c r="F513"/>
      <c r="G513"/>
      <c r="H513"/>
      <c r="I513"/>
      <c r="S513" s="2"/>
    </row>
    <row r="514" spans="3:19" x14ac:dyDescent="0.3">
      <c r="C514"/>
      <c r="D514"/>
      <c r="E514"/>
      <c r="F514"/>
      <c r="G514"/>
      <c r="H514"/>
      <c r="I514"/>
      <c r="S514" s="2"/>
    </row>
    <row r="515" spans="3:19" x14ac:dyDescent="0.3">
      <c r="C515"/>
      <c r="D515"/>
      <c r="E515"/>
      <c r="F515"/>
      <c r="G515"/>
      <c r="H515"/>
      <c r="I515"/>
      <c r="S515" s="2"/>
    </row>
    <row r="516" spans="3:19" x14ac:dyDescent="0.3">
      <c r="C516"/>
      <c r="D516"/>
      <c r="E516"/>
      <c r="F516"/>
      <c r="G516"/>
      <c r="H516"/>
      <c r="I516"/>
      <c r="S516" s="2"/>
    </row>
    <row r="517" spans="3:19" x14ac:dyDescent="0.3">
      <c r="C517"/>
      <c r="D517"/>
      <c r="E517"/>
      <c r="F517"/>
      <c r="G517"/>
      <c r="H517"/>
      <c r="I517"/>
      <c r="S517" s="2"/>
    </row>
    <row r="518" spans="3:19" x14ac:dyDescent="0.3">
      <c r="C518"/>
      <c r="D518"/>
      <c r="E518"/>
      <c r="F518"/>
      <c r="G518"/>
      <c r="H518"/>
      <c r="I518"/>
      <c r="S518" s="2"/>
    </row>
    <row r="519" spans="3:19" x14ac:dyDescent="0.3">
      <c r="C519"/>
      <c r="D519"/>
      <c r="E519"/>
      <c r="F519"/>
      <c r="G519"/>
      <c r="H519"/>
      <c r="I519"/>
      <c r="S519" s="2"/>
    </row>
    <row r="520" spans="3:19" x14ac:dyDescent="0.3">
      <c r="C520"/>
      <c r="D520"/>
      <c r="E520"/>
      <c r="F520"/>
      <c r="G520"/>
      <c r="H520"/>
      <c r="I520"/>
      <c r="S520" s="2"/>
    </row>
    <row r="521" spans="3:19" x14ac:dyDescent="0.3">
      <c r="C521"/>
      <c r="D521"/>
      <c r="E521"/>
      <c r="F521"/>
      <c r="G521"/>
      <c r="H521"/>
      <c r="I521"/>
      <c r="S521" s="2"/>
    </row>
    <row r="522" spans="3:19" x14ac:dyDescent="0.3">
      <c r="C522"/>
      <c r="D522"/>
      <c r="E522"/>
      <c r="F522"/>
      <c r="G522"/>
      <c r="H522"/>
      <c r="I522"/>
      <c r="S522" s="2"/>
    </row>
    <row r="523" spans="3:19" x14ac:dyDescent="0.3">
      <c r="C523"/>
      <c r="D523"/>
      <c r="E523"/>
      <c r="F523"/>
      <c r="G523"/>
      <c r="H523"/>
      <c r="I523"/>
      <c r="S523" s="2"/>
    </row>
    <row r="524" spans="3:19" x14ac:dyDescent="0.3">
      <c r="C524"/>
      <c r="D524"/>
      <c r="E524"/>
      <c r="F524"/>
      <c r="G524"/>
      <c r="H524"/>
      <c r="I524"/>
      <c r="S524" s="2"/>
    </row>
    <row r="525" spans="3:19" x14ac:dyDescent="0.3">
      <c r="C525"/>
      <c r="D525"/>
      <c r="E525"/>
      <c r="F525"/>
      <c r="G525"/>
      <c r="H525"/>
      <c r="I525"/>
      <c r="S525" s="2"/>
    </row>
    <row r="526" spans="3:19" x14ac:dyDescent="0.3">
      <c r="C526"/>
      <c r="D526"/>
      <c r="E526"/>
      <c r="F526"/>
      <c r="G526"/>
      <c r="H526"/>
      <c r="I526"/>
      <c r="S526" s="2"/>
    </row>
    <row r="527" spans="3:19" x14ac:dyDescent="0.3">
      <c r="C527"/>
      <c r="D527"/>
      <c r="E527"/>
      <c r="F527"/>
      <c r="G527"/>
      <c r="H527"/>
      <c r="I527"/>
      <c r="S527" s="2"/>
    </row>
    <row r="528" spans="3:19" x14ac:dyDescent="0.3">
      <c r="C528"/>
      <c r="D528"/>
      <c r="E528"/>
      <c r="F528"/>
      <c r="G528"/>
      <c r="H528"/>
      <c r="I528"/>
      <c r="S528" s="2"/>
    </row>
    <row r="529" spans="3:19" x14ac:dyDescent="0.3">
      <c r="C529"/>
      <c r="D529"/>
      <c r="E529"/>
      <c r="F529"/>
      <c r="G529"/>
      <c r="H529"/>
      <c r="I529"/>
      <c r="S529" s="2"/>
    </row>
    <row r="530" spans="3:19" x14ac:dyDescent="0.3">
      <c r="C530"/>
      <c r="D530"/>
      <c r="E530"/>
      <c r="F530"/>
      <c r="G530"/>
      <c r="H530"/>
      <c r="I530"/>
      <c r="S530" s="2"/>
    </row>
    <row r="531" spans="3:19" x14ac:dyDescent="0.3">
      <c r="C531"/>
      <c r="D531"/>
      <c r="E531"/>
      <c r="F531"/>
      <c r="G531"/>
      <c r="H531"/>
      <c r="I531"/>
      <c r="S531" s="2"/>
    </row>
    <row r="532" spans="3:19" x14ac:dyDescent="0.3">
      <c r="C532"/>
      <c r="D532"/>
      <c r="E532"/>
      <c r="F532"/>
      <c r="G532"/>
      <c r="H532"/>
      <c r="I532"/>
      <c r="S532" s="2"/>
    </row>
    <row r="533" spans="3:19" x14ac:dyDescent="0.3">
      <c r="C533"/>
      <c r="D533"/>
      <c r="E533"/>
      <c r="F533"/>
      <c r="G533"/>
      <c r="H533"/>
      <c r="I533"/>
      <c r="S533" s="2"/>
    </row>
    <row r="534" spans="3:19" x14ac:dyDescent="0.3">
      <c r="C534"/>
      <c r="D534"/>
      <c r="E534"/>
      <c r="F534"/>
      <c r="G534"/>
      <c r="H534"/>
      <c r="I534"/>
      <c r="S534" s="2"/>
    </row>
    <row r="535" spans="3:19" x14ac:dyDescent="0.3">
      <c r="C535"/>
      <c r="D535"/>
      <c r="E535"/>
      <c r="F535"/>
      <c r="G535"/>
      <c r="H535"/>
      <c r="I535"/>
      <c r="S535" s="2"/>
    </row>
    <row r="536" spans="3:19" x14ac:dyDescent="0.3">
      <c r="C536"/>
      <c r="D536"/>
      <c r="E536"/>
      <c r="F536"/>
      <c r="G536"/>
      <c r="H536"/>
      <c r="I536"/>
      <c r="S536" s="2"/>
    </row>
    <row r="537" spans="3:19" x14ac:dyDescent="0.3">
      <c r="C537"/>
      <c r="D537"/>
      <c r="E537"/>
      <c r="F537"/>
      <c r="G537"/>
      <c r="H537"/>
      <c r="I537"/>
      <c r="S537" s="2"/>
    </row>
    <row r="538" spans="3:19" x14ac:dyDescent="0.3">
      <c r="C538"/>
      <c r="D538"/>
      <c r="E538"/>
      <c r="F538"/>
      <c r="G538"/>
      <c r="H538"/>
      <c r="I538"/>
      <c r="S538" s="2"/>
    </row>
    <row r="539" spans="3:19" x14ac:dyDescent="0.3">
      <c r="C539"/>
      <c r="D539"/>
      <c r="E539"/>
      <c r="F539"/>
      <c r="G539"/>
      <c r="H539"/>
      <c r="I539"/>
      <c r="S539" s="2"/>
    </row>
    <row r="540" spans="3:19" x14ac:dyDescent="0.3">
      <c r="C540"/>
      <c r="D540"/>
      <c r="E540"/>
      <c r="F540"/>
      <c r="G540"/>
      <c r="H540"/>
      <c r="I540"/>
      <c r="S540" s="2"/>
    </row>
    <row r="541" spans="3:19" x14ac:dyDescent="0.3">
      <c r="C541"/>
      <c r="D541"/>
      <c r="E541"/>
      <c r="F541"/>
      <c r="G541"/>
      <c r="H541"/>
      <c r="I541"/>
      <c r="S541" s="2"/>
    </row>
    <row r="542" spans="3:19" x14ac:dyDescent="0.3">
      <c r="C542"/>
      <c r="D542"/>
      <c r="E542"/>
      <c r="F542"/>
      <c r="G542"/>
      <c r="H542"/>
      <c r="I542"/>
      <c r="S542" s="2"/>
    </row>
    <row r="543" spans="3:19" x14ac:dyDescent="0.3">
      <c r="C543"/>
      <c r="D543"/>
      <c r="E543"/>
      <c r="F543"/>
      <c r="G543"/>
      <c r="H543"/>
      <c r="I543"/>
      <c r="S543" s="2"/>
    </row>
    <row r="544" spans="3:19" x14ac:dyDescent="0.3">
      <c r="C544"/>
      <c r="D544"/>
      <c r="E544"/>
      <c r="F544"/>
      <c r="G544"/>
      <c r="H544"/>
      <c r="I544"/>
      <c r="S544" s="2"/>
    </row>
    <row r="545" spans="3:19" x14ac:dyDescent="0.3">
      <c r="C545"/>
      <c r="D545"/>
      <c r="E545"/>
      <c r="F545"/>
      <c r="G545"/>
      <c r="H545"/>
      <c r="I545"/>
      <c r="S545" s="2"/>
    </row>
    <row r="546" spans="3:19" x14ac:dyDescent="0.3">
      <c r="C546"/>
      <c r="D546"/>
      <c r="E546"/>
      <c r="F546"/>
      <c r="G546"/>
      <c r="H546"/>
      <c r="I546"/>
      <c r="S546" s="2"/>
    </row>
    <row r="547" spans="3:19" x14ac:dyDescent="0.3">
      <c r="C547"/>
      <c r="D547"/>
      <c r="E547"/>
      <c r="F547"/>
      <c r="G547"/>
      <c r="H547"/>
      <c r="I547"/>
      <c r="S547" s="2"/>
    </row>
    <row r="548" spans="3:19" x14ac:dyDescent="0.3">
      <c r="C548"/>
      <c r="D548"/>
      <c r="E548"/>
      <c r="F548"/>
      <c r="G548"/>
      <c r="H548"/>
      <c r="I548"/>
      <c r="S548" s="2"/>
    </row>
    <row r="549" spans="3:19" x14ac:dyDescent="0.3">
      <c r="C549"/>
      <c r="D549"/>
      <c r="E549"/>
      <c r="F549"/>
      <c r="G549"/>
      <c r="H549"/>
      <c r="I549"/>
      <c r="S549" s="2"/>
    </row>
    <row r="550" spans="3:19" x14ac:dyDescent="0.3">
      <c r="C550"/>
      <c r="D550"/>
      <c r="E550"/>
      <c r="F550"/>
      <c r="G550"/>
      <c r="H550"/>
      <c r="I550"/>
      <c r="S550" s="2"/>
    </row>
    <row r="551" spans="3:19" x14ac:dyDescent="0.3">
      <c r="C551"/>
      <c r="D551"/>
      <c r="E551"/>
      <c r="F551"/>
      <c r="G551"/>
      <c r="H551"/>
      <c r="I551"/>
      <c r="S551" s="2"/>
    </row>
    <row r="552" spans="3:19" x14ac:dyDescent="0.3">
      <c r="C552"/>
      <c r="D552"/>
      <c r="E552"/>
      <c r="F552"/>
      <c r="G552"/>
      <c r="H552"/>
      <c r="I552"/>
      <c r="S552" s="2"/>
    </row>
    <row r="553" spans="3:19" x14ac:dyDescent="0.3">
      <c r="C553"/>
      <c r="D553"/>
      <c r="E553"/>
      <c r="F553"/>
      <c r="G553"/>
      <c r="H553"/>
      <c r="I553"/>
      <c r="S553" s="2"/>
    </row>
    <row r="554" spans="3:19" x14ac:dyDescent="0.3">
      <c r="C554"/>
      <c r="D554"/>
      <c r="E554"/>
      <c r="F554"/>
      <c r="G554"/>
      <c r="H554"/>
      <c r="I554"/>
      <c r="S554" s="2"/>
    </row>
    <row r="555" spans="3:19" x14ac:dyDescent="0.3">
      <c r="C555"/>
      <c r="D555"/>
      <c r="E555"/>
      <c r="F555"/>
      <c r="G555"/>
      <c r="H555"/>
      <c r="I555"/>
      <c r="S555" s="2"/>
    </row>
    <row r="556" spans="3:19" x14ac:dyDescent="0.3">
      <c r="C556"/>
      <c r="D556"/>
      <c r="E556"/>
      <c r="F556"/>
      <c r="G556"/>
      <c r="H556"/>
      <c r="I556"/>
      <c r="S556" s="2"/>
    </row>
    <row r="557" spans="3:19" x14ac:dyDescent="0.3">
      <c r="C557"/>
      <c r="D557"/>
      <c r="E557"/>
      <c r="F557"/>
      <c r="G557"/>
      <c r="H557"/>
      <c r="I557"/>
      <c r="S557" s="2"/>
    </row>
    <row r="558" spans="3:19" x14ac:dyDescent="0.3">
      <c r="C558"/>
      <c r="D558"/>
      <c r="E558"/>
      <c r="F558"/>
      <c r="G558"/>
      <c r="H558"/>
      <c r="I558"/>
      <c r="S558" s="2"/>
    </row>
    <row r="559" spans="3:19" x14ac:dyDescent="0.3">
      <c r="C559"/>
      <c r="D559"/>
      <c r="E559"/>
      <c r="F559"/>
      <c r="G559"/>
      <c r="H559"/>
      <c r="I559"/>
      <c r="S559" s="2"/>
    </row>
    <row r="560" spans="3:19" x14ac:dyDescent="0.3">
      <c r="C560"/>
      <c r="D560"/>
      <c r="E560"/>
      <c r="F560"/>
      <c r="G560"/>
      <c r="H560"/>
      <c r="I560"/>
      <c r="S560" s="2"/>
    </row>
    <row r="561" spans="3:19" x14ac:dyDescent="0.3">
      <c r="C561"/>
      <c r="D561"/>
      <c r="E561"/>
      <c r="F561"/>
      <c r="G561"/>
      <c r="H561"/>
      <c r="I561"/>
      <c r="S561" s="2"/>
    </row>
    <row r="562" spans="3:19" x14ac:dyDescent="0.3">
      <c r="C562"/>
      <c r="D562"/>
      <c r="E562"/>
      <c r="F562"/>
      <c r="G562"/>
      <c r="H562"/>
      <c r="I562"/>
      <c r="S562" s="2"/>
    </row>
    <row r="563" spans="3:19" x14ac:dyDescent="0.3">
      <c r="C563"/>
      <c r="D563"/>
      <c r="E563"/>
      <c r="F563"/>
      <c r="G563"/>
      <c r="H563"/>
      <c r="I563"/>
      <c r="S563" s="2"/>
    </row>
    <row r="564" spans="3:19" x14ac:dyDescent="0.3">
      <c r="C564"/>
      <c r="D564"/>
      <c r="E564"/>
      <c r="F564"/>
      <c r="G564"/>
      <c r="H564"/>
      <c r="I564"/>
      <c r="S564" s="2"/>
    </row>
    <row r="565" spans="3:19" x14ac:dyDescent="0.3">
      <c r="C565"/>
      <c r="D565"/>
      <c r="E565"/>
      <c r="F565"/>
      <c r="G565"/>
      <c r="H565"/>
      <c r="I565"/>
      <c r="S565" s="2"/>
    </row>
    <row r="566" spans="3:19" x14ac:dyDescent="0.3">
      <c r="C566"/>
      <c r="D566"/>
      <c r="E566"/>
      <c r="F566"/>
      <c r="G566"/>
      <c r="H566"/>
      <c r="I566"/>
      <c r="S566" s="2"/>
    </row>
    <row r="567" spans="3:19" x14ac:dyDescent="0.3">
      <c r="C567"/>
      <c r="D567"/>
      <c r="E567"/>
      <c r="F567"/>
      <c r="G567"/>
      <c r="H567"/>
      <c r="I567"/>
      <c r="S567" s="2"/>
    </row>
    <row r="568" spans="3:19" x14ac:dyDescent="0.3">
      <c r="C568"/>
      <c r="D568"/>
      <c r="E568"/>
      <c r="F568"/>
      <c r="G568"/>
      <c r="H568"/>
      <c r="I568"/>
      <c r="S568" s="2"/>
    </row>
    <row r="569" spans="3:19" x14ac:dyDescent="0.3">
      <c r="C569"/>
      <c r="D569"/>
      <c r="E569"/>
      <c r="F569"/>
      <c r="G569"/>
      <c r="H569"/>
      <c r="I569"/>
      <c r="S569" s="2"/>
    </row>
    <row r="570" spans="3:19" x14ac:dyDescent="0.3">
      <c r="C570"/>
      <c r="D570"/>
      <c r="E570"/>
      <c r="F570"/>
      <c r="G570"/>
      <c r="H570"/>
      <c r="I570"/>
      <c r="S570" s="2"/>
    </row>
    <row r="571" spans="3:19" x14ac:dyDescent="0.3">
      <c r="C571"/>
      <c r="D571"/>
      <c r="E571"/>
      <c r="F571"/>
      <c r="G571"/>
      <c r="H571"/>
      <c r="I571"/>
      <c r="S571" s="2"/>
    </row>
    <row r="572" spans="3:19" x14ac:dyDescent="0.3">
      <c r="C572"/>
      <c r="D572"/>
      <c r="E572"/>
      <c r="F572"/>
      <c r="G572"/>
      <c r="H572"/>
      <c r="I572"/>
      <c r="S572" s="2"/>
    </row>
    <row r="573" spans="3:19" x14ac:dyDescent="0.3">
      <c r="C573"/>
      <c r="D573"/>
      <c r="E573"/>
      <c r="F573"/>
      <c r="G573"/>
      <c r="H573"/>
      <c r="I573"/>
      <c r="S573" s="2"/>
    </row>
    <row r="574" spans="3:19" x14ac:dyDescent="0.3">
      <c r="C574"/>
      <c r="D574"/>
      <c r="E574"/>
      <c r="F574"/>
      <c r="G574"/>
      <c r="H574"/>
      <c r="I574"/>
      <c r="S574" s="2"/>
    </row>
    <row r="575" spans="3:19" x14ac:dyDescent="0.3">
      <c r="C575"/>
      <c r="D575"/>
      <c r="E575"/>
      <c r="F575"/>
      <c r="G575"/>
      <c r="H575"/>
      <c r="I575"/>
      <c r="S575" s="2"/>
    </row>
    <row r="576" spans="3:19" x14ac:dyDescent="0.3">
      <c r="C576"/>
      <c r="D576"/>
      <c r="E576"/>
      <c r="F576"/>
      <c r="G576"/>
      <c r="H576"/>
      <c r="I576"/>
      <c r="S576" s="2"/>
    </row>
    <row r="577" spans="3:19" x14ac:dyDescent="0.3">
      <c r="C577"/>
      <c r="D577"/>
      <c r="E577"/>
      <c r="F577"/>
      <c r="G577"/>
      <c r="H577"/>
      <c r="I577"/>
      <c r="S577" s="2"/>
    </row>
    <row r="578" spans="3:19" x14ac:dyDescent="0.3">
      <c r="C578"/>
      <c r="D578"/>
      <c r="E578"/>
      <c r="F578"/>
      <c r="G578"/>
      <c r="H578"/>
      <c r="I578"/>
      <c r="S578" s="2"/>
    </row>
    <row r="579" spans="3:19" x14ac:dyDescent="0.3">
      <c r="C579"/>
      <c r="D579"/>
      <c r="E579"/>
      <c r="F579"/>
      <c r="G579"/>
      <c r="H579"/>
      <c r="I579"/>
      <c r="S579" s="2"/>
    </row>
    <row r="580" spans="3:19" x14ac:dyDescent="0.3">
      <c r="C580"/>
      <c r="D580"/>
      <c r="E580"/>
      <c r="F580"/>
      <c r="G580"/>
      <c r="H580"/>
      <c r="I580"/>
      <c r="S580" s="2"/>
    </row>
    <row r="581" spans="3:19" x14ac:dyDescent="0.3">
      <c r="C581"/>
      <c r="D581"/>
      <c r="E581"/>
      <c r="F581"/>
      <c r="G581"/>
      <c r="H581"/>
      <c r="I581"/>
      <c r="S581" s="2"/>
    </row>
    <row r="582" spans="3:19" x14ac:dyDescent="0.3">
      <c r="C582"/>
      <c r="D582"/>
      <c r="E582"/>
      <c r="F582"/>
      <c r="G582"/>
      <c r="H582"/>
      <c r="I582"/>
      <c r="S582" s="2"/>
    </row>
    <row r="583" spans="3:19" x14ac:dyDescent="0.3">
      <c r="C583"/>
      <c r="D583"/>
      <c r="E583"/>
      <c r="F583"/>
      <c r="G583"/>
      <c r="H583"/>
      <c r="I583"/>
      <c r="S583" s="2"/>
    </row>
    <row r="584" spans="3:19" x14ac:dyDescent="0.3">
      <c r="C584"/>
      <c r="D584"/>
      <c r="E584"/>
      <c r="F584"/>
      <c r="G584"/>
      <c r="H584"/>
      <c r="I584"/>
      <c r="S584" s="2"/>
    </row>
    <row r="585" spans="3:19" x14ac:dyDescent="0.3">
      <c r="C585"/>
      <c r="D585"/>
      <c r="E585"/>
      <c r="F585"/>
      <c r="G585"/>
      <c r="H585"/>
      <c r="I585"/>
      <c r="S585" s="2"/>
    </row>
    <row r="586" spans="3:19" x14ac:dyDescent="0.3">
      <c r="C586"/>
      <c r="D586"/>
      <c r="E586"/>
      <c r="F586"/>
      <c r="G586"/>
      <c r="H586"/>
      <c r="I586"/>
      <c r="S586" s="2"/>
    </row>
    <row r="587" spans="3:19" x14ac:dyDescent="0.3">
      <c r="C587"/>
      <c r="D587"/>
      <c r="E587"/>
      <c r="F587"/>
      <c r="G587"/>
      <c r="H587"/>
      <c r="I587"/>
      <c r="S587" s="2"/>
    </row>
    <row r="588" spans="3:19" x14ac:dyDescent="0.3">
      <c r="C588"/>
      <c r="D588"/>
      <c r="E588"/>
      <c r="F588"/>
      <c r="G588"/>
      <c r="H588"/>
      <c r="I588"/>
      <c r="S588" s="2"/>
    </row>
    <row r="589" spans="3:19" x14ac:dyDescent="0.3">
      <c r="C589"/>
      <c r="D589"/>
      <c r="E589"/>
      <c r="F589"/>
      <c r="G589"/>
      <c r="H589"/>
      <c r="I589"/>
      <c r="S589" s="2"/>
    </row>
    <row r="590" spans="3:19" x14ac:dyDescent="0.3">
      <c r="C590"/>
      <c r="D590"/>
      <c r="E590"/>
      <c r="F590"/>
      <c r="G590"/>
      <c r="H590"/>
      <c r="I590"/>
      <c r="S590" s="2"/>
    </row>
    <row r="591" spans="3:19" x14ac:dyDescent="0.3">
      <c r="C591"/>
      <c r="D591"/>
      <c r="E591"/>
      <c r="F591"/>
      <c r="G591"/>
      <c r="H591"/>
      <c r="I591"/>
      <c r="S591" s="2"/>
    </row>
    <row r="592" spans="3:19" x14ac:dyDescent="0.3">
      <c r="C592"/>
      <c r="D592"/>
      <c r="E592"/>
      <c r="F592"/>
      <c r="G592"/>
      <c r="H592"/>
      <c r="I592"/>
      <c r="S592" s="2"/>
    </row>
    <row r="593" spans="3:19" x14ac:dyDescent="0.3">
      <c r="C593"/>
      <c r="D593"/>
      <c r="E593"/>
      <c r="F593"/>
      <c r="G593"/>
      <c r="H593"/>
      <c r="I593"/>
      <c r="S593" s="2"/>
    </row>
    <row r="594" spans="3:19" x14ac:dyDescent="0.3">
      <c r="C594"/>
      <c r="D594"/>
      <c r="E594"/>
      <c r="F594"/>
      <c r="G594"/>
      <c r="H594"/>
      <c r="I594"/>
      <c r="S594" s="2"/>
    </row>
    <row r="595" spans="3:19" x14ac:dyDescent="0.3">
      <c r="C595"/>
      <c r="D595"/>
      <c r="E595"/>
      <c r="F595"/>
      <c r="G595"/>
      <c r="H595"/>
      <c r="I595"/>
      <c r="S595" s="2"/>
    </row>
    <row r="596" spans="3:19" x14ac:dyDescent="0.3">
      <c r="C596"/>
      <c r="D596"/>
      <c r="E596"/>
      <c r="F596"/>
      <c r="G596"/>
      <c r="H596"/>
      <c r="I596"/>
      <c r="S596" s="2"/>
    </row>
    <row r="597" spans="3:19" x14ac:dyDescent="0.3">
      <c r="C597"/>
      <c r="D597"/>
      <c r="E597"/>
      <c r="F597"/>
      <c r="G597"/>
      <c r="H597"/>
      <c r="I597"/>
      <c r="S597" s="2"/>
    </row>
    <row r="598" spans="3:19" x14ac:dyDescent="0.3">
      <c r="C598"/>
      <c r="D598"/>
      <c r="E598"/>
      <c r="F598"/>
      <c r="G598"/>
      <c r="H598"/>
      <c r="I598"/>
      <c r="S598" s="2"/>
    </row>
    <row r="599" spans="3:19" x14ac:dyDescent="0.3">
      <c r="C599"/>
      <c r="D599"/>
      <c r="E599"/>
      <c r="F599"/>
      <c r="G599"/>
      <c r="H599"/>
      <c r="I599"/>
      <c r="S599" s="2"/>
    </row>
    <row r="600" spans="3:19" x14ac:dyDescent="0.3">
      <c r="C600"/>
      <c r="D600"/>
      <c r="E600"/>
      <c r="F600"/>
      <c r="G600"/>
      <c r="H600"/>
      <c r="I600"/>
      <c r="S600" s="2"/>
    </row>
    <row r="601" spans="3:19" x14ac:dyDescent="0.3">
      <c r="C601"/>
      <c r="D601"/>
      <c r="E601"/>
      <c r="F601"/>
      <c r="G601"/>
      <c r="H601"/>
      <c r="I601"/>
      <c r="S601" s="2"/>
    </row>
    <row r="602" spans="3:19" x14ac:dyDescent="0.3">
      <c r="C602"/>
      <c r="D602"/>
      <c r="E602"/>
      <c r="F602"/>
      <c r="G602"/>
      <c r="H602"/>
      <c r="I602"/>
      <c r="S602" s="2"/>
    </row>
    <row r="603" spans="3:19" x14ac:dyDescent="0.3">
      <c r="C603"/>
      <c r="D603"/>
      <c r="E603"/>
      <c r="F603"/>
      <c r="G603"/>
      <c r="H603"/>
      <c r="I603"/>
      <c r="S603" s="2"/>
    </row>
    <row r="604" spans="3:19" x14ac:dyDescent="0.3">
      <c r="C604"/>
      <c r="D604"/>
      <c r="E604"/>
      <c r="F604"/>
      <c r="G604"/>
      <c r="H604"/>
      <c r="I604"/>
      <c r="S604" s="2"/>
    </row>
    <row r="605" spans="3:19" x14ac:dyDescent="0.3">
      <c r="C605"/>
      <c r="D605"/>
      <c r="E605"/>
      <c r="F605"/>
      <c r="G605"/>
      <c r="H605"/>
      <c r="I605"/>
      <c r="S605" s="2"/>
    </row>
    <row r="606" spans="3:19" x14ac:dyDescent="0.3">
      <c r="C606"/>
      <c r="D606"/>
      <c r="E606"/>
      <c r="F606"/>
      <c r="G606"/>
      <c r="H606"/>
      <c r="I606"/>
      <c r="S606" s="2"/>
    </row>
    <row r="607" spans="3:19" x14ac:dyDescent="0.3">
      <c r="C607"/>
      <c r="D607"/>
      <c r="E607"/>
      <c r="F607"/>
      <c r="G607"/>
      <c r="H607"/>
      <c r="I607"/>
      <c r="S607" s="2"/>
    </row>
    <row r="608" spans="3:19" x14ac:dyDescent="0.3">
      <c r="C608"/>
      <c r="D608"/>
      <c r="E608"/>
      <c r="F608"/>
      <c r="G608"/>
      <c r="H608"/>
      <c r="I608"/>
      <c r="S608" s="2"/>
    </row>
    <row r="609" spans="3:19" x14ac:dyDescent="0.3">
      <c r="C609"/>
      <c r="D609"/>
      <c r="E609"/>
      <c r="F609"/>
      <c r="G609"/>
      <c r="H609"/>
      <c r="I609"/>
      <c r="S609" s="2"/>
    </row>
    <row r="610" spans="3:19" x14ac:dyDescent="0.3">
      <c r="C610"/>
      <c r="D610"/>
      <c r="E610"/>
      <c r="F610"/>
      <c r="G610"/>
      <c r="H610"/>
      <c r="I610"/>
      <c r="S610" s="2"/>
    </row>
    <row r="611" spans="3:19" x14ac:dyDescent="0.3">
      <c r="C611"/>
      <c r="D611"/>
      <c r="E611"/>
      <c r="F611"/>
      <c r="G611"/>
      <c r="H611"/>
      <c r="I611"/>
      <c r="S611" s="2"/>
    </row>
    <row r="612" spans="3:19" x14ac:dyDescent="0.3">
      <c r="C612"/>
      <c r="D612"/>
      <c r="E612"/>
      <c r="F612"/>
      <c r="G612"/>
      <c r="H612"/>
      <c r="I612"/>
      <c r="S612" s="2"/>
    </row>
    <row r="613" spans="3:19" x14ac:dyDescent="0.3">
      <c r="C613"/>
      <c r="D613"/>
      <c r="E613"/>
      <c r="F613"/>
      <c r="G613"/>
      <c r="H613"/>
      <c r="I613"/>
      <c r="S613" s="2"/>
    </row>
    <row r="614" spans="3:19" x14ac:dyDescent="0.3">
      <c r="C614"/>
      <c r="D614"/>
      <c r="E614"/>
      <c r="F614"/>
      <c r="G614"/>
      <c r="H614"/>
      <c r="I614"/>
      <c r="S614" s="2"/>
    </row>
    <row r="615" spans="3:19" x14ac:dyDescent="0.3">
      <c r="C615"/>
      <c r="D615"/>
      <c r="E615"/>
      <c r="F615"/>
      <c r="G615"/>
      <c r="H615"/>
      <c r="I615"/>
      <c r="S615" s="2"/>
    </row>
    <row r="616" spans="3:19" x14ac:dyDescent="0.3">
      <c r="C616"/>
      <c r="D616"/>
      <c r="E616"/>
      <c r="F616"/>
      <c r="G616"/>
      <c r="H616"/>
      <c r="I616"/>
      <c r="S616" s="2"/>
    </row>
    <row r="617" spans="3:19" x14ac:dyDescent="0.3">
      <c r="C617"/>
      <c r="D617"/>
      <c r="E617"/>
      <c r="F617"/>
      <c r="G617"/>
      <c r="H617"/>
      <c r="I617"/>
      <c r="S617" s="2"/>
    </row>
    <row r="618" spans="3:19" x14ac:dyDescent="0.3">
      <c r="C618"/>
      <c r="D618"/>
      <c r="E618"/>
      <c r="F618"/>
      <c r="G618"/>
      <c r="H618"/>
      <c r="I618"/>
      <c r="S618" s="2"/>
    </row>
    <row r="619" spans="3:19" x14ac:dyDescent="0.3">
      <c r="C619"/>
      <c r="D619"/>
      <c r="E619"/>
      <c r="F619"/>
      <c r="G619"/>
      <c r="H619"/>
      <c r="I619"/>
      <c r="S619" s="2"/>
    </row>
    <row r="620" spans="3:19" x14ac:dyDescent="0.3">
      <c r="C620"/>
      <c r="D620"/>
      <c r="E620"/>
      <c r="F620"/>
      <c r="G620"/>
      <c r="H620"/>
      <c r="I620"/>
      <c r="S620" s="2"/>
    </row>
    <row r="621" spans="3:19" x14ac:dyDescent="0.3">
      <c r="C621"/>
      <c r="D621"/>
      <c r="E621"/>
      <c r="F621"/>
      <c r="G621"/>
      <c r="H621"/>
      <c r="I621"/>
      <c r="S621" s="2"/>
    </row>
    <row r="622" spans="3:19" x14ac:dyDescent="0.3">
      <c r="C622"/>
      <c r="D622"/>
      <c r="E622"/>
      <c r="F622"/>
      <c r="G622"/>
      <c r="H622"/>
      <c r="I622"/>
      <c r="S622" s="2"/>
    </row>
    <row r="623" spans="3:19" x14ac:dyDescent="0.3">
      <c r="C623"/>
      <c r="D623"/>
      <c r="E623"/>
      <c r="F623"/>
      <c r="G623"/>
      <c r="H623"/>
      <c r="I623"/>
      <c r="S623" s="2"/>
    </row>
    <row r="624" spans="3:19" x14ac:dyDescent="0.3">
      <c r="C624"/>
      <c r="D624"/>
      <c r="E624"/>
      <c r="F624"/>
      <c r="G624"/>
      <c r="H624"/>
      <c r="I624"/>
      <c r="S624" s="2"/>
    </row>
    <row r="625" spans="3:19" x14ac:dyDescent="0.3">
      <c r="C625"/>
      <c r="D625"/>
      <c r="E625"/>
      <c r="F625"/>
      <c r="G625"/>
      <c r="H625"/>
      <c r="I625"/>
      <c r="S625" s="2"/>
    </row>
    <row r="626" spans="3:19" x14ac:dyDescent="0.3">
      <c r="C626"/>
      <c r="D626"/>
      <c r="E626"/>
      <c r="F626"/>
      <c r="G626"/>
      <c r="H626"/>
      <c r="I626"/>
      <c r="S626" s="2"/>
    </row>
    <row r="627" spans="3:19" x14ac:dyDescent="0.3">
      <c r="C627"/>
      <c r="D627"/>
      <c r="E627"/>
      <c r="F627"/>
      <c r="G627"/>
      <c r="H627"/>
      <c r="I627"/>
      <c r="S627" s="2"/>
    </row>
    <row r="628" spans="3:19" x14ac:dyDescent="0.3">
      <c r="C628"/>
      <c r="D628"/>
      <c r="E628"/>
      <c r="F628"/>
      <c r="G628"/>
      <c r="H628"/>
      <c r="I628"/>
      <c r="S628" s="2"/>
    </row>
    <row r="629" spans="3:19" x14ac:dyDescent="0.3">
      <c r="C629"/>
      <c r="D629"/>
      <c r="E629"/>
      <c r="F629"/>
      <c r="G629"/>
      <c r="H629"/>
      <c r="I629"/>
      <c r="S629" s="2"/>
    </row>
    <row r="630" spans="3:19" x14ac:dyDescent="0.3">
      <c r="C630"/>
      <c r="D630"/>
      <c r="E630"/>
      <c r="F630"/>
      <c r="G630"/>
      <c r="H630"/>
      <c r="I630"/>
      <c r="S630" s="2"/>
    </row>
    <row r="631" spans="3:19" x14ac:dyDescent="0.3">
      <c r="C631"/>
      <c r="D631"/>
      <c r="E631"/>
      <c r="F631"/>
      <c r="G631"/>
      <c r="H631"/>
      <c r="I631"/>
      <c r="S631" s="2"/>
    </row>
    <row r="632" spans="3:19" x14ac:dyDescent="0.3">
      <c r="C632"/>
      <c r="D632"/>
      <c r="E632"/>
      <c r="F632"/>
      <c r="G632"/>
      <c r="H632"/>
      <c r="I632"/>
      <c r="S632" s="2"/>
    </row>
    <row r="633" spans="3:19" x14ac:dyDescent="0.3">
      <c r="C633"/>
      <c r="D633"/>
      <c r="E633"/>
      <c r="F633"/>
      <c r="G633"/>
      <c r="H633"/>
      <c r="I633"/>
      <c r="S633" s="2"/>
    </row>
    <row r="634" spans="3:19" x14ac:dyDescent="0.3">
      <c r="C634"/>
      <c r="D634"/>
      <c r="E634"/>
      <c r="F634"/>
      <c r="G634"/>
      <c r="H634"/>
      <c r="I634"/>
      <c r="S634" s="2"/>
    </row>
    <row r="635" spans="3:19" x14ac:dyDescent="0.3">
      <c r="C635"/>
      <c r="D635"/>
      <c r="E635"/>
      <c r="F635"/>
      <c r="G635"/>
      <c r="H635"/>
      <c r="I635"/>
      <c r="S635" s="2"/>
    </row>
    <row r="636" spans="3:19" x14ac:dyDescent="0.3">
      <c r="C636"/>
      <c r="D636"/>
      <c r="E636"/>
      <c r="F636"/>
      <c r="G636"/>
      <c r="H636"/>
      <c r="I636"/>
      <c r="S636" s="2"/>
    </row>
    <row r="637" spans="3:19" x14ac:dyDescent="0.3">
      <c r="C637"/>
      <c r="D637"/>
      <c r="E637"/>
      <c r="F637"/>
      <c r="G637"/>
      <c r="H637"/>
      <c r="I637"/>
      <c r="S637" s="2"/>
    </row>
    <row r="638" spans="3:19" x14ac:dyDescent="0.3">
      <c r="C638"/>
      <c r="D638"/>
      <c r="E638"/>
      <c r="F638"/>
      <c r="G638"/>
      <c r="H638"/>
      <c r="I638"/>
      <c r="S638" s="2"/>
    </row>
    <row r="639" spans="3:19" x14ac:dyDescent="0.3">
      <c r="C639"/>
      <c r="D639"/>
      <c r="E639"/>
      <c r="F639"/>
      <c r="G639"/>
      <c r="H639"/>
      <c r="I639"/>
      <c r="S639" s="2"/>
    </row>
    <row r="640" spans="3:19" x14ac:dyDescent="0.3">
      <c r="C640"/>
      <c r="D640"/>
      <c r="E640"/>
      <c r="F640"/>
      <c r="G640"/>
      <c r="H640"/>
      <c r="I640"/>
      <c r="S640" s="2"/>
    </row>
    <row r="641" spans="3:19" x14ac:dyDescent="0.3">
      <c r="C641"/>
      <c r="D641"/>
      <c r="E641"/>
      <c r="F641"/>
      <c r="G641"/>
      <c r="H641"/>
      <c r="I641"/>
      <c r="S641" s="2"/>
    </row>
    <row r="642" spans="3:19" x14ac:dyDescent="0.3">
      <c r="C642"/>
      <c r="D642"/>
      <c r="E642"/>
      <c r="F642"/>
      <c r="G642"/>
      <c r="H642"/>
      <c r="I642"/>
      <c r="S642" s="2"/>
    </row>
    <row r="643" spans="3:19" x14ac:dyDescent="0.3">
      <c r="C643"/>
      <c r="D643"/>
      <c r="E643"/>
      <c r="F643"/>
      <c r="G643"/>
      <c r="H643"/>
      <c r="I643"/>
      <c r="S643" s="2"/>
    </row>
    <row r="644" spans="3:19" x14ac:dyDescent="0.3">
      <c r="C644"/>
      <c r="D644"/>
      <c r="E644"/>
      <c r="F644"/>
      <c r="G644"/>
      <c r="H644"/>
      <c r="I644"/>
      <c r="S644" s="2"/>
    </row>
    <row r="645" spans="3:19" x14ac:dyDescent="0.3">
      <c r="C645"/>
      <c r="D645"/>
      <c r="E645"/>
      <c r="F645"/>
      <c r="G645"/>
      <c r="H645"/>
      <c r="I645"/>
      <c r="S645" s="2"/>
    </row>
    <row r="646" spans="3:19" x14ac:dyDescent="0.3">
      <c r="C646"/>
      <c r="D646"/>
      <c r="E646"/>
      <c r="F646"/>
      <c r="G646"/>
      <c r="H646"/>
      <c r="I646"/>
      <c r="S646" s="2"/>
    </row>
    <row r="647" spans="3:19" x14ac:dyDescent="0.3">
      <c r="C647"/>
      <c r="D647"/>
      <c r="E647"/>
      <c r="F647"/>
      <c r="G647"/>
      <c r="H647"/>
      <c r="I647"/>
      <c r="S647" s="2"/>
    </row>
    <row r="648" spans="3:19" x14ac:dyDescent="0.3">
      <c r="C648"/>
      <c r="D648"/>
      <c r="E648"/>
      <c r="F648"/>
      <c r="G648"/>
      <c r="H648"/>
      <c r="I648"/>
      <c r="S648" s="2"/>
    </row>
    <row r="649" spans="3:19" x14ac:dyDescent="0.3">
      <c r="C649"/>
      <c r="D649"/>
      <c r="E649"/>
      <c r="F649"/>
      <c r="G649"/>
      <c r="H649"/>
      <c r="I649"/>
      <c r="S649" s="2"/>
    </row>
    <row r="650" spans="3:19" x14ac:dyDescent="0.3">
      <c r="C650"/>
      <c r="D650"/>
      <c r="E650"/>
      <c r="F650"/>
      <c r="G650"/>
      <c r="H650"/>
      <c r="I650"/>
      <c r="S650" s="2"/>
    </row>
    <row r="651" spans="3:19" x14ac:dyDescent="0.3">
      <c r="C651"/>
      <c r="D651"/>
      <c r="E651"/>
      <c r="F651"/>
      <c r="G651"/>
      <c r="H651"/>
      <c r="I651"/>
      <c r="S651" s="2"/>
    </row>
    <row r="652" spans="3:19" x14ac:dyDescent="0.3">
      <c r="C652"/>
      <c r="D652"/>
      <c r="E652"/>
      <c r="F652"/>
      <c r="G652"/>
      <c r="H652"/>
      <c r="I652"/>
      <c r="S652" s="2"/>
    </row>
    <row r="653" spans="3:19" x14ac:dyDescent="0.3">
      <c r="C653"/>
      <c r="D653"/>
      <c r="E653"/>
      <c r="F653"/>
      <c r="G653"/>
      <c r="H653"/>
      <c r="I653"/>
      <c r="S653" s="2"/>
    </row>
    <row r="654" spans="3:19" x14ac:dyDescent="0.3">
      <c r="C654"/>
      <c r="D654"/>
      <c r="E654"/>
      <c r="F654"/>
      <c r="G654"/>
      <c r="H654"/>
      <c r="I654"/>
      <c r="S654" s="2"/>
    </row>
    <row r="655" spans="3:19" x14ac:dyDescent="0.3">
      <c r="C655"/>
      <c r="D655"/>
      <c r="E655"/>
      <c r="F655"/>
      <c r="G655"/>
      <c r="H655"/>
      <c r="I655"/>
      <c r="S655" s="2"/>
    </row>
    <row r="656" spans="3:19" x14ac:dyDescent="0.3">
      <c r="C656"/>
      <c r="D656"/>
      <c r="E656"/>
      <c r="F656"/>
      <c r="G656"/>
      <c r="H656"/>
      <c r="I656"/>
      <c r="S656" s="2"/>
    </row>
    <row r="657" spans="3:19" x14ac:dyDescent="0.3">
      <c r="C657"/>
      <c r="D657"/>
      <c r="E657"/>
      <c r="F657"/>
      <c r="G657"/>
      <c r="H657"/>
      <c r="I657"/>
      <c r="S657" s="2"/>
    </row>
    <row r="658" spans="3:19" x14ac:dyDescent="0.3">
      <c r="C658"/>
      <c r="D658"/>
      <c r="E658"/>
      <c r="F658"/>
      <c r="G658"/>
      <c r="H658"/>
      <c r="I658"/>
      <c r="S658" s="2"/>
    </row>
    <row r="659" spans="3:19" x14ac:dyDescent="0.3">
      <c r="C659"/>
      <c r="D659"/>
      <c r="E659"/>
      <c r="F659"/>
      <c r="G659"/>
      <c r="H659"/>
      <c r="I659"/>
      <c r="S659" s="2"/>
    </row>
    <row r="660" spans="3:19" x14ac:dyDescent="0.3">
      <c r="C660"/>
      <c r="D660"/>
      <c r="E660"/>
      <c r="F660"/>
      <c r="G660"/>
      <c r="H660"/>
      <c r="I660"/>
      <c r="S660" s="2"/>
    </row>
    <row r="661" spans="3:19" x14ac:dyDescent="0.3">
      <c r="C661"/>
      <c r="D661"/>
      <c r="E661"/>
      <c r="F661"/>
      <c r="G661"/>
      <c r="H661"/>
      <c r="I661"/>
      <c r="S661" s="2"/>
    </row>
    <row r="662" spans="3:19" x14ac:dyDescent="0.3">
      <c r="C662"/>
      <c r="D662"/>
      <c r="E662"/>
      <c r="F662"/>
      <c r="G662"/>
      <c r="H662"/>
      <c r="I662"/>
      <c r="S662" s="2"/>
    </row>
    <row r="663" spans="3:19" x14ac:dyDescent="0.3">
      <c r="C663"/>
      <c r="D663"/>
      <c r="E663"/>
      <c r="F663"/>
      <c r="G663"/>
      <c r="H663"/>
      <c r="I663"/>
      <c r="S663" s="2"/>
    </row>
    <row r="664" spans="3:19" x14ac:dyDescent="0.3">
      <c r="C664"/>
      <c r="D664"/>
      <c r="E664"/>
      <c r="F664"/>
      <c r="G664"/>
      <c r="H664"/>
      <c r="I664"/>
      <c r="S664" s="2"/>
    </row>
    <row r="665" spans="3:19" x14ac:dyDescent="0.3">
      <c r="C665"/>
      <c r="D665"/>
      <c r="E665"/>
      <c r="F665"/>
      <c r="G665"/>
      <c r="H665"/>
      <c r="I665"/>
      <c r="S665" s="2"/>
    </row>
    <row r="666" spans="3:19" x14ac:dyDescent="0.3">
      <c r="C666"/>
      <c r="D666"/>
      <c r="E666"/>
      <c r="F666"/>
      <c r="G666"/>
      <c r="H666"/>
      <c r="I666"/>
      <c r="S666" s="2"/>
    </row>
    <row r="667" spans="3:19" x14ac:dyDescent="0.3">
      <c r="C667"/>
      <c r="D667"/>
      <c r="E667"/>
      <c r="F667"/>
      <c r="G667"/>
      <c r="H667"/>
      <c r="I667"/>
      <c r="S667" s="2"/>
    </row>
    <row r="668" spans="3:19" x14ac:dyDescent="0.3">
      <c r="C668"/>
      <c r="D668"/>
      <c r="E668"/>
      <c r="F668"/>
      <c r="G668"/>
      <c r="H668"/>
      <c r="I668"/>
      <c r="S668" s="2"/>
    </row>
    <row r="669" spans="3:19" x14ac:dyDescent="0.3">
      <c r="C669"/>
      <c r="D669"/>
      <c r="E669"/>
      <c r="F669"/>
      <c r="G669"/>
      <c r="H669"/>
      <c r="I669"/>
      <c r="S669" s="2"/>
    </row>
    <row r="670" spans="3:19" x14ac:dyDescent="0.3">
      <c r="C670"/>
      <c r="D670"/>
      <c r="E670"/>
      <c r="F670"/>
      <c r="G670"/>
      <c r="H670"/>
      <c r="I670"/>
      <c r="S670" s="2"/>
    </row>
    <row r="671" spans="3:19" x14ac:dyDescent="0.3">
      <c r="C671"/>
      <c r="D671"/>
      <c r="E671"/>
      <c r="F671"/>
      <c r="G671"/>
      <c r="H671"/>
      <c r="I671"/>
      <c r="S671" s="2"/>
    </row>
    <row r="672" spans="3:19" x14ac:dyDescent="0.3">
      <c r="C672"/>
      <c r="D672"/>
      <c r="E672"/>
      <c r="F672"/>
      <c r="G672"/>
      <c r="H672"/>
      <c r="I672"/>
      <c r="S672" s="2"/>
    </row>
    <row r="673" spans="3:19" x14ac:dyDescent="0.3">
      <c r="C673"/>
      <c r="D673"/>
      <c r="E673"/>
      <c r="F673"/>
      <c r="G673"/>
      <c r="H673"/>
      <c r="I673"/>
      <c r="S673" s="2"/>
    </row>
    <row r="674" spans="3:19" x14ac:dyDescent="0.3">
      <c r="C674"/>
      <c r="D674"/>
      <c r="E674"/>
      <c r="F674"/>
      <c r="G674"/>
      <c r="H674"/>
      <c r="I674"/>
      <c r="S674" s="2"/>
    </row>
    <row r="675" spans="3:19" x14ac:dyDescent="0.3">
      <c r="C675"/>
      <c r="D675"/>
      <c r="E675"/>
      <c r="F675"/>
      <c r="G675"/>
      <c r="H675"/>
      <c r="I675"/>
      <c r="S675" s="2"/>
    </row>
    <row r="676" spans="3:19" x14ac:dyDescent="0.3">
      <c r="C676"/>
      <c r="D676"/>
      <c r="E676"/>
      <c r="F676"/>
      <c r="G676"/>
      <c r="H676"/>
      <c r="I676"/>
      <c r="S676" s="2"/>
    </row>
    <row r="677" spans="3:19" x14ac:dyDescent="0.3">
      <c r="C677"/>
      <c r="D677"/>
      <c r="E677"/>
      <c r="F677"/>
      <c r="G677"/>
      <c r="H677"/>
      <c r="I677"/>
      <c r="S677" s="2"/>
    </row>
    <row r="678" spans="3:19" x14ac:dyDescent="0.3">
      <c r="C678"/>
      <c r="D678"/>
      <c r="E678"/>
      <c r="F678"/>
      <c r="G678"/>
      <c r="H678"/>
      <c r="I678"/>
      <c r="S678" s="2"/>
    </row>
    <row r="679" spans="3:19" x14ac:dyDescent="0.3">
      <c r="C679"/>
      <c r="D679"/>
      <c r="E679"/>
      <c r="F679"/>
      <c r="G679"/>
      <c r="H679"/>
      <c r="I679"/>
      <c r="S679" s="2"/>
    </row>
    <row r="680" spans="3:19" x14ac:dyDescent="0.3">
      <c r="C680"/>
      <c r="D680"/>
      <c r="E680"/>
      <c r="F680"/>
      <c r="G680"/>
      <c r="H680"/>
      <c r="I680"/>
      <c r="S680" s="2"/>
    </row>
    <row r="681" spans="3:19" x14ac:dyDescent="0.3">
      <c r="C681"/>
      <c r="D681"/>
      <c r="E681"/>
      <c r="F681"/>
      <c r="G681"/>
      <c r="H681"/>
      <c r="I681"/>
      <c r="S681" s="2"/>
    </row>
    <row r="682" spans="3:19" x14ac:dyDescent="0.3">
      <c r="C682"/>
      <c r="D682"/>
      <c r="E682"/>
      <c r="F682"/>
      <c r="G682"/>
      <c r="H682"/>
      <c r="I682"/>
      <c r="S682" s="2"/>
    </row>
    <row r="683" spans="3:19" x14ac:dyDescent="0.3">
      <c r="C683"/>
      <c r="D683"/>
      <c r="E683"/>
      <c r="F683"/>
      <c r="G683"/>
      <c r="H683"/>
      <c r="I683"/>
      <c r="S683" s="2"/>
    </row>
    <row r="684" spans="3:19" x14ac:dyDescent="0.3">
      <c r="C684"/>
      <c r="D684"/>
      <c r="E684"/>
      <c r="F684"/>
      <c r="G684"/>
      <c r="H684"/>
      <c r="I684"/>
      <c r="S684" s="2"/>
    </row>
    <row r="685" spans="3:19" x14ac:dyDescent="0.3">
      <c r="C685"/>
      <c r="D685"/>
      <c r="E685"/>
      <c r="F685"/>
      <c r="G685"/>
      <c r="H685"/>
      <c r="I685"/>
      <c r="S685" s="2"/>
    </row>
    <row r="686" spans="3:19" x14ac:dyDescent="0.3">
      <c r="C686"/>
      <c r="D686"/>
      <c r="E686"/>
      <c r="F686"/>
      <c r="G686"/>
      <c r="H686"/>
      <c r="I686"/>
      <c r="S686" s="2"/>
    </row>
    <row r="687" spans="3:19" x14ac:dyDescent="0.3">
      <c r="C687"/>
      <c r="D687"/>
      <c r="E687"/>
      <c r="F687"/>
      <c r="G687"/>
      <c r="H687"/>
      <c r="I687"/>
      <c r="S687" s="2"/>
    </row>
    <row r="688" spans="3:19" x14ac:dyDescent="0.3">
      <c r="C688"/>
      <c r="D688"/>
      <c r="E688"/>
      <c r="F688"/>
      <c r="G688"/>
      <c r="H688"/>
      <c r="I688"/>
      <c r="S688" s="2"/>
    </row>
    <row r="689" spans="3:19" x14ac:dyDescent="0.3">
      <c r="C689"/>
      <c r="D689"/>
      <c r="E689"/>
      <c r="F689"/>
      <c r="G689"/>
      <c r="H689"/>
      <c r="I689"/>
      <c r="S689" s="2"/>
    </row>
    <row r="690" spans="3:19" x14ac:dyDescent="0.3">
      <c r="C690"/>
      <c r="D690"/>
      <c r="E690"/>
      <c r="F690"/>
      <c r="G690"/>
      <c r="H690"/>
      <c r="I690"/>
      <c r="S690" s="2"/>
    </row>
    <row r="691" spans="3:19" x14ac:dyDescent="0.3">
      <c r="C691"/>
      <c r="D691"/>
      <c r="E691"/>
      <c r="F691"/>
      <c r="G691"/>
      <c r="H691"/>
      <c r="I691"/>
      <c r="S691" s="2"/>
    </row>
    <row r="692" spans="3:19" x14ac:dyDescent="0.3">
      <c r="C692"/>
      <c r="D692"/>
      <c r="E692"/>
      <c r="F692"/>
      <c r="G692"/>
      <c r="H692"/>
      <c r="I692"/>
      <c r="S692" s="2"/>
    </row>
    <row r="693" spans="3:19" x14ac:dyDescent="0.3">
      <c r="C693"/>
      <c r="D693"/>
      <c r="E693"/>
      <c r="F693"/>
      <c r="G693"/>
      <c r="H693"/>
      <c r="I693"/>
      <c r="S693" s="2"/>
    </row>
    <row r="694" spans="3:19" x14ac:dyDescent="0.3">
      <c r="C694"/>
      <c r="D694"/>
      <c r="E694"/>
      <c r="F694"/>
      <c r="G694"/>
      <c r="H694"/>
      <c r="I694"/>
      <c r="S694" s="2"/>
    </row>
    <row r="695" spans="3:19" x14ac:dyDescent="0.3">
      <c r="C695"/>
      <c r="D695"/>
      <c r="E695"/>
      <c r="F695"/>
      <c r="G695"/>
      <c r="H695"/>
      <c r="I695"/>
      <c r="S695" s="2"/>
    </row>
    <row r="696" spans="3:19" x14ac:dyDescent="0.3">
      <c r="C696"/>
      <c r="D696"/>
      <c r="E696"/>
      <c r="F696"/>
      <c r="G696"/>
      <c r="H696"/>
      <c r="I696"/>
      <c r="S696" s="2"/>
    </row>
    <row r="697" spans="3:19" x14ac:dyDescent="0.3">
      <c r="C697"/>
      <c r="D697"/>
      <c r="E697"/>
      <c r="F697"/>
      <c r="G697"/>
      <c r="H697"/>
      <c r="I697"/>
      <c r="S697" s="2"/>
    </row>
    <row r="698" spans="3:19" x14ac:dyDescent="0.3">
      <c r="C698"/>
      <c r="D698"/>
      <c r="E698"/>
      <c r="F698"/>
      <c r="G698"/>
      <c r="H698"/>
      <c r="I698"/>
      <c r="S698" s="2"/>
    </row>
    <row r="699" spans="3:19" x14ac:dyDescent="0.3">
      <c r="C699"/>
      <c r="D699"/>
      <c r="E699"/>
      <c r="F699"/>
      <c r="G699"/>
      <c r="H699"/>
      <c r="I699"/>
      <c r="S699" s="2"/>
    </row>
    <row r="700" spans="3:19" x14ac:dyDescent="0.3">
      <c r="C700"/>
      <c r="D700"/>
      <c r="E700"/>
      <c r="F700"/>
      <c r="G700"/>
      <c r="H700"/>
      <c r="I700"/>
      <c r="S700" s="2"/>
    </row>
    <row r="701" spans="3:19" x14ac:dyDescent="0.3">
      <c r="C701"/>
      <c r="D701"/>
      <c r="E701"/>
      <c r="F701"/>
      <c r="G701"/>
      <c r="H701"/>
      <c r="I701"/>
      <c r="S701" s="2"/>
    </row>
    <row r="702" spans="3:19" x14ac:dyDescent="0.3">
      <c r="C702"/>
      <c r="D702"/>
      <c r="E702"/>
      <c r="F702"/>
      <c r="G702"/>
      <c r="H702"/>
      <c r="I702"/>
      <c r="S702" s="2"/>
    </row>
    <row r="703" spans="3:19" x14ac:dyDescent="0.3">
      <c r="C703"/>
      <c r="D703"/>
      <c r="E703"/>
      <c r="F703"/>
      <c r="G703"/>
      <c r="H703"/>
      <c r="I703"/>
      <c r="S703" s="2"/>
    </row>
    <row r="704" spans="3:19" x14ac:dyDescent="0.3">
      <c r="C704"/>
      <c r="D704"/>
      <c r="E704"/>
      <c r="F704"/>
      <c r="G704"/>
      <c r="H704"/>
      <c r="I704"/>
      <c r="S704" s="2"/>
    </row>
    <row r="705" spans="3:19" x14ac:dyDescent="0.3">
      <c r="C705"/>
      <c r="D705"/>
      <c r="E705"/>
      <c r="F705"/>
      <c r="G705"/>
      <c r="H705"/>
      <c r="I705"/>
      <c r="S705" s="2"/>
    </row>
    <row r="706" spans="3:19" x14ac:dyDescent="0.3">
      <c r="C706"/>
      <c r="D706"/>
      <c r="E706"/>
      <c r="F706"/>
      <c r="G706"/>
      <c r="H706"/>
      <c r="I706"/>
      <c r="S706" s="2"/>
    </row>
    <row r="707" spans="3:19" x14ac:dyDescent="0.3">
      <c r="C707"/>
      <c r="D707"/>
      <c r="E707"/>
      <c r="F707"/>
      <c r="G707"/>
      <c r="H707"/>
      <c r="I707"/>
      <c r="S707" s="2"/>
    </row>
    <row r="708" spans="3:19" x14ac:dyDescent="0.3">
      <c r="C708"/>
      <c r="D708"/>
      <c r="E708"/>
      <c r="F708"/>
      <c r="G708"/>
      <c r="H708"/>
      <c r="I708"/>
      <c r="S708" s="2"/>
    </row>
    <row r="709" spans="3:19" x14ac:dyDescent="0.3">
      <c r="C709"/>
      <c r="D709"/>
      <c r="E709"/>
      <c r="F709"/>
      <c r="G709"/>
      <c r="H709"/>
      <c r="I709"/>
      <c r="S709" s="2"/>
    </row>
    <row r="710" spans="3:19" x14ac:dyDescent="0.3">
      <c r="C710"/>
      <c r="D710"/>
      <c r="E710"/>
      <c r="F710"/>
      <c r="G710"/>
      <c r="H710"/>
      <c r="I710"/>
      <c r="S710" s="2"/>
    </row>
    <row r="711" spans="3:19" x14ac:dyDescent="0.3">
      <c r="C711"/>
      <c r="D711"/>
      <c r="E711"/>
      <c r="F711"/>
      <c r="G711"/>
      <c r="H711"/>
      <c r="I711"/>
      <c r="S711" s="2"/>
    </row>
    <row r="712" spans="3:19" x14ac:dyDescent="0.3">
      <c r="C712"/>
      <c r="D712"/>
      <c r="E712"/>
      <c r="F712"/>
      <c r="G712"/>
      <c r="H712"/>
      <c r="I712"/>
      <c r="S712" s="2"/>
    </row>
    <row r="713" spans="3:19" x14ac:dyDescent="0.3">
      <c r="C713"/>
      <c r="D713"/>
      <c r="E713"/>
      <c r="F713"/>
      <c r="G713"/>
      <c r="H713"/>
      <c r="I713"/>
      <c r="S713" s="2"/>
    </row>
    <row r="714" spans="3:19" x14ac:dyDescent="0.3">
      <c r="C714"/>
      <c r="D714"/>
      <c r="E714"/>
      <c r="F714"/>
      <c r="G714"/>
      <c r="H714"/>
      <c r="I714"/>
      <c r="S714" s="2"/>
    </row>
    <row r="715" spans="3:19" x14ac:dyDescent="0.3">
      <c r="C715"/>
      <c r="D715"/>
      <c r="E715"/>
      <c r="F715"/>
      <c r="G715"/>
      <c r="H715"/>
      <c r="I715"/>
      <c r="S715" s="2"/>
    </row>
    <row r="716" spans="3:19" x14ac:dyDescent="0.3">
      <c r="C716"/>
      <c r="D716"/>
      <c r="E716"/>
      <c r="F716"/>
      <c r="G716"/>
      <c r="H716"/>
      <c r="I716"/>
      <c r="S716" s="2"/>
    </row>
    <row r="717" spans="3:19" x14ac:dyDescent="0.3">
      <c r="C717"/>
      <c r="D717"/>
      <c r="E717"/>
      <c r="F717"/>
      <c r="G717"/>
      <c r="H717"/>
      <c r="I717"/>
      <c r="S717" s="2"/>
    </row>
    <row r="718" spans="3:19" x14ac:dyDescent="0.3">
      <c r="C718"/>
      <c r="D718"/>
      <c r="E718"/>
      <c r="F718"/>
      <c r="G718"/>
      <c r="H718"/>
      <c r="I718"/>
      <c r="S718" s="2"/>
    </row>
    <row r="719" spans="3:19" x14ac:dyDescent="0.3">
      <c r="C719"/>
      <c r="D719"/>
      <c r="E719"/>
      <c r="F719"/>
      <c r="G719"/>
      <c r="H719"/>
      <c r="I719"/>
      <c r="S719" s="2"/>
    </row>
    <row r="720" spans="3:19" x14ac:dyDescent="0.3">
      <c r="C720"/>
      <c r="D720"/>
      <c r="E720"/>
      <c r="F720"/>
      <c r="G720"/>
      <c r="H720"/>
      <c r="I720"/>
      <c r="S720" s="2"/>
    </row>
    <row r="721" spans="3:19" x14ac:dyDescent="0.3">
      <c r="C721"/>
      <c r="D721"/>
      <c r="E721"/>
      <c r="F721"/>
      <c r="G721"/>
      <c r="H721"/>
      <c r="I721"/>
      <c r="S721" s="2"/>
    </row>
    <row r="722" spans="3:19" x14ac:dyDescent="0.3">
      <c r="C722"/>
      <c r="D722"/>
      <c r="E722"/>
      <c r="F722"/>
      <c r="G722"/>
      <c r="H722"/>
      <c r="I722"/>
      <c r="S722" s="2"/>
    </row>
    <row r="723" spans="3:19" x14ac:dyDescent="0.3">
      <c r="C723"/>
      <c r="D723"/>
      <c r="E723"/>
      <c r="F723"/>
      <c r="G723"/>
      <c r="H723"/>
      <c r="I723"/>
      <c r="S723" s="2"/>
    </row>
    <row r="724" spans="3:19" x14ac:dyDescent="0.3">
      <c r="C724"/>
      <c r="D724"/>
      <c r="E724"/>
      <c r="F724"/>
      <c r="G724"/>
      <c r="H724"/>
      <c r="I724"/>
      <c r="S724" s="2"/>
    </row>
    <row r="725" spans="3:19" x14ac:dyDescent="0.3">
      <c r="C725"/>
      <c r="D725"/>
      <c r="E725"/>
      <c r="F725"/>
      <c r="G725"/>
      <c r="H725"/>
      <c r="I725"/>
      <c r="S725" s="2"/>
    </row>
    <row r="726" spans="3:19" x14ac:dyDescent="0.3">
      <c r="C726"/>
      <c r="D726"/>
      <c r="E726"/>
      <c r="F726"/>
      <c r="G726"/>
      <c r="H726"/>
      <c r="I726"/>
      <c r="S726" s="2"/>
    </row>
    <row r="727" spans="3:19" x14ac:dyDescent="0.3">
      <c r="C727"/>
      <c r="D727"/>
      <c r="E727"/>
      <c r="F727"/>
      <c r="G727"/>
      <c r="H727"/>
      <c r="I727"/>
      <c r="S727" s="2"/>
    </row>
    <row r="728" spans="3:19" x14ac:dyDescent="0.3">
      <c r="C728"/>
      <c r="D728"/>
      <c r="E728"/>
      <c r="F728"/>
      <c r="G728"/>
      <c r="H728"/>
      <c r="I728"/>
      <c r="S728" s="2"/>
    </row>
    <row r="729" spans="3:19" x14ac:dyDescent="0.3">
      <c r="C729"/>
      <c r="D729"/>
      <c r="E729"/>
      <c r="F729"/>
      <c r="G729"/>
      <c r="H729"/>
      <c r="I729"/>
      <c r="S729" s="2"/>
    </row>
    <row r="730" spans="3:19" x14ac:dyDescent="0.3">
      <c r="C730"/>
      <c r="D730"/>
      <c r="E730"/>
      <c r="F730"/>
      <c r="G730"/>
      <c r="H730"/>
      <c r="I730"/>
      <c r="S730" s="2"/>
    </row>
    <row r="731" spans="3:19" x14ac:dyDescent="0.3">
      <c r="C731"/>
      <c r="D731"/>
      <c r="E731"/>
      <c r="F731"/>
      <c r="G731"/>
      <c r="H731"/>
      <c r="I731"/>
      <c r="S731" s="2"/>
    </row>
    <row r="732" spans="3:19" x14ac:dyDescent="0.3">
      <c r="C732"/>
      <c r="D732"/>
      <c r="E732"/>
      <c r="F732"/>
      <c r="G732"/>
      <c r="H732"/>
      <c r="I732"/>
      <c r="S732" s="2"/>
    </row>
    <row r="733" spans="3:19" x14ac:dyDescent="0.3">
      <c r="C733"/>
      <c r="D733"/>
      <c r="E733"/>
      <c r="F733"/>
      <c r="G733"/>
      <c r="H733"/>
      <c r="I733"/>
      <c r="S733" s="2"/>
    </row>
    <row r="734" spans="3:19" x14ac:dyDescent="0.3">
      <c r="C734"/>
      <c r="D734"/>
      <c r="E734"/>
      <c r="F734"/>
      <c r="G734"/>
      <c r="H734"/>
      <c r="I734"/>
      <c r="S734" s="2"/>
    </row>
    <row r="735" spans="3:19" x14ac:dyDescent="0.3">
      <c r="C735"/>
      <c r="D735"/>
      <c r="E735"/>
      <c r="F735"/>
      <c r="G735"/>
      <c r="H735"/>
      <c r="I735"/>
      <c r="S735" s="2"/>
    </row>
    <row r="736" spans="3:19" x14ac:dyDescent="0.3">
      <c r="C736"/>
      <c r="D736"/>
      <c r="E736"/>
      <c r="F736"/>
      <c r="G736"/>
      <c r="H736"/>
      <c r="I736"/>
      <c r="S736" s="2"/>
    </row>
    <row r="737" spans="3:19" x14ac:dyDescent="0.3">
      <c r="C737"/>
      <c r="D737"/>
      <c r="E737"/>
      <c r="F737"/>
      <c r="G737"/>
      <c r="H737"/>
      <c r="I737"/>
      <c r="S737" s="2"/>
    </row>
    <row r="738" spans="3:19" x14ac:dyDescent="0.3">
      <c r="C738"/>
      <c r="D738"/>
      <c r="E738"/>
      <c r="F738"/>
      <c r="G738"/>
      <c r="H738"/>
      <c r="I738"/>
      <c r="S738" s="2"/>
    </row>
    <row r="739" spans="3:19" x14ac:dyDescent="0.3">
      <c r="C739"/>
      <c r="D739"/>
      <c r="E739"/>
      <c r="F739"/>
      <c r="G739"/>
      <c r="H739"/>
      <c r="I739"/>
      <c r="S739" s="2"/>
    </row>
    <row r="740" spans="3:19" x14ac:dyDescent="0.3">
      <c r="C740"/>
      <c r="D740"/>
      <c r="E740"/>
      <c r="F740"/>
      <c r="G740"/>
      <c r="H740"/>
      <c r="I740"/>
      <c r="S740" s="2"/>
    </row>
    <row r="741" spans="3:19" x14ac:dyDescent="0.3">
      <c r="C741"/>
      <c r="D741"/>
      <c r="E741"/>
      <c r="F741"/>
      <c r="G741"/>
      <c r="H741"/>
      <c r="I741"/>
      <c r="S741" s="2"/>
    </row>
    <row r="742" spans="3:19" x14ac:dyDescent="0.3">
      <c r="C742"/>
      <c r="D742"/>
      <c r="E742"/>
      <c r="F742"/>
      <c r="G742"/>
      <c r="H742"/>
      <c r="I742"/>
      <c r="S742" s="2"/>
    </row>
    <row r="743" spans="3:19" x14ac:dyDescent="0.3">
      <c r="C743"/>
      <c r="D743"/>
      <c r="E743"/>
      <c r="F743"/>
      <c r="G743"/>
      <c r="H743"/>
      <c r="I743"/>
      <c r="S743" s="2"/>
    </row>
    <row r="744" spans="3:19" x14ac:dyDescent="0.3">
      <c r="C744"/>
      <c r="D744"/>
      <c r="E744"/>
      <c r="F744"/>
      <c r="G744"/>
      <c r="H744"/>
      <c r="I744"/>
      <c r="S744" s="2"/>
    </row>
    <row r="745" spans="3:19" x14ac:dyDescent="0.3">
      <c r="C745"/>
      <c r="D745"/>
      <c r="E745"/>
      <c r="F745"/>
      <c r="G745"/>
      <c r="H745"/>
      <c r="I745"/>
      <c r="S745" s="2"/>
    </row>
    <row r="746" spans="3:19" x14ac:dyDescent="0.3">
      <c r="C746"/>
      <c r="D746"/>
      <c r="E746"/>
      <c r="F746"/>
      <c r="G746"/>
      <c r="H746"/>
      <c r="I746"/>
      <c r="S746" s="2"/>
    </row>
    <row r="747" spans="3:19" x14ac:dyDescent="0.3">
      <c r="C747"/>
      <c r="D747"/>
      <c r="E747"/>
      <c r="F747"/>
      <c r="G747"/>
      <c r="H747"/>
      <c r="I747"/>
      <c r="S747" s="2"/>
    </row>
    <row r="748" spans="3:19" x14ac:dyDescent="0.3">
      <c r="C748"/>
      <c r="D748"/>
      <c r="E748"/>
      <c r="F748"/>
      <c r="G748"/>
      <c r="H748"/>
      <c r="I748"/>
      <c r="S748" s="2"/>
    </row>
    <row r="749" spans="3:19" x14ac:dyDescent="0.3">
      <c r="C749"/>
      <c r="D749"/>
      <c r="E749"/>
      <c r="F749"/>
      <c r="G749"/>
      <c r="H749"/>
      <c r="I749"/>
      <c r="S749" s="2"/>
    </row>
    <row r="750" spans="3:19" x14ac:dyDescent="0.3">
      <c r="C750"/>
      <c r="D750"/>
      <c r="E750"/>
      <c r="F750"/>
      <c r="G750"/>
      <c r="H750"/>
      <c r="I750"/>
      <c r="S750" s="2"/>
    </row>
    <row r="751" spans="3:19" x14ac:dyDescent="0.3">
      <c r="C751"/>
      <c r="D751"/>
      <c r="E751"/>
      <c r="F751"/>
      <c r="G751"/>
      <c r="H751"/>
      <c r="I751"/>
      <c r="S751" s="2"/>
    </row>
    <row r="752" spans="3:19" x14ac:dyDescent="0.3">
      <c r="C752"/>
      <c r="D752"/>
      <c r="E752"/>
      <c r="F752"/>
      <c r="G752"/>
      <c r="H752"/>
      <c r="I752"/>
      <c r="S752" s="2"/>
    </row>
    <row r="753" spans="3:19" x14ac:dyDescent="0.3">
      <c r="C753"/>
      <c r="D753"/>
      <c r="E753"/>
      <c r="F753"/>
      <c r="G753"/>
      <c r="H753"/>
      <c r="I753"/>
      <c r="S753" s="2"/>
    </row>
    <row r="754" spans="3:19" x14ac:dyDescent="0.3">
      <c r="C754"/>
      <c r="D754"/>
      <c r="E754"/>
      <c r="F754"/>
      <c r="G754"/>
      <c r="H754"/>
      <c r="I754"/>
      <c r="S754" s="2"/>
    </row>
    <row r="755" spans="3:19" x14ac:dyDescent="0.3">
      <c r="C755"/>
      <c r="D755"/>
      <c r="E755"/>
      <c r="F755"/>
      <c r="G755"/>
      <c r="H755"/>
      <c r="I755"/>
      <c r="S755" s="2"/>
    </row>
    <row r="756" spans="3:19" x14ac:dyDescent="0.3">
      <c r="C756"/>
      <c r="D756"/>
      <c r="E756"/>
      <c r="F756"/>
      <c r="G756"/>
      <c r="H756"/>
      <c r="I756"/>
      <c r="S756" s="2"/>
    </row>
    <row r="757" spans="3:19" x14ac:dyDescent="0.3">
      <c r="C757"/>
      <c r="D757"/>
      <c r="E757"/>
      <c r="F757"/>
      <c r="G757"/>
      <c r="H757"/>
      <c r="I757"/>
      <c r="S757" s="2"/>
    </row>
    <row r="758" spans="3:19" x14ac:dyDescent="0.3">
      <c r="C758"/>
      <c r="D758"/>
      <c r="E758"/>
      <c r="F758"/>
      <c r="G758"/>
      <c r="H758"/>
      <c r="I758"/>
      <c r="S758" s="2"/>
    </row>
    <row r="759" spans="3:19" x14ac:dyDescent="0.3">
      <c r="C759"/>
      <c r="D759"/>
      <c r="E759"/>
      <c r="F759"/>
      <c r="G759"/>
      <c r="H759"/>
      <c r="I759"/>
      <c r="S759" s="2"/>
    </row>
    <row r="760" spans="3:19" x14ac:dyDescent="0.3">
      <c r="C760"/>
      <c r="D760"/>
      <c r="E760"/>
      <c r="F760"/>
      <c r="G760"/>
      <c r="H760"/>
      <c r="I760"/>
      <c r="S760" s="2"/>
    </row>
    <row r="761" spans="3:19" x14ac:dyDescent="0.3">
      <c r="C761"/>
      <c r="D761"/>
      <c r="E761"/>
      <c r="F761"/>
      <c r="G761"/>
      <c r="H761"/>
      <c r="I761"/>
      <c r="S761" s="2"/>
    </row>
    <row r="762" spans="3:19" x14ac:dyDescent="0.3">
      <c r="C762"/>
      <c r="D762"/>
      <c r="E762"/>
      <c r="F762"/>
      <c r="G762"/>
      <c r="H762"/>
      <c r="I762"/>
      <c r="S762" s="2"/>
    </row>
    <row r="763" spans="3:19" x14ac:dyDescent="0.3">
      <c r="C763"/>
      <c r="D763"/>
      <c r="E763"/>
      <c r="F763"/>
      <c r="G763"/>
      <c r="H763"/>
      <c r="I763"/>
      <c r="S763" s="2"/>
    </row>
    <row r="764" spans="3:19" x14ac:dyDescent="0.3">
      <c r="C764"/>
      <c r="D764"/>
      <c r="E764"/>
      <c r="F764"/>
      <c r="G764"/>
      <c r="H764"/>
      <c r="I764"/>
      <c r="S764" s="2"/>
    </row>
    <row r="765" spans="3:19" x14ac:dyDescent="0.3">
      <c r="C765"/>
      <c r="D765"/>
      <c r="E765"/>
      <c r="F765"/>
      <c r="G765"/>
      <c r="H765"/>
      <c r="I765"/>
      <c r="S765" s="2"/>
    </row>
    <row r="766" spans="3:19" x14ac:dyDescent="0.3">
      <c r="C766"/>
      <c r="D766"/>
      <c r="E766"/>
      <c r="F766"/>
      <c r="G766"/>
      <c r="H766"/>
      <c r="I766"/>
      <c r="S766" s="2"/>
    </row>
    <row r="767" spans="3:19" x14ac:dyDescent="0.3">
      <c r="C767"/>
      <c r="D767"/>
      <c r="E767"/>
      <c r="F767"/>
      <c r="G767"/>
      <c r="H767"/>
      <c r="I767"/>
      <c r="S767" s="2"/>
    </row>
    <row r="768" spans="3:19" x14ac:dyDescent="0.3">
      <c r="C768"/>
      <c r="D768"/>
      <c r="E768"/>
      <c r="F768"/>
      <c r="G768"/>
      <c r="H768"/>
      <c r="I768"/>
      <c r="S768" s="2"/>
    </row>
    <row r="769" spans="3:19" x14ac:dyDescent="0.3">
      <c r="C769"/>
      <c r="D769"/>
      <c r="E769"/>
      <c r="F769"/>
      <c r="G769"/>
      <c r="H769"/>
      <c r="I769"/>
      <c r="S769" s="2"/>
    </row>
    <row r="770" spans="3:19" x14ac:dyDescent="0.3">
      <c r="C770"/>
      <c r="D770"/>
      <c r="E770"/>
      <c r="F770"/>
      <c r="G770"/>
      <c r="H770"/>
      <c r="I770"/>
      <c r="S770" s="2"/>
    </row>
    <row r="771" spans="3:19" x14ac:dyDescent="0.3">
      <c r="C771"/>
      <c r="D771"/>
      <c r="E771"/>
      <c r="F771"/>
      <c r="G771"/>
      <c r="H771"/>
      <c r="I771"/>
      <c r="S771" s="2"/>
    </row>
    <row r="772" spans="3:19" x14ac:dyDescent="0.3">
      <c r="C772"/>
      <c r="D772"/>
      <c r="E772"/>
      <c r="F772"/>
      <c r="G772"/>
      <c r="H772"/>
      <c r="I772"/>
      <c r="S772" s="2"/>
    </row>
    <row r="773" spans="3:19" x14ac:dyDescent="0.3">
      <c r="C773"/>
      <c r="D773"/>
      <c r="E773"/>
      <c r="F773"/>
      <c r="G773"/>
      <c r="H773"/>
      <c r="I773"/>
      <c r="S773" s="2"/>
    </row>
    <row r="774" spans="3:19" x14ac:dyDescent="0.3">
      <c r="C774"/>
      <c r="D774"/>
      <c r="E774"/>
      <c r="F774"/>
      <c r="G774"/>
      <c r="H774"/>
      <c r="I774"/>
      <c r="S774" s="2"/>
    </row>
    <row r="775" spans="3:19" x14ac:dyDescent="0.3">
      <c r="C775"/>
      <c r="D775"/>
      <c r="E775"/>
      <c r="F775"/>
      <c r="G775"/>
      <c r="H775"/>
      <c r="I775"/>
      <c r="S775" s="2"/>
    </row>
    <row r="776" spans="3:19" x14ac:dyDescent="0.3">
      <c r="C776"/>
      <c r="D776"/>
      <c r="E776"/>
      <c r="F776"/>
      <c r="G776"/>
      <c r="H776"/>
      <c r="I776"/>
      <c r="S776" s="2"/>
    </row>
    <row r="777" spans="3:19" x14ac:dyDescent="0.3">
      <c r="C777"/>
      <c r="D777"/>
      <c r="E777"/>
      <c r="F777"/>
      <c r="G777"/>
      <c r="H777"/>
      <c r="I777"/>
      <c r="S777" s="2"/>
    </row>
    <row r="778" spans="3:19" x14ac:dyDescent="0.3">
      <c r="C778"/>
      <c r="D778"/>
      <c r="E778"/>
      <c r="F778"/>
      <c r="G778"/>
      <c r="H778"/>
      <c r="I778"/>
      <c r="S778" s="2"/>
    </row>
    <row r="779" spans="3:19" x14ac:dyDescent="0.3">
      <c r="C779"/>
      <c r="D779"/>
      <c r="E779"/>
      <c r="F779"/>
      <c r="G779"/>
      <c r="H779"/>
      <c r="I779"/>
      <c r="S779" s="2"/>
    </row>
    <row r="780" spans="3:19" x14ac:dyDescent="0.3">
      <c r="C780"/>
      <c r="D780"/>
      <c r="E780"/>
      <c r="F780"/>
      <c r="G780"/>
      <c r="H780"/>
      <c r="I780"/>
      <c r="S780" s="2"/>
    </row>
    <row r="781" spans="3:19" x14ac:dyDescent="0.3">
      <c r="C781"/>
      <c r="D781"/>
      <c r="E781"/>
      <c r="F781"/>
      <c r="G781"/>
      <c r="H781"/>
      <c r="I781"/>
      <c r="S781" s="2"/>
    </row>
    <row r="782" spans="3:19" x14ac:dyDescent="0.3">
      <c r="C782"/>
      <c r="D782"/>
      <c r="E782"/>
      <c r="F782"/>
      <c r="G782"/>
      <c r="H782"/>
      <c r="I782"/>
      <c r="S782" s="2"/>
    </row>
    <row r="783" spans="3:19" x14ac:dyDescent="0.3">
      <c r="C783"/>
      <c r="D783"/>
      <c r="E783"/>
      <c r="F783"/>
      <c r="G783"/>
      <c r="H783"/>
      <c r="I783"/>
      <c r="S783" s="2"/>
    </row>
    <row r="784" spans="3:19" x14ac:dyDescent="0.3">
      <c r="C784"/>
      <c r="D784"/>
      <c r="E784"/>
      <c r="F784"/>
      <c r="G784"/>
      <c r="H784"/>
      <c r="I784"/>
      <c r="S784" s="2"/>
    </row>
    <row r="785" spans="3:19" x14ac:dyDescent="0.3">
      <c r="C785"/>
      <c r="D785"/>
      <c r="E785"/>
      <c r="F785"/>
      <c r="G785"/>
      <c r="H785"/>
      <c r="I785"/>
      <c r="S785" s="2"/>
    </row>
    <row r="786" spans="3:19" x14ac:dyDescent="0.3">
      <c r="C786"/>
      <c r="D786"/>
      <c r="E786"/>
      <c r="F786"/>
      <c r="G786"/>
      <c r="H786"/>
      <c r="I786"/>
      <c r="S786" s="2"/>
    </row>
    <row r="787" spans="3:19" x14ac:dyDescent="0.3">
      <c r="C787"/>
      <c r="D787"/>
      <c r="E787"/>
      <c r="F787"/>
      <c r="G787"/>
      <c r="H787"/>
      <c r="I787"/>
      <c r="S787" s="2"/>
    </row>
    <row r="788" spans="3:19" x14ac:dyDescent="0.3">
      <c r="C788"/>
      <c r="D788"/>
      <c r="E788"/>
      <c r="F788"/>
      <c r="G788"/>
      <c r="H788"/>
      <c r="I788"/>
      <c r="S788" s="2"/>
    </row>
    <row r="789" spans="3:19" x14ac:dyDescent="0.3">
      <c r="C789"/>
      <c r="D789"/>
      <c r="E789"/>
      <c r="F789"/>
      <c r="G789"/>
      <c r="H789"/>
      <c r="I789"/>
      <c r="S789" s="2"/>
    </row>
    <row r="790" spans="3:19" x14ac:dyDescent="0.3">
      <c r="C790"/>
      <c r="D790"/>
      <c r="E790"/>
      <c r="F790"/>
      <c r="G790"/>
      <c r="H790"/>
      <c r="I790"/>
      <c r="S790" s="2"/>
    </row>
    <row r="791" spans="3:19" x14ac:dyDescent="0.3">
      <c r="C791"/>
      <c r="D791"/>
      <c r="E791"/>
      <c r="F791"/>
      <c r="G791"/>
      <c r="H791"/>
      <c r="I791"/>
      <c r="S791" s="2"/>
    </row>
    <row r="792" spans="3:19" x14ac:dyDescent="0.3">
      <c r="C792"/>
      <c r="D792"/>
      <c r="E792"/>
      <c r="F792"/>
      <c r="G792"/>
      <c r="H792"/>
      <c r="I792"/>
      <c r="S792" s="2"/>
    </row>
    <row r="793" spans="3:19" x14ac:dyDescent="0.3">
      <c r="C793"/>
      <c r="D793"/>
      <c r="E793"/>
      <c r="F793"/>
      <c r="G793"/>
      <c r="H793"/>
      <c r="I793"/>
      <c r="S793" s="2"/>
    </row>
    <row r="794" spans="3:19" x14ac:dyDescent="0.3">
      <c r="C794"/>
      <c r="D794"/>
      <c r="E794"/>
      <c r="F794"/>
      <c r="G794"/>
      <c r="H794"/>
      <c r="I794"/>
      <c r="S794" s="2"/>
    </row>
    <row r="795" spans="3:19" x14ac:dyDescent="0.3">
      <c r="C795"/>
      <c r="D795"/>
      <c r="E795"/>
      <c r="F795"/>
      <c r="G795"/>
      <c r="H795"/>
      <c r="I795"/>
      <c r="S795" s="2"/>
    </row>
    <row r="796" spans="3:19" x14ac:dyDescent="0.3">
      <c r="C796"/>
      <c r="D796"/>
      <c r="E796"/>
      <c r="F796"/>
      <c r="G796"/>
      <c r="H796"/>
      <c r="I796"/>
      <c r="S796" s="2"/>
    </row>
    <row r="797" spans="3:19" x14ac:dyDescent="0.3">
      <c r="C797"/>
      <c r="D797"/>
      <c r="E797"/>
      <c r="F797"/>
      <c r="G797"/>
      <c r="H797"/>
      <c r="I797"/>
      <c r="S797" s="2"/>
    </row>
    <row r="798" spans="3:19" x14ac:dyDescent="0.3">
      <c r="C798"/>
      <c r="D798"/>
      <c r="E798"/>
      <c r="F798"/>
      <c r="G798"/>
      <c r="H798"/>
      <c r="I798"/>
      <c r="S798" s="2"/>
    </row>
    <row r="799" spans="3:19" x14ac:dyDescent="0.3">
      <c r="C799"/>
      <c r="D799"/>
      <c r="E799"/>
      <c r="F799"/>
      <c r="G799"/>
      <c r="H799"/>
      <c r="I799"/>
      <c r="S799" s="2"/>
    </row>
    <row r="800" spans="3:19" x14ac:dyDescent="0.3">
      <c r="C800"/>
      <c r="D800"/>
      <c r="E800"/>
      <c r="F800"/>
      <c r="G800"/>
      <c r="H800"/>
      <c r="I800"/>
      <c r="S800" s="2"/>
    </row>
    <row r="801" spans="3:19" x14ac:dyDescent="0.3">
      <c r="C801"/>
      <c r="D801"/>
      <c r="E801"/>
      <c r="F801"/>
      <c r="G801"/>
      <c r="H801"/>
      <c r="I801"/>
      <c r="S801" s="2"/>
    </row>
    <row r="802" spans="3:19" x14ac:dyDescent="0.3">
      <c r="C802"/>
      <c r="D802"/>
      <c r="E802"/>
      <c r="F802"/>
      <c r="G802"/>
      <c r="H802"/>
      <c r="I802"/>
      <c r="S802" s="2"/>
    </row>
    <row r="803" spans="3:19" x14ac:dyDescent="0.3">
      <c r="C803"/>
      <c r="D803"/>
      <c r="E803"/>
      <c r="F803"/>
      <c r="G803"/>
      <c r="H803"/>
      <c r="I803"/>
      <c r="S803" s="2"/>
    </row>
    <row r="804" spans="3:19" x14ac:dyDescent="0.3">
      <c r="C804"/>
      <c r="D804"/>
      <c r="E804"/>
      <c r="F804"/>
      <c r="G804"/>
      <c r="H804"/>
      <c r="I804"/>
      <c r="S804" s="2"/>
    </row>
    <row r="805" spans="3:19" x14ac:dyDescent="0.3">
      <c r="C805"/>
      <c r="D805"/>
      <c r="E805"/>
      <c r="F805"/>
      <c r="G805"/>
      <c r="H805"/>
      <c r="I805"/>
      <c r="S805" s="2"/>
    </row>
    <row r="806" spans="3:19" x14ac:dyDescent="0.3">
      <c r="C806"/>
      <c r="D806"/>
      <c r="E806"/>
      <c r="F806"/>
      <c r="G806"/>
      <c r="H806"/>
      <c r="I806"/>
      <c r="S806" s="2"/>
    </row>
    <row r="807" spans="3:19" x14ac:dyDescent="0.3">
      <c r="C807"/>
      <c r="D807"/>
      <c r="E807"/>
      <c r="F807"/>
      <c r="G807"/>
      <c r="H807"/>
      <c r="I807"/>
      <c r="S807" s="2"/>
    </row>
    <row r="808" spans="3:19" x14ac:dyDescent="0.3">
      <c r="C808"/>
      <c r="D808"/>
      <c r="E808"/>
      <c r="F808"/>
      <c r="G808"/>
      <c r="H808"/>
      <c r="I808"/>
      <c r="S808" s="2"/>
    </row>
    <row r="809" spans="3:19" x14ac:dyDescent="0.3">
      <c r="C809"/>
      <c r="D809"/>
      <c r="E809"/>
      <c r="F809"/>
      <c r="G809"/>
      <c r="H809"/>
      <c r="I809"/>
      <c r="S809" s="2"/>
    </row>
    <row r="810" spans="3:19" x14ac:dyDescent="0.3">
      <c r="C810"/>
      <c r="D810"/>
      <c r="E810"/>
      <c r="F810"/>
      <c r="G810"/>
      <c r="H810"/>
      <c r="I810"/>
      <c r="S810" s="2"/>
    </row>
    <row r="811" spans="3:19" x14ac:dyDescent="0.3">
      <c r="C811"/>
      <c r="D811"/>
      <c r="E811"/>
      <c r="F811"/>
      <c r="G811"/>
      <c r="H811"/>
      <c r="I811"/>
      <c r="S811" s="2"/>
    </row>
    <row r="812" spans="3:19" x14ac:dyDescent="0.3">
      <c r="C812"/>
      <c r="D812"/>
      <c r="E812"/>
      <c r="F812"/>
      <c r="G812"/>
      <c r="H812"/>
      <c r="I812"/>
      <c r="S812" s="2"/>
    </row>
    <row r="813" spans="3:19" x14ac:dyDescent="0.3">
      <c r="C813"/>
      <c r="D813"/>
      <c r="E813"/>
      <c r="F813"/>
      <c r="G813"/>
      <c r="H813"/>
      <c r="I813"/>
      <c r="S813" s="2"/>
    </row>
    <row r="814" spans="3:19" x14ac:dyDescent="0.3">
      <c r="C814"/>
      <c r="D814"/>
      <c r="E814"/>
      <c r="F814"/>
      <c r="G814"/>
      <c r="H814"/>
      <c r="I814"/>
      <c r="S814" s="2"/>
    </row>
    <row r="815" spans="3:19" x14ac:dyDescent="0.3">
      <c r="C815"/>
      <c r="D815"/>
      <c r="E815"/>
      <c r="F815"/>
      <c r="G815"/>
      <c r="H815"/>
      <c r="I815"/>
      <c r="S815" s="2"/>
    </row>
    <row r="816" spans="3:19" x14ac:dyDescent="0.3">
      <c r="C816"/>
      <c r="D816"/>
      <c r="E816"/>
      <c r="F816"/>
      <c r="G816"/>
      <c r="H816"/>
      <c r="I816"/>
      <c r="S816" s="2"/>
    </row>
    <row r="817" spans="3:19" x14ac:dyDescent="0.3">
      <c r="C817"/>
      <c r="D817"/>
      <c r="E817"/>
      <c r="F817"/>
      <c r="G817"/>
      <c r="H817"/>
      <c r="I817"/>
      <c r="S817" s="2"/>
    </row>
    <row r="818" spans="3:19" x14ac:dyDescent="0.3">
      <c r="C818"/>
      <c r="D818"/>
      <c r="E818"/>
      <c r="F818"/>
      <c r="G818"/>
      <c r="H818"/>
      <c r="I818"/>
      <c r="S818" s="2"/>
    </row>
    <row r="819" spans="3:19" x14ac:dyDescent="0.3">
      <c r="C819"/>
      <c r="D819"/>
      <c r="E819"/>
      <c r="F819"/>
      <c r="G819"/>
      <c r="H819"/>
      <c r="I819"/>
      <c r="S819" s="2"/>
    </row>
    <row r="820" spans="3:19" x14ac:dyDescent="0.3">
      <c r="C820"/>
      <c r="D820"/>
      <c r="E820"/>
      <c r="F820"/>
      <c r="G820"/>
      <c r="H820"/>
      <c r="I820"/>
      <c r="S820" s="2"/>
    </row>
    <row r="821" spans="3:19" x14ac:dyDescent="0.3">
      <c r="C821"/>
      <c r="D821"/>
      <c r="E821"/>
      <c r="F821"/>
      <c r="G821"/>
      <c r="H821"/>
      <c r="I821"/>
      <c r="S821" s="2"/>
    </row>
    <row r="822" spans="3:19" x14ac:dyDescent="0.3">
      <c r="C822"/>
      <c r="D822"/>
      <c r="E822"/>
      <c r="F822"/>
      <c r="G822"/>
      <c r="H822"/>
      <c r="I822"/>
      <c r="S822" s="2"/>
    </row>
    <row r="823" spans="3:19" x14ac:dyDescent="0.3">
      <c r="C823"/>
      <c r="D823"/>
      <c r="E823"/>
      <c r="F823"/>
      <c r="G823"/>
      <c r="H823"/>
      <c r="I823"/>
      <c r="S823" s="2"/>
    </row>
    <row r="824" spans="3:19" x14ac:dyDescent="0.3">
      <c r="C824"/>
      <c r="D824"/>
      <c r="E824"/>
      <c r="F824"/>
      <c r="G824"/>
      <c r="H824"/>
      <c r="I824"/>
      <c r="S824" s="2"/>
    </row>
    <row r="825" spans="3:19" x14ac:dyDescent="0.3">
      <c r="C825"/>
      <c r="D825"/>
      <c r="E825"/>
      <c r="F825"/>
      <c r="G825"/>
      <c r="H825"/>
      <c r="I825"/>
      <c r="S825" s="2"/>
    </row>
    <row r="826" spans="3:19" x14ac:dyDescent="0.3">
      <c r="C826"/>
      <c r="D826"/>
      <c r="E826"/>
      <c r="F826"/>
      <c r="G826"/>
      <c r="H826"/>
      <c r="I826"/>
      <c r="S826" s="2"/>
    </row>
    <row r="827" spans="3:19" x14ac:dyDescent="0.3">
      <c r="C827"/>
      <c r="D827"/>
      <c r="E827"/>
      <c r="F827"/>
      <c r="G827"/>
      <c r="H827"/>
      <c r="I827"/>
      <c r="S827" s="2"/>
    </row>
    <row r="828" spans="3:19" x14ac:dyDescent="0.3">
      <c r="C828"/>
      <c r="D828"/>
      <c r="E828"/>
      <c r="F828"/>
      <c r="G828"/>
      <c r="H828"/>
      <c r="I828"/>
      <c r="S828" s="2"/>
    </row>
    <row r="829" spans="3:19" x14ac:dyDescent="0.3">
      <c r="C829"/>
      <c r="D829"/>
      <c r="E829"/>
      <c r="F829"/>
      <c r="G829"/>
      <c r="H829"/>
      <c r="I829"/>
      <c r="S829" s="2"/>
    </row>
    <row r="830" spans="3:19" x14ac:dyDescent="0.3">
      <c r="C830"/>
      <c r="D830"/>
      <c r="E830"/>
      <c r="F830"/>
      <c r="G830"/>
      <c r="H830"/>
      <c r="I830"/>
      <c r="S830" s="2"/>
    </row>
    <row r="831" spans="3:19" x14ac:dyDescent="0.3">
      <c r="C831"/>
      <c r="D831"/>
      <c r="E831"/>
      <c r="F831"/>
      <c r="G831"/>
      <c r="H831"/>
      <c r="I831"/>
      <c r="S831" s="2"/>
    </row>
    <row r="832" spans="3:19" x14ac:dyDescent="0.3">
      <c r="C832"/>
      <c r="D832"/>
      <c r="E832"/>
      <c r="F832"/>
      <c r="G832"/>
      <c r="H832"/>
      <c r="I832"/>
      <c r="S832" s="2"/>
    </row>
    <row r="833" spans="3:19" x14ac:dyDescent="0.3">
      <c r="C833"/>
      <c r="D833"/>
      <c r="E833"/>
      <c r="F833"/>
      <c r="G833"/>
      <c r="H833"/>
      <c r="I833"/>
      <c r="S833" s="2"/>
    </row>
    <row r="834" spans="3:19" x14ac:dyDescent="0.3">
      <c r="C834"/>
      <c r="D834"/>
      <c r="E834"/>
      <c r="F834"/>
      <c r="G834"/>
      <c r="H834"/>
      <c r="I834"/>
      <c r="S834" s="2"/>
    </row>
    <row r="835" spans="3:19" x14ac:dyDescent="0.3">
      <c r="C835"/>
      <c r="D835"/>
      <c r="E835"/>
      <c r="F835"/>
      <c r="G835"/>
      <c r="H835"/>
      <c r="I835"/>
      <c r="S835" s="2"/>
    </row>
    <row r="836" spans="3:19" x14ac:dyDescent="0.3">
      <c r="C836"/>
      <c r="D836"/>
      <c r="E836"/>
      <c r="F836"/>
      <c r="G836"/>
      <c r="H836"/>
      <c r="I836"/>
      <c r="S836" s="2"/>
    </row>
    <row r="837" spans="3:19" x14ac:dyDescent="0.3">
      <c r="C837"/>
      <c r="D837"/>
      <c r="E837"/>
      <c r="F837"/>
      <c r="G837"/>
      <c r="H837"/>
      <c r="I837"/>
      <c r="S837" s="2"/>
    </row>
    <row r="838" spans="3:19" x14ac:dyDescent="0.3">
      <c r="C838"/>
      <c r="D838"/>
      <c r="E838"/>
      <c r="F838"/>
      <c r="G838"/>
      <c r="H838"/>
      <c r="I838"/>
      <c r="S838" s="2"/>
    </row>
    <row r="839" spans="3:19" x14ac:dyDescent="0.3">
      <c r="C839"/>
      <c r="D839"/>
      <c r="E839"/>
      <c r="F839"/>
      <c r="G839"/>
      <c r="H839"/>
      <c r="I839"/>
      <c r="S839" s="2"/>
    </row>
    <row r="840" spans="3:19" x14ac:dyDescent="0.3">
      <c r="C840"/>
      <c r="D840"/>
      <c r="E840"/>
      <c r="F840"/>
      <c r="G840"/>
      <c r="H840"/>
      <c r="I840"/>
      <c r="S840" s="2"/>
    </row>
    <row r="841" spans="3:19" x14ac:dyDescent="0.3">
      <c r="C841"/>
      <c r="D841"/>
      <c r="E841"/>
      <c r="F841"/>
      <c r="G841"/>
      <c r="H841"/>
      <c r="I841"/>
      <c r="S841" s="2"/>
    </row>
    <row r="842" spans="3:19" x14ac:dyDescent="0.3">
      <c r="C842"/>
      <c r="D842"/>
      <c r="E842"/>
      <c r="F842"/>
      <c r="G842"/>
      <c r="H842"/>
      <c r="I842"/>
      <c r="S842" s="2"/>
    </row>
    <row r="843" spans="3:19" x14ac:dyDescent="0.3">
      <c r="C843"/>
      <c r="D843"/>
      <c r="E843"/>
      <c r="F843"/>
      <c r="G843"/>
      <c r="H843"/>
      <c r="I843"/>
      <c r="S843" s="2"/>
    </row>
    <row r="844" spans="3:19" x14ac:dyDescent="0.3">
      <c r="C844"/>
      <c r="D844"/>
      <c r="E844"/>
      <c r="F844"/>
      <c r="G844"/>
      <c r="H844"/>
      <c r="I844"/>
      <c r="S844" s="2"/>
    </row>
    <row r="845" spans="3:19" x14ac:dyDescent="0.3">
      <c r="C845"/>
      <c r="D845"/>
      <c r="E845"/>
      <c r="F845"/>
      <c r="G845"/>
      <c r="H845"/>
      <c r="I845"/>
      <c r="S845" s="2"/>
    </row>
    <row r="846" spans="3:19" x14ac:dyDescent="0.3">
      <c r="C846"/>
      <c r="D846"/>
      <c r="E846"/>
      <c r="F846"/>
      <c r="G846"/>
      <c r="H846"/>
      <c r="I846"/>
      <c r="S846" s="2"/>
    </row>
    <row r="847" spans="3:19" x14ac:dyDescent="0.3">
      <c r="C847"/>
      <c r="D847"/>
      <c r="E847"/>
      <c r="F847"/>
      <c r="G847"/>
      <c r="H847"/>
      <c r="I847"/>
      <c r="S847" s="2"/>
    </row>
    <row r="848" spans="3:19" x14ac:dyDescent="0.3">
      <c r="C848"/>
      <c r="D848"/>
      <c r="E848"/>
      <c r="F848"/>
      <c r="G848"/>
      <c r="H848"/>
      <c r="I848"/>
      <c r="S848" s="2"/>
    </row>
    <row r="849" spans="3:19" x14ac:dyDescent="0.3">
      <c r="C849"/>
      <c r="D849"/>
      <c r="E849"/>
      <c r="F849"/>
      <c r="G849"/>
      <c r="H849"/>
      <c r="I849"/>
      <c r="S849" s="2"/>
    </row>
    <row r="850" spans="3:19" x14ac:dyDescent="0.3">
      <c r="C850"/>
      <c r="D850"/>
      <c r="E850"/>
      <c r="F850"/>
      <c r="G850"/>
      <c r="H850"/>
      <c r="I850"/>
      <c r="S850" s="2"/>
    </row>
    <row r="851" spans="3:19" x14ac:dyDescent="0.3">
      <c r="C851"/>
      <c r="D851"/>
      <c r="E851"/>
      <c r="F851"/>
      <c r="G851"/>
      <c r="H851"/>
      <c r="I851"/>
      <c r="S851" s="2"/>
    </row>
    <row r="852" spans="3:19" x14ac:dyDescent="0.3">
      <c r="C852"/>
      <c r="D852"/>
      <c r="E852"/>
      <c r="F852"/>
      <c r="G852"/>
      <c r="H852"/>
      <c r="I852"/>
      <c r="S852" s="2"/>
    </row>
    <row r="853" spans="3:19" x14ac:dyDescent="0.3">
      <c r="C853"/>
      <c r="D853"/>
      <c r="E853"/>
      <c r="F853"/>
      <c r="G853"/>
      <c r="H853"/>
      <c r="I853"/>
      <c r="S853" s="2"/>
    </row>
    <row r="854" spans="3:19" x14ac:dyDescent="0.3">
      <c r="C854"/>
      <c r="D854"/>
      <c r="E854"/>
      <c r="F854"/>
      <c r="G854"/>
      <c r="H854"/>
      <c r="I854"/>
      <c r="S854" s="2"/>
    </row>
    <row r="855" spans="3:19" x14ac:dyDescent="0.3">
      <c r="C855"/>
      <c r="D855"/>
      <c r="E855"/>
      <c r="F855"/>
      <c r="G855"/>
      <c r="H855"/>
      <c r="I855"/>
      <c r="S855" s="2"/>
    </row>
    <row r="856" spans="3:19" x14ac:dyDescent="0.3">
      <c r="C856"/>
      <c r="D856"/>
      <c r="E856"/>
      <c r="F856"/>
      <c r="G856"/>
      <c r="H856"/>
      <c r="I856"/>
      <c r="S856" s="2"/>
    </row>
    <row r="857" spans="3:19" x14ac:dyDescent="0.3">
      <c r="C857"/>
      <c r="D857"/>
      <c r="E857"/>
      <c r="F857"/>
      <c r="G857"/>
      <c r="H857"/>
      <c r="I857"/>
      <c r="S857" s="2"/>
    </row>
    <row r="858" spans="3:19" x14ac:dyDescent="0.3">
      <c r="C858"/>
      <c r="D858"/>
      <c r="E858"/>
      <c r="F858"/>
      <c r="G858"/>
      <c r="H858"/>
      <c r="I858"/>
      <c r="S858" s="2"/>
    </row>
    <row r="859" spans="3:19" x14ac:dyDescent="0.3">
      <c r="C859"/>
      <c r="D859"/>
      <c r="E859"/>
      <c r="F859"/>
      <c r="G859"/>
      <c r="H859"/>
      <c r="I859"/>
      <c r="S859" s="2"/>
    </row>
    <row r="860" spans="3:19" x14ac:dyDescent="0.3">
      <c r="C860"/>
      <c r="D860"/>
      <c r="E860"/>
      <c r="F860"/>
      <c r="G860"/>
      <c r="H860"/>
      <c r="I860"/>
      <c r="S860" s="2"/>
    </row>
    <row r="861" spans="3:19" x14ac:dyDescent="0.3">
      <c r="C861"/>
      <c r="D861"/>
      <c r="E861"/>
      <c r="F861"/>
      <c r="G861"/>
      <c r="H861"/>
      <c r="I861"/>
      <c r="S861" s="2"/>
    </row>
    <row r="862" spans="3:19" x14ac:dyDescent="0.3">
      <c r="C862"/>
      <c r="D862"/>
      <c r="E862"/>
      <c r="F862"/>
      <c r="G862"/>
      <c r="H862"/>
      <c r="I862"/>
      <c r="S862" s="2"/>
    </row>
    <row r="863" spans="3:19" x14ac:dyDescent="0.3">
      <c r="C863"/>
      <c r="D863"/>
      <c r="E863"/>
      <c r="F863"/>
      <c r="G863"/>
      <c r="H863"/>
      <c r="I863"/>
      <c r="S863" s="2"/>
    </row>
    <row r="864" spans="3:19" x14ac:dyDescent="0.3">
      <c r="C864"/>
      <c r="D864"/>
      <c r="E864"/>
      <c r="F864"/>
      <c r="G864"/>
      <c r="H864"/>
      <c r="I864"/>
      <c r="S864" s="2"/>
    </row>
    <row r="865" spans="3:19" x14ac:dyDescent="0.3">
      <c r="C865"/>
      <c r="D865"/>
      <c r="E865"/>
      <c r="F865"/>
      <c r="G865"/>
      <c r="H865"/>
      <c r="I865"/>
      <c r="S865" s="2"/>
    </row>
    <row r="866" spans="3:19" x14ac:dyDescent="0.3">
      <c r="C866"/>
      <c r="D866"/>
      <c r="E866"/>
      <c r="F866"/>
      <c r="G866"/>
      <c r="H866"/>
      <c r="I866"/>
      <c r="S866" s="2"/>
    </row>
    <row r="867" spans="3:19" x14ac:dyDescent="0.3">
      <c r="C867"/>
      <c r="D867"/>
      <c r="E867"/>
      <c r="F867"/>
      <c r="G867"/>
      <c r="H867"/>
      <c r="I867"/>
      <c r="S867" s="2"/>
    </row>
    <row r="868" spans="3:19" x14ac:dyDescent="0.3">
      <c r="C868"/>
      <c r="D868"/>
      <c r="E868"/>
      <c r="F868"/>
      <c r="G868"/>
      <c r="H868"/>
      <c r="I868"/>
      <c r="S868" s="2"/>
    </row>
    <row r="869" spans="3:19" x14ac:dyDescent="0.3">
      <c r="C869"/>
      <c r="D869"/>
      <c r="E869"/>
      <c r="F869"/>
      <c r="G869"/>
      <c r="H869"/>
      <c r="I869"/>
      <c r="S869" s="2"/>
    </row>
    <row r="870" spans="3:19" x14ac:dyDescent="0.3">
      <c r="C870"/>
      <c r="D870"/>
      <c r="E870"/>
      <c r="F870"/>
      <c r="G870"/>
      <c r="H870"/>
      <c r="I870"/>
      <c r="S870" s="2"/>
    </row>
    <row r="871" spans="3:19" x14ac:dyDescent="0.3">
      <c r="C871"/>
      <c r="D871"/>
      <c r="E871"/>
      <c r="F871"/>
      <c r="G871"/>
      <c r="H871"/>
      <c r="I871"/>
      <c r="S871" s="2"/>
    </row>
    <row r="872" spans="3:19" x14ac:dyDescent="0.3">
      <c r="C872"/>
      <c r="D872"/>
      <c r="E872"/>
      <c r="F872"/>
      <c r="G872"/>
      <c r="H872"/>
      <c r="I872"/>
      <c r="S872" s="2"/>
    </row>
    <row r="873" spans="3:19" x14ac:dyDescent="0.3">
      <c r="C873"/>
      <c r="D873"/>
      <c r="E873"/>
      <c r="F873"/>
      <c r="G873"/>
      <c r="H873"/>
      <c r="I873"/>
      <c r="S873" s="2"/>
    </row>
    <row r="874" spans="3:19" x14ac:dyDescent="0.3">
      <c r="C874"/>
      <c r="D874"/>
      <c r="E874"/>
      <c r="F874"/>
      <c r="G874"/>
      <c r="H874"/>
      <c r="I874"/>
      <c r="S874" s="2"/>
    </row>
    <row r="875" spans="3:19" x14ac:dyDescent="0.3">
      <c r="C875"/>
      <c r="D875"/>
      <c r="E875"/>
      <c r="F875"/>
      <c r="G875"/>
      <c r="H875"/>
      <c r="I875"/>
      <c r="S875" s="2"/>
    </row>
    <row r="876" spans="3:19" x14ac:dyDescent="0.3">
      <c r="C876"/>
      <c r="D876"/>
      <c r="E876"/>
      <c r="F876"/>
      <c r="G876"/>
      <c r="H876"/>
      <c r="I876"/>
      <c r="S876" s="2"/>
    </row>
    <row r="877" spans="3:19" x14ac:dyDescent="0.3">
      <c r="C877"/>
      <c r="D877"/>
      <c r="E877"/>
      <c r="F877"/>
      <c r="G877"/>
      <c r="H877"/>
      <c r="I877"/>
      <c r="S877" s="2"/>
    </row>
    <row r="878" spans="3:19" x14ac:dyDescent="0.3">
      <c r="C878"/>
      <c r="D878"/>
      <c r="E878"/>
      <c r="F878"/>
      <c r="G878"/>
      <c r="H878"/>
      <c r="I878"/>
      <c r="S878" s="2"/>
    </row>
    <row r="879" spans="3:19" x14ac:dyDescent="0.3">
      <c r="C879"/>
      <c r="D879"/>
      <c r="E879"/>
      <c r="F879"/>
      <c r="G879"/>
      <c r="H879"/>
      <c r="I879"/>
      <c r="S879" s="2"/>
    </row>
    <row r="880" spans="3:19" x14ac:dyDescent="0.3">
      <c r="C880"/>
      <c r="D880"/>
      <c r="E880"/>
      <c r="F880"/>
      <c r="G880"/>
      <c r="H880"/>
      <c r="I880"/>
      <c r="S880" s="2"/>
    </row>
    <row r="881" spans="3:19" x14ac:dyDescent="0.3">
      <c r="C881"/>
      <c r="D881"/>
      <c r="E881"/>
      <c r="F881"/>
      <c r="G881"/>
      <c r="H881"/>
      <c r="I881"/>
      <c r="S881" s="2"/>
    </row>
    <row r="882" spans="3:19" x14ac:dyDescent="0.3">
      <c r="C882"/>
      <c r="D882"/>
      <c r="E882"/>
      <c r="F882"/>
      <c r="G882"/>
      <c r="H882"/>
      <c r="I882"/>
      <c r="S882" s="2"/>
    </row>
    <row r="883" spans="3:19" x14ac:dyDescent="0.3">
      <c r="C883"/>
      <c r="D883"/>
      <c r="E883"/>
      <c r="F883"/>
      <c r="G883"/>
      <c r="H883"/>
      <c r="I883"/>
      <c r="S883" s="2"/>
    </row>
    <row r="884" spans="3:19" x14ac:dyDescent="0.3">
      <c r="C884"/>
      <c r="D884"/>
      <c r="E884"/>
      <c r="F884"/>
      <c r="G884"/>
      <c r="H884"/>
      <c r="I884"/>
      <c r="S884" s="2"/>
    </row>
    <row r="885" spans="3:19" x14ac:dyDescent="0.3">
      <c r="C885"/>
      <c r="D885"/>
      <c r="E885"/>
      <c r="F885"/>
      <c r="G885"/>
      <c r="H885"/>
      <c r="I885"/>
      <c r="S885" s="2"/>
    </row>
    <row r="886" spans="3:19" x14ac:dyDescent="0.3">
      <c r="C886"/>
      <c r="D886"/>
      <c r="E886"/>
      <c r="F886"/>
      <c r="G886"/>
      <c r="H886"/>
      <c r="I886"/>
      <c r="S886" s="2"/>
    </row>
    <row r="887" spans="3:19" x14ac:dyDescent="0.3">
      <c r="C887"/>
      <c r="D887"/>
      <c r="E887"/>
      <c r="F887"/>
      <c r="G887"/>
      <c r="H887"/>
      <c r="I887"/>
      <c r="S887" s="2"/>
    </row>
    <row r="888" spans="3:19" x14ac:dyDescent="0.3">
      <c r="C888"/>
      <c r="D888"/>
      <c r="E888"/>
      <c r="F888"/>
      <c r="G888"/>
      <c r="H888"/>
      <c r="I888"/>
      <c r="S888" s="2"/>
    </row>
    <row r="889" spans="3:19" x14ac:dyDescent="0.3">
      <c r="C889"/>
      <c r="D889"/>
      <c r="E889"/>
      <c r="F889"/>
      <c r="G889"/>
      <c r="H889"/>
      <c r="I889"/>
      <c r="S889" s="2"/>
    </row>
    <row r="890" spans="3:19" x14ac:dyDescent="0.3">
      <c r="C890"/>
      <c r="D890"/>
      <c r="E890"/>
      <c r="F890"/>
      <c r="G890"/>
      <c r="H890"/>
      <c r="I890"/>
      <c r="S890" s="2"/>
    </row>
    <row r="891" spans="3:19" x14ac:dyDescent="0.3">
      <c r="C891"/>
      <c r="D891"/>
      <c r="E891"/>
      <c r="F891"/>
      <c r="G891"/>
      <c r="H891"/>
      <c r="I891"/>
      <c r="S891" s="2"/>
    </row>
    <row r="892" spans="3:19" x14ac:dyDescent="0.3">
      <c r="C892"/>
      <c r="D892"/>
      <c r="E892"/>
      <c r="F892"/>
      <c r="G892"/>
      <c r="H892"/>
      <c r="I892"/>
      <c r="S892" s="2"/>
    </row>
    <row r="893" spans="3:19" x14ac:dyDescent="0.3">
      <c r="C893"/>
      <c r="D893"/>
      <c r="E893"/>
      <c r="F893"/>
      <c r="G893"/>
      <c r="H893"/>
      <c r="I893"/>
      <c r="S893" s="2"/>
    </row>
    <row r="894" spans="3:19" x14ac:dyDescent="0.3">
      <c r="C894"/>
      <c r="D894"/>
      <c r="E894"/>
      <c r="F894"/>
      <c r="G894"/>
      <c r="H894"/>
      <c r="I894"/>
      <c r="S894" s="2"/>
    </row>
    <row r="895" spans="3:19" x14ac:dyDescent="0.3">
      <c r="C895"/>
      <c r="D895"/>
      <c r="E895"/>
      <c r="F895"/>
      <c r="G895"/>
      <c r="H895"/>
      <c r="I895"/>
      <c r="S895" s="2"/>
    </row>
    <row r="896" spans="3:19" x14ac:dyDescent="0.3">
      <c r="C896"/>
      <c r="D896"/>
      <c r="E896"/>
      <c r="F896"/>
      <c r="G896"/>
      <c r="H896"/>
      <c r="I896"/>
      <c r="S896" s="2"/>
    </row>
    <row r="897" spans="3:19" x14ac:dyDescent="0.3">
      <c r="C897"/>
      <c r="D897"/>
      <c r="E897"/>
      <c r="F897"/>
      <c r="G897"/>
      <c r="H897"/>
      <c r="I897"/>
      <c r="S897" s="2"/>
    </row>
    <row r="898" spans="3:19" x14ac:dyDescent="0.3">
      <c r="C898"/>
      <c r="D898"/>
      <c r="E898"/>
      <c r="F898"/>
      <c r="G898"/>
      <c r="H898"/>
      <c r="I898"/>
      <c r="S898" s="2"/>
    </row>
    <row r="899" spans="3:19" x14ac:dyDescent="0.3">
      <c r="C899"/>
      <c r="D899"/>
      <c r="E899"/>
      <c r="F899"/>
      <c r="G899"/>
      <c r="H899"/>
      <c r="I899"/>
      <c r="S899" s="2"/>
    </row>
    <row r="900" spans="3:19" x14ac:dyDescent="0.3">
      <c r="C900"/>
      <c r="D900"/>
      <c r="E900"/>
      <c r="F900"/>
      <c r="G900"/>
      <c r="H900"/>
      <c r="I900"/>
      <c r="S900" s="2"/>
    </row>
    <row r="901" spans="3:19" x14ac:dyDescent="0.3">
      <c r="C901"/>
      <c r="D901"/>
      <c r="E901"/>
      <c r="F901"/>
      <c r="G901"/>
      <c r="H901"/>
      <c r="I901"/>
      <c r="S901" s="2"/>
    </row>
    <row r="902" spans="3:19" x14ac:dyDescent="0.3">
      <c r="C902"/>
      <c r="D902"/>
      <c r="E902"/>
      <c r="F902"/>
      <c r="G902"/>
      <c r="H902"/>
      <c r="I902"/>
      <c r="S902" s="2"/>
    </row>
    <row r="903" spans="3:19" x14ac:dyDescent="0.3">
      <c r="C903"/>
      <c r="D903"/>
      <c r="E903"/>
      <c r="F903"/>
      <c r="G903"/>
      <c r="H903"/>
      <c r="I903"/>
      <c r="S903" s="2"/>
    </row>
    <row r="904" spans="3:19" x14ac:dyDescent="0.3">
      <c r="C904"/>
      <c r="D904"/>
      <c r="E904"/>
      <c r="F904"/>
      <c r="G904"/>
      <c r="H904"/>
      <c r="I904"/>
      <c r="S904" s="2"/>
    </row>
    <row r="905" spans="3:19" x14ac:dyDescent="0.3">
      <c r="C905"/>
      <c r="D905"/>
      <c r="E905"/>
      <c r="F905"/>
      <c r="G905"/>
      <c r="H905"/>
      <c r="I905"/>
      <c r="S905" s="2"/>
    </row>
    <row r="906" spans="3:19" x14ac:dyDescent="0.3">
      <c r="C906"/>
      <c r="D906"/>
      <c r="E906"/>
      <c r="F906"/>
      <c r="G906"/>
      <c r="H906"/>
      <c r="I906"/>
      <c r="S906" s="2"/>
    </row>
    <row r="907" spans="3:19" x14ac:dyDescent="0.3">
      <c r="C907"/>
      <c r="D907"/>
      <c r="E907"/>
      <c r="F907"/>
      <c r="G907"/>
      <c r="H907"/>
      <c r="I907"/>
      <c r="S907" s="2"/>
    </row>
    <row r="908" spans="3:19" x14ac:dyDescent="0.3">
      <c r="C908"/>
      <c r="D908"/>
      <c r="E908"/>
      <c r="F908"/>
      <c r="G908"/>
      <c r="H908"/>
      <c r="I908"/>
      <c r="S908" s="2"/>
    </row>
    <row r="909" spans="3:19" x14ac:dyDescent="0.3">
      <c r="C909"/>
      <c r="D909"/>
      <c r="E909"/>
      <c r="F909"/>
      <c r="G909"/>
      <c r="H909"/>
      <c r="I909"/>
      <c r="S909" s="2"/>
    </row>
    <row r="910" spans="3:19" x14ac:dyDescent="0.3">
      <c r="C910"/>
      <c r="D910"/>
      <c r="E910"/>
      <c r="F910"/>
      <c r="G910"/>
      <c r="H910"/>
      <c r="I910"/>
      <c r="S910" s="2"/>
    </row>
    <row r="911" spans="3:19" x14ac:dyDescent="0.3">
      <c r="C911"/>
      <c r="D911"/>
      <c r="E911"/>
      <c r="F911"/>
      <c r="G911"/>
      <c r="H911"/>
      <c r="I911"/>
      <c r="S911" s="2"/>
    </row>
    <row r="912" spans="3:19" x14ac:dyDescent="0.3">
      <c r="C912"/>
      <c r="D912"/>
      <c r="E912"/>
      <c r="F912"/>
      <c r="G912"/>
      <c r="H912"/>
      <c r="I912"/>
      <c r="S912" s="2"/>
    </row>
    <row r="913" spans="3:19" x14ac:dyDescent="0.3">
      <c r="C913"/>
      <c r="D913"/>
      <c r="E913"/>
      <c r="F913"/>
      <c r="G913"/>
      <c r="H913"/>
      <c r="I913"/>
      <c r="S913" s="2"/>
    </row>
    <row r="914" spans="3:19" x14ac:dyDescent="0.3">
      <c r="C914"/>
      <c r="D914"/>
      <c r="E914"/>
      <c r="F914"/>
      <c r="G914"/>
      <c r="H914"/>
      <c r="I914"/>
      <c r="S914" s="2"/>
    </row>
    <row r="915" spans="3:19" x14ac:dyDescent="0.3">
      <c r="C915"/>
      <c r="D915"/>
      <c r="E915"/>
      <c r="F915"/>
      <c r="G915"/>
      <c r="H915"/>
      <c r="I915"/>
      <c r="S915" s="2"/>
    </row>
    <row r="916" spans="3:19" x14ac:dyDescent="0.3">
      <c r="C916"/>
      <c r="D916"/>
      <c r="E916"/>
      <c r="F916"/>
      <c r="G916"/>
      <c r="H916"/>
      <c r="I916"/>
      <c r="S916" s="2"/>
    </row>
    <row r="917" spans="3:19" x14ac:dyDescent="0.3">
      <c r="C917"/>
      <c r="D917"/>
      <c r="E917"/>
      <c r="F917"/>
      <c r="G917"/>
      <c r="H917"/>
      <c r="I917"/>
      <c r="S917" s="2"/>
    </row>
    <row r="918" spans="3:19" x14ac:dyDescent="0.3">
      <c r="C918"/>
      <c r="D918"/>
      <c r="E918"/>
      <c r="F918"/>
      <c r="G918"/>
      <c r="H918"/>
      <c r="I918"/>
      <c r="S918" s="2"/>
    </row>
    <row r="919" spans="3:19" x14ac:dyDescent="0.3">
      <c r="C919"/>
      <c r="D919"/>
      <c r="E919"/>
      <c r="F919"/>
      <c r="G919"/>
      <c r="H919"/>
      <c r="I919"/>
      <c r="S919" s="2"/>
    </row>
    <row r="920" spans="3:19" x14ac:dyDescent="0.3">
      <c r="C920"/>
      <c r="D920"/>
      <c r="E920"/>
      <c r="F920"/>
      <c r="G920"/>
      <c r="H920"/>
      <c r="I920"/>
      <c r="S920" s="2"/>
    </row>
    <row r="921" spans="3:19" x14ac:dyDescent="0.3">
      <c r="C921"/>
      <c r="D921"/>
      <c r="E921"/>
      <c r="F921"/>
      <c r="G921"/>
      <c r="H921"/>
      <c r="I921"/>
      <c r="S921" s="2"/>
    </row>
    <row r="922" spans="3:19" x14ac:dyDescent="0.3">
      <c r="C922"/>
      <c r="D922"/>
      <c r="E922"/>
      <c r="F922"/>
      <c r="G922"/>
      <c r="H922"/>
      <c r="I922"/>
      <c r="S922" s="2"/>
    </row>
    <row r="923" spans="3:19" x14ac:dyDescent="0.3">
      <c r="C923"/>
      <c r="D923"/>
      <c r="E923"/>
      <c r="F923"/>
      <c r="G923"/>
      <c r="H923"/>
      <c r="I923"/>
      <c r="S923" s="2"/>
    </row>
    <row r="924" spans="3:19" x14ac:dyDescent="0.3">
      <c r="C924"/>
      <c r="D924"/>
      <c r="E924"/>
      <c r="F924"/>
      <c r="G924"/>
      <c r="H924"/>
      <c r="I924"/>
      <c r="S924" s="2"/>
    </row>
    <row r="925" spans="3:19" x14ac:dyDescent="0.3">
      <c r="C925"/>
      <c r="D925"/>
      <c r="E925"/>
      <c r="F925"/>
      <c r="G925"/>
      <c r="H925"/>
      <c r="I925"/>
      <c r="S925" s="2"/>
    </row>
    <row r="926" spans="3:19" x14ac:dyDescent="0.3">
      <c r="C926"/>
      <c r="D926"/>
      <c r="E926"/>
      <c r="F926"/>
      <c r="G926"/>
      <c r="H926"/>
      <c r="I926"/>
      <c r="S926" s="2"/>
    </row>
    <row r="927" spans="3:19" x14ac:dyDescent="0.3">
      <c r="C927"/>
      <c r="D927"/>
      <c r="E927"/>
      <c r="F927"/>
      <c r="G927"/>
      <c r="H927"/>
      <c r="I927"/>
      <c r="S927" s="2"/>
    </row>
    <row r="928" spans="3:19" x14ac:dyDescent="0.3">
      <c r="C928"/>
      <c r="D928"/>
      <c r="E928"/>
      <c r="F928"/>
      <c r="G928"/>
      <c r="H928"/>
      <c r="I928"/>
      <c r="S928" s="2"/>
    </row>
    <row r="929" spans="3:19" x14ac:dyDescent="0.3">
      <c r="C929"/>
      <c r="D929"/>
      <c r="E929"/>
      <c r="F929"/>
      <c r="G929"/>
      <c r="H929"/>
      <c r="I929"/>
      <c r="S929" s="2"/>
    </row>
    <row r="930" spans="3:19" x14ac:dyDescent="0.3">
      <c r="C930"/>
      <c r="D930"/>
      <c r="E930"/>
      <c r="F930"/>
      <c r="G930"/>
      <c r="H930"/>
      <c r="I930"/>
      <c r="S930" s="2"/>
    </row>
    <row r="931" spans="3:19" x14ac:dyDescent="0.3">
      <c r="C931"/>
      <c r="D931"/>
      <c r="E931"/>
      <c r="F931"/>
      <c r="G931"/>
      <c r="H931"/>
      <c r="I931"/>
      <c r="S931" s="2"/>
    </row>
    <row r="932" spans="3:19" x14ac:dyDescent="0.3">
      <c r="C932"/>
      <c r="D932"/>
      <c r="E932"/>
      <c r="F932"/>
      <c r="G932"/>
      <c r="H932"/>
      <c r="I932"/>
      <c r="S932" s="2"/>
    </row>
    <row r="933" spans="3:19" x14ac:dyDescent="0.3">
      <c r="C933"/>
      <c r="D933"/>
      <c r="E933"/>
      <c r="F933"/>
      <c r="G933"/>
      <c r="H933"/>
      <c r="I933"/>
      <c r="S933" s="2"/>
    </row>
    <row r="934" spans="3:19" x14ac:dyDescent="0.3">
      <c r="C934"/>
      <c r="D934"/>
      <c r="E934"/>
      <c r="F934"/>
      <c r="G934"/>
      <c r="H934"/>
      <c r="I934"/>
      <c r="S934" s="2"/>
    </row>
    <row r="935" spans="3:19" x14ac:dyDescent="0.3">
      <c r="C935"/>
      <c r="D935"/>
      <c r="E935"/>
      <c r="F935"/>
      <c r="G935"/>
      <c r="H935"/>
      <c r="I935"/>
      <c r="S935" s="2"/>
    </row>
    <row r="936" spans="3:19" x14ac:dyDescent="0.3">
      <c r="C936"/>
      <c r="D936"/>
      <c r="E936"/>
      <c r="F936"/>
      <c r="G936"/>
      <c r="H936"/>
      <c r="I936"/>
      <c r="S936" s="2"/>
    </row>
    <row r="937" spans="3:19" x14ac:dyDescent="0.3">
      <c r="C937"/>
      <c r="D937"/>
      <c r="E937"/>
      <c r="F937"/>
      <c r="G937"/>
      <c r="H937"/>
      <c r="I937"/>
      <c r="S937" s="2"/>
    </row>
    <row r="938" spans="3:19" x14ac:dyDescent="0.3">
      <c r="C938"/>
      <c r="D938"/>
      <c r="E938"/>
      <c r="F938"/>
      <c r="G938"/>
      <c r="H938"/>
      <c r="I938"/>
      <c r="S938" s="2"/>
    </row>
    <row r="939" spans="3:19" x14ac:dyDescent="0.3">
      <c r="C939"/>
      <c r="D939"/>
      <c r="E939"/>
      <c r="F939"/>
      <c r="G939"/>
      <c r="H939"/>
      <c r="I939"/>
      <c r="S939" s="2"/>
    </row>
    <row r="940" spans="3:19" x14ac:dyDescent="0.3">
      <c r="C940"/>
      <c r="D940"/>
      <c r="E940"/>
      <c r="F940"/>
      <c r="G940"/>
      <c r="H940"/>
      <c r="I940"/>
      <c r="S940" s="2"/>
    </row>
    <row r="941" spans="3:19" x14ac:dyDescent="0.3">
      <c r="C941"/>
      <c r="D941"/>
      <c r="E941"/>
      <c r="F941"/>
      <c r="G941"/>
      <c r="H941"/>
      <c r="I941"/>
      <c r="S941" s="2"/>
    </row>
    <row r="942" spans="3:19" x14ac:dyDescent="0.3">
      <c r="C942"/>
      <c r="D942"/>
      <c r="E942"/>
      <c r="F942"/>
      <c r="G942"/>
      <c r="H942"/>
      <c r="I942"/>
      <c r="S942" s="2"/>
    </row>
    <row r="943" spans="3:19" x14ac:dyDescent="0.3">
      <c r="C943"/>
      <c r="D943"/>
      <c r="E943"/>
      <c r="F943"/>
      <c r="G943"/>
      <c r="H943"/>
      <c r="I943"/>
      <c r="S943" s="2"/>
    </row>
    <row r="944" spans="3:19" x14ac:dyDescent="0.3">
      <c r="C944"/>
      <c r="D944"/>
      <c r="E944"/>
      <c r="F944"/>
      <c r="G944"/>
      <c r="H944"/>
      <c r="I944"/>
      <c r="S944" s="2"/>
    </row>
    <row r="945" spans="3:19" x14ac:dyDescent="0.3">
      <c r="C945"/>
      <c r="D945"/>
      <c r="E945"/>
      <c r="F945"/>
      <c r="G945"/>
      <c r="H945"/>
      <c r="I945"/>
      <c r="S945" s="2"/>
    </row>
    <row r="946" spans="3:19" x14ac:dyDescent="0.3">
      <c r="C946"/>
      <c r="D946"/>
      <c r="E946"/>
      <c r="F946"/>
      <c r="G946"/>
      <c r="H946"/>
      <c r="I946"/>
      <c r="S946" s="2"/>
    </row>
    <row r="947" spans="3:19" x14ac:dyDescent="0.3">
      <c r="C947"/>
      <c r="D947"/>
      <c r="E947"/>
      <c r="F947"/>
      <c r="G947"/>
      <c r="H947"/>
      <c r="I947"/>
      <c r="S947" s="2"/>
    </row>
    <row r="948" spans="3:19" x14ac:dyDescent="0.3">
      <c r="C948"/>
      <c r="D948"/>
      <c r="E948"/>
      <c r="F948"/>
      <c r="G948"/>
      <c r="H948"/>
      <c r="I948"/>
      <c r="S948" s="2"/>
    </row>
    <row r="949" spans="3:19" x14ac:dyDescent="0.3">
      <c r="C949"/>
      <c r="D949"/>
      <c r="E949"/>
      <c r="F949"/>
      <c r="G949"/>
      <c r="H949"/>
      <c r="I949"/>
      <c r="S949" s="2"/>
    </row>
    <row r="950" spans="3:19" x14ac:dyDescent="0.3">
      <c r="C950"/>
      <c r="D950"/>
      <c r="E950"/>
      <c r="F950"/>
      <c r="G950"/>
      <c r="H950"/>
      <c r="I950"/>
      <c r="S950" s="2"/>
    </row>
    <row r="951" spans="3:19" x14ac:dyDescent="0.3">
      <c r="C951"/>
      <c r="D951"/>
      <c r="E951"/>
      <c r="F951"/>
      <c r="G951"/>
      <c r="H951"/>
      <c r="I951"/>
      <c r="S951" s="2"/>
    </row>
    <row r="952" spans="3:19" x14ac:dyDescent="0.3">
      <c r="C952"/>
      <c r="D952"/>
      <c r="E952"/>
      <c r="F952"/>
      <c r="G952"/>
      <c r="H952"/>
      <c r="I952"/>
      <c r="S952" s="2"/>
    </row>
    <row r="953" spans="3:19" x14ac:dyDescent="0.3">
      <c r="C953"/>
      <c r="D953"/>
      <c r="E953"/>
      <c r="F953"/>
      <c r="G953"/>
      <c r="H953"/>
      <c r="I953"/>
      <c r="S953" s="2"/>
    </row>
    <row r="954" spans="3:19" x14ac:dyDescent="0.3">
      <c r="C954"/>
      <c r="D954"/>
      <c r="E954"/>
      <c r="F954"/>
      <c r="G954"/>
      <c r="H954"/>
      <c r="I954"/>
      <c r="S954" s="2"/>
    </row>
    <row r="955" spans="3:19" x14ac:dyDescent="0.3">
      <c r="C955"/>
      <c r="D955"/>
      <c r="E955"/>
      <c r="F955"/>
      <c r="G955"/>
      <c r="H955"/>
      <c r="I955"/>
      <c r="S955" s="2"/>
    </row>
    <row r="956" spans="3:19" x14ac:dyDescent="0.3">
      <c r="C956"/>
      <c r="D956"/>
      <c r="E956"/>
      <c r="F956"/>
      <c r="G956"/>
      <c r="H956"/>
      <c r="I956"/>
      <c r="S956" s="2"/>
    </row>
    <row r="957" spans="3:19" x14ac:dyDescent="0.3">
      <c r="C957"/>
      <c r="D957"/>
      <c r="E957"/>
      <c r="F957"/>
      <c r="G957"/>
      <c r="H957"/>
      <c r="I957"/>
      <c r="S957" s="2"/>
    </row>
    <row r="958" spans="3:19" x14ac:dyDescent="0.3">
      <c r="C958"/>
      <c r="D958"/>
      <c r="E958"/>
      <c r="F958"/>
      <c r="G958"/>
      <c r="H958"/>
      <c r="I958"/>
      <c r="S958" s="2"/>
    </row>
    <row r="959" spans="3:19" x14ac:dyDescent="0.3">
      <c r="C959"/>
      <c r="D959"/>
      <c r="E959"/>
      <c r="F959"/>
      <c r="G959"/>
      <c r="H959"/>
      <c r="I959"/>
      <c r="S959" s="2"/>
    </row>
    <row r="960" spans="3:19" x14ac:dyDescent="0.3">
      <c r="C960"/>
      <c r="D960"/>
      <c r="E960"/>
      <c r="F960"/>
      <c r="G960"/>
      <c r="H960"/>
      <c r="I960"/>
      <c r="S960" s="2"/>
    </row>
    <row r="961" spans="3:19" x14ac:dyDescent="0.3">
      <c r="C961"/>
      <c r="D961"/>
      <c r="E961"/>
      <c r="F961"/>
      <c r="G961"/>
      <c r="H961"/>
      <c r="I961"/>
      <c r="S961" s="2"/>
    </row>
    <row r="962" spans="3:19" x14ac:dyDescent="0.3">
      <c r="C962"/>
      <c r="D962"/>
      <c r="E962"/>
      <c r="F962"/>
      <c r="G962"/>
      <c r="H962"/>
      <c r="I962"/>
      <c r="S962" s="2"/>
    </row>
    <row r="963" spans="3:19" x14ac:dyDescent="0.3">
      <c r="C963"/>
      <c r="D963"/>
      <c r="E963"/>
      <c r="F963"/>
      <c r="G963"/>
      <c r="H963"/>
      <c r="I963"/>
      <c r="S963" s="2"/>
    </row>
    <row r="964" spans="3:19" x14ac:dyDescent="0.3">
      <c r="C964"/>
      <c r="D964"/>
      <c r="E964"/>
      <c r="F964"/>
      <c r="G964"/>
      <c r="H964"/>
      <c r="I964"/>
      <c r="S964" s="2"/>
    </row>
    <row r="965" spans="3:19" x14ac:dyDescent="0.3">
      <c r="C965"/>
      <c r="D965"/>
      <c r="E965"/>
      <c r="F965"/>
      <c r="G965"/>
      <c r="H965"/>
      <c r="I965"/>
      <c r="S965" s="2"/>
    </row>
    <row r="966" spans="3:19" x14ac:dyDescent="0.3">
      <c r="C966"/>
      <c r="D966"/>
      <c r="E966"/>
      <c r="F966"/>
      <c r="G966"/>
      <c r="H966"/>
      <c r="I966"/>
      <c r="S966" s="2"/>
    </row>
    <row r="967" spans="3:19" x14ac:dyDescent="0.3">
      <c r="C967"/>
      <c r="D967"/>
      <c r="E967"/>
      <c r="F967"/>
      <c r="G967"/>
      <c r="H967"/>
      <c r="I967"/>
      <c r="S967" s="2"/>
    </row>
    <row r="968" spans="3:19" x14ac:dyDescent="0.3">
      <c r="C968"/>
      <c r="D968"/>
      <c r="E968"/>
      <c r="F968"/>
      <c r="G968"/>
      <c r="H968"/>
      <c r="I968"/>
      <c r="S968" s="2"/>
    </row>
    <row r="969" spans="3:19" x14ac:dyDescent="0.3">
      <c r="C969"/>
      <c r="D969"/>
      <c r="E969"/>
      <c r="F969"/>
      <c r="G969"/>
      <c r="H969"/>
      <c r="I969"/>
      <c r="S969" s="2"/>
    </row>
    <row r="970" spans="3:19" x14ac:dyDescent="0.3">
      <c r="C970"/>
      <c r="D970"/>
      <c r="E970"/>
      <c r="F970"/>
      <c r="G970"/>
      <c r="H970"/>
      <c r="I970"/>
      <c r="S970" s="2"/>
    </row>
    <row r="971" spans="3:19" x14ac:dyDescent="0.3">
      <c r="C971"/>
      <c r="D971"/>
      <c r="E971"/>
      <c r="F971"/>
      <c r="G971"/>
      <c r="H971"/>
      <c r="I971"/>
      <c r="S971" s="2"/>
    </row>
    <row r="972" spans="3:19" x14ac:dyDescent="0.3">
      <c r="C972"/>
      <c r="D972"/>
      <c r="E972"/>
      <c r="F972"/>
      <c r="G972"/>
      <c r="H972"/>
      <c r="I972"/>
      <c r="S972" s="2"/>
    </row>
    <row r="973" spans="3:19" x14ac:dyDescent="0.3">
      <c r="C973"/>
      <c r="D973"/>
      <c r="E973"/>
      <c r="F973"/>
      <c r="G973"/>
      <c r="H973"/>
      <c r="I973"/>
      <c r="S973" s="2"/>
    </row>
    <row r="974" spans="3:19" x14ac:dyDescent="0.3">
      <c r="C974"/>
      <c r="D974"/>
      <c r="E974"/>
      <c r="F974"/>
      <c r="G974"/>
      <c r="H974"/>
      <c r="I974"/>
      <c r="S974" s="2"/>
    </row>
    <row r="975" spans="3:19" x14ac:dyDescent="0.3">
      <c r="C975"/>
      <c r="D975"/>
      <c r="E975"/>
      <c r="F975"/>
      <c r="G975"/>
      <c r="H975"/>
      <c r="I975"/>
      <c r="S975" s="2"/>
    </row>
    <row r="976" spans="3:19" x14ac:dyDescent="0.3">
      <c r="C976"/>
      <c r="D976"/>
      <c r="E976"/>
      <c r="F976"/>
      <c r="G976"/>
      <c r="H976"/>
      <c r="I976"/>
      <c r="S976" s="2"/>
    </row>
    <row r="977" spans="3:19" x14ac:dyDescent="0.3">
      <c r="C977"/>
      <c r="D977"/>
      <c r="E977"/>
      <c r="F977"/>
      <c r="G977"/>
      <c r="H977"/>
      <c r="I977"/>
      <c r="S977" s="2"/>
    </row>
    <row r="978" spans="3:19" x14ac:dyDescent="0.3">
      <c r="C978"/>
      <c r="D978"/>
      <c r="E978"/>
      <c r="F978"/>
      <c r="G978"/>
      <c r="H978"/>
      <c r="I978"/>
      <c r="S978" s="2"/>
    </row>
    <row r="979" spans="3:19" x14ac:dyDescent="0.3">
      <c r="C979"/>
      <c r="D979"/>
      <c r="E979"/>
      <c r="F979"/>
      <c r="G979"/>
      <c r="H979"/>
      <c r="I979"/>
      <c r="S979" s="2"/>
    </row>
    <row r="980" spans="3:19" x14ac:dyDescent="0.3">
      <c r="C980"/>
      <c r="D980"/>
      <c r="E980"/>
      <c r="F980"/>
      <c r="G980"/>
      <c r="H980"/>
      <c r="I980"/>
      <c r="S980" s="2"/>
    </row>
    <row r="981" spans="3:19" x14ac:dyDescent="0.3">
      <c r="C981"/>
      <c r="D981"/>
      <c r="E981"/>
      <c r="F981"/>
      <c r="G981"/>
      <c r="H981"/>
      <c r="I981"/>
      <c r="S981" s="2"/>
    </row>
    <row r="982" spans="3:19" x14ac:dyDescent="0.3">
      <c r="C982"/>
      <c r="D982"/>
      <c r="E982"/>
      <c r="F982"/>
      <c r="G982"/>
      <c r="H982"/>
      <c r="I982"/>
      <c r="S982" s="2"/>
    </row>
    <row r="983" spans="3:19" x14ac:dyDescent="0.3">
      <c r="C983"/>
      <c r="D983"/>
      <c r="E983"/>
      <c r="F983"/>
      <c r="G983"/>
      <c r="H983"/>
      <c r="I983"/>
      <c r="S983" s="2"/>
    </row>
    <row r="984" spans="3:19" x14ac:dyDescent="0.3">
      <c r="C984"/>
      <c r="D984"/>
      <c r="E984"/>
      <c r="F984"/>
      <c r="G984"/>
      <c r="H984"/>
      <c r="I984"/>
      <c r="S984" s="2"/>
    </row>
    <row r="985" spans="3:19" x14ac:dyDescent="0.3">
      <c r="C985"/>
      <c r="D985"/>
      <c r="E985"/>
      <c r="F985"/>
      <c r="G985"/>
      <c r="H985"/>
      <c r="I985"/>
      <c r="S985" s="2"/>
    </row>
    <row r="986" spans="3:19" x14ac:dyDescent="0.3">
      <c r="C986"/>
      <c r="D986"/>
      <c r="E986"/>
      <c r="F986"/>
      <c r="G986"/>
      <c r="H986"/>
      <c r="I986"/>
      <c r="S986" s="2"/>
    </row>
    <row r="987" spans="3:19" x14ac:dyDescent="0.3">
      <c r="C987"/>
      <c r="D987"/>
      <c r="E987"/>
      <c r="F987"/>
      <c r="G987"/>
      <c r="H987"/>
      <c r="I987"/>
      <c r="S987" s="2"/>
    </row>
    <row r="988" spans="3:19" x14ac:dyDescent="0.3">
      <c r="C988"/>
      <c r="D988"/>
      <c r="E988"/>
      <c r="F988"/>
      <c r="G988"/>
      <c r="H988"/>
      <c r="I988"/>
      <c r="S988" s="2"/>
    </row>
    <row r="989" spans="3:19" x14ac:dyDescent="0.3">
      <c r="C989"/>
      <c r="D989"/>
      <c r="E989"/>
      <c r="F989"/>
      <c r="G989"/>
      <c r="H989"/>
      <c r="I989"/>
      <c r="S989" s="2"/>
    </row>
    <row r="990" spans="3:19" x14ac:dyDescent="0.3">
      <c r="C990"/>
      <c r="D990"/>
      <c r="E990"/>
      <c r="F990"/>
      <c r="G990"/>
      <c r="H990"/>
      <c r="I990"/>
      <c r="S990" s="2"/>
    </row>
    <row r="991" spans="3:19" x14ac:dyDescent="0.3">
      <c r="C991"/>
      <c r="D991"/>
      <c r="E991"/>
      <c r="F991"/>
      <c r="G991"/>
      <c r="H991"/>
      <c r="I991"/>
      <c r="S991" s="2"/>
    </row>
    <row r="992" spans="3:19" x14ac:dyDescent="0.3">
      <c r="C992"/>
      <c r="D992"/>
      <c r="E992"/>
      <c r="F992"/>
      <c r="G992"/>
      <c r="H992"/>
      <c r="I992"/>
      <c r="S992" s="2"/>
    </row>
    <row r="993" spans="3:19" x14ac:dyDescent="0.3">
      <c r="C993"/>
      <c r="D993"/>
      <c r="E993"/>
      <c r="F993"/>
      <c r="G993"/>
      <c r="H993"/>
      <c r="I993"/>
      <c r="S993" s="2"/>
    </row>
    <row r="994" spans="3:19" x14ac:dyDescent="0.3">
      <c r="C994"/>
      <c r="D994"/>
      <c r="E994"/>
      <c r="F994"/>
      <c r="G994"/>
      <c r="H994"/>
      <c r="I994"/>
      <c r="S994" s="2"/>
    </row>
    <row r="995" spans="3:19" x14ac:dyDescent="0.3">
      <c r="C995"/>
      <c r="D995"/>
      <c r="E995"/>
      <c r="F995"/>
      <c r="G995"/>
      <c r="H995"/>
      <c r="I995"/>
      <c r="S995" s="2"/>
    </row>
    <row r="996" spans="3:19" x14ac:dyDescent="0.3">
      <c r="C996"/>
      <c r="D996"/>
      <c r="E996"/>
      <c r="F996"/>
      <c r="G996"/>
      <c r="H996"/>
      <c r="I996"/>
      <c r="S996" s="2"/>
    </row>
    <row r="997" spans="3:19" x14ac:dyDescent="0.3">
      <c r="C997"/>
      <c r="D997"/>
      <c r="E997"/>
      <c r="F997"/>
      <c r="G997"/>
      <c r="H997"/>
      <c r="I997"/>
      <c r="S997" s="2"/>
    </row>
    <row r="998" spans="3:19" x14ac:dyDescent="0.3">
      <c r="C998"/>
      <c r="D998"/>
      <c r="E998"/>
      <c r="F998"/>
      <c r="G998"/>
      <c r="H998"/>
      <c r="I998"/>
      <c r="S998" s="2"/>
    </row>
    <row r="999" spans="3:19" x14ac:dyDescent="0.3">
      <c r="C999"/>
      <c r="D999"/>
      <c r="E999"/>
      <c r="F999"/>
      <c r="G999"/>
      <c r="H999"/>
      <c r="I999"/>
      <c r="S999" s="2"/>
    </row>
    <row r="1000" spans="3:19" x14ac:dyDescent="0.3">
      <c r="C1000"/>
      <c r="D1000"/>
      <c r="E1000"/>
      <c r="F1000"/>
      <c r="G1000"/>
      <c r="H1000"/>
      <c r="I1000"/>
      <c r="S1000" s="2"/>
    </row>
    <row r="1001" spans="3:19" x14ac:dyDescent="0.3">
      <c r="C1001"/>
      <c r="D1001"/>
      <c r="E1001"/>
      <c r="F1001"/>
      <c r="G1001"/>
      <c r="H1001"/>
      <c r="I1001"/>
      <c r="S1001" s="2"/>
    </row>
    <row r="1002" spans="3:19" x14ac:dyDescent="0.3">
      <c r="C1002"/>
      <c r="D1002"/>
      <c r="E1002"/>
      <c r="F1002"/>
      <c r="G1002"/>
      <c r="H1002"/>
      <c r="I1002"/>
      <c r="S1002" s="2"/>
    </row>
    <row r="1003" spans="3:19" x14ac:dyDescent="0.3">
      <c r="C1003"/>
      <c r="D1003"/>
      <c r="E1003"/>
      <c r="F1003"/>
      <c r="G1003"/>
      <c r="H1003"/>
      <c r="I1003"/>
      <c r="S1003" s="2"/>
    </row>
    <row r="1004" spans="3:19" x14ac:dyDescent="0.3">
      <c r="C1004"/>
      <c r="D1004"/>
      <c r="E1004"/>
      <c r="F1004"/>
      <c r="G1004"/>
      <c r="H1004"/>
      <c r="I1004"/>
      <c r="S1004" s="2"/>
    </row>
    <row r="1005" spans="3:19" x14ac:dyDescent="0.3">
      <c r="C1005"/>
      <c r="D1005"/>
      <c r="E1005"/>
      <c r="F1005"/>
      <c r="G1005"/>
      <c r="H1005"/>
      <c r="I1005"/>
      <c r="S1005" s="2"/>
    </row>
    <row r="1006" spans="3:19" x14ac:dyDescent="0.3">
      <c r="C1006"/>
      <c r="D1006"/>
      <c r="E1006"/>
      <c r="F1006"/>
      <c r="G1006"/>
      <c r="H1006"/>
      <c r="I1006"/>
      <c r="S1006" s="2"/>
    </row>
    <row r="1007" spans="3:19" x14ac:dyDescent="0.3">
      <c r="C1007"/>
      <c r="D1007"/>
      <c r="E1007"/>
      <c r="F1007"/>
      <c r="G1007"/>
      <c r="H1007"/>
      <c r="I1007"/>
      <c r="S1007" s="2"/>
    </row>
    <row r="1008" spans="3:19" x14ac:dyDescent="0.3">
      <c r="C1008"/>
      <c r="D1008"/>
      <c r="E1008"/>
      <c r="F1008"/>
      <c r="G1008"/>
      <c r="H1008"/>
      <c r="I1008"/>
      <c r="S1008" s="2"/>
    </row>
    <row r="1009" spans="3:19" x14ac:dyDescent="0.3">
      <c r="C1009"/>
      <c r="D1009"/>
      <c r="E1009"/>
      <c r="F1009"/>
      <c r="G1009"/>
      <c r="H1009"/>
      <c r="I1009"/>
      <c r="S1009" s="2"/>
    </row>
    <row r="1010" spans="3:19" x14ac:dyDescent="0.3">
      <c r="C1010"/>
      <c r="D1010"/>
      <c r="E1010"/>
      <c r="F1010"/>
      <c r="G1010"/>
      <c r="H1010"/>
      <c r="I1010"/>
      <c r="S1010" s="2"/>
    </row>
    <row r="1011" spans="3:19" x14ac:dyDescent="0.3">
      <c r="C1011"/>
      <c r="D1011"/>
      <c r="E1011"/>
      <c r="F1011"/>
      <c r="G1011"/>
      <c r="H1011"/>
      <c r="I1011"/>
      <c r="S1011" s="2"/>
    </row>
    <row r="1012" spans="3:19" x14ac:dyDescent="0.3">
      <c r="C1012"/>
      <c r="D1012"/>
      <c r="E1012"/>
      <c r="F1012"/>
      <c r="G1012"/>
      <c r="H1012"/>
      <c r="I1012"/>
      <c r="S1012" s="2"/>
    </row>
    <row r="1013" spans="3:19" x14ac:dyDescent="0.3">
      <c r="C1013"/>
      <c r="D1013"/>
      <c r="E1013"/>
      <c r="F1013"/>
      <c r="G1013"/>
      <c r="H1013"/>
      <c r="I1013"/>
      <c r="S1013" s="2"/>
    </row>
    <row r="1014" spans="3:19" x14ac:dyDescent="0.3">
      <c r="C1014"/>
      <c r="D1014"/>
      <c r="E1014"/>
      <c r="F1014"/>
      <c r="G1014"/>
      <c r="H1014"/>
      <c r="I1014"/>
      <c r="S1014" s="2"/>
    </row>
    <row r="1015" spans="3:19" x14ac:dyDescent="0.3">
      <c r="C1015"/>
      <c r="D1015"/>
      <c r="E1015"/>
      <c r="F1015"/>
      <c r="G1015"/>
      <c r="H1015"/>
      <c r="I1015"/>
      <c r="S1015" s="2"/>
    </row>
    <row r="1016" spans="3:19" x14ac:dyDescent="0.3">
      <c r="C1016"/>
      <c r="D1016"/>
      <c r="E1016"/>
      <c r="F1016"/>
      <c r="G1016"/>
      <c r="H1016"/>
      <c r="I1016"/>
      <c r="S1016" s="2"/>
    </row>
    <row r="1017" spans="3:19" x14ac:dyDescent="0.3">
      <c r="C1017"/>
      <c r="D1017"/>
      <c r="E1017"/>
      <c r="F1017"/>
      <c r="G1017"/>
      <c r="H1017"/>
      <c r="I1017"/>
      <c r="S1017" s="2"/>
    </row>
    <row r="1018" spans="3:19" x14ac:dyDescent="0.3">
      <c r="C1018"/>
      <c r="D1018"/>
      <c r="E1018"/>
      <c r="F1018"/>
      <c r="G1018"/>
      <c r="H1018"/>
      <c r="I1018"/>
      <c r="S1018" s="2"/>
    </row>
    <row r="1019" spans="3:19" x14ac:dyDescent="0.3">
      <c r="C1019"/>
      <c r="D1019"/>
      <c r="E1019"/>
      <c r="F1019"/>
      <c r="G1019"/>
      <c r="H1019"/>
      <c r="I1019"/>
      <c r="S1019" s="2"/>
    </row>
    <row r="1020" spans="3:19" x14ac:dyDescent="0.3">
      <c r="C1020"/>
      <c r="D1020"/>
      <c r="E1020"/>
      <c r="F1020"/>
      <c r="G1020"/>
      <c r="H1020"/>
      <c r="I1020"/>
      <c r="S1020" s="2"/>
    </row>
    <row r="1021" spans="3:19" x14ac:dyDescent="0.3">
      <c r="C1021"/>
      <c r="D1021"/>
      <c r="E1021"/>
      <c r="F1021"/>
      <c r="G1021"/>
      <c r="H1021"/>
      <c r="I1021"/>
      <c r="S1021" s="2"/>
    </row>
    <row r="1022" spans="3:19" x14ac:dyDescent="0.3">
      <c r="C1022"/>
      <c r="D1022"/>
      <c r="E1022"/>
      <c r="F1022"/>
      <c r="G1022"/>
      <c r="H1022"/>
      <c r="I1022"/>
      <c r="S1022" s="2"/>
    </row>
    <row r="1023" spans="3:19" x14ac:dyDescent="0.3">
      <c r="C1023"/>
      <c r="D1023"/>
      <c r="E1023"/>
      <c r="F1023"/>
      <c r="G1023"/>
      <c r="H1023"/>
      <c r="I1023"/>
      <c r="S1023" s="2"/>
    </row>
    <row r="1024" spans="3:19" x14ac:dyDescent="0.3">
      <c r="C1024"/>
      <c r="D1024"/>
      <c r="E1024"/>
      <c r="F1024"/>
      <c r="G1024"/>
      <c r="H1024"/>
      <c r="I1024"/>
      <c r="S1024" s="2"/>
    </row>
    <row r="1025" spans="3:19" x14ac:dyDescent="0.3">
      <c r="C1025"/>
      <c r="D1025"/>
      <c r="E1025"/>
      <c r="F1025"/>
      <c r="G1025"/>
      <c r="H1025"/>
      <c r="I1025"/>
      <c r="S1025" s="2"/>
    </row>
    <row r="1026" spans="3:19" x14ac:dyDescent="0.3">
      <c r="C1026"/>
      <c r="D1026"/>
      <c r="E1026"/>
      <c r="F1026"/>
      <c r="G1026"/>
      <c r="H1026"/>
      <c r="I1026"/>
      <c r="S1026" s="2"/>
    </row>
    <row r="1027" spans="3:19" x14ac:dyDescent="0.3">
      <c r="C1027"/>
      <c r="D1027"/>
      <c r="E1027"/>
      <c r="F1027"/>
      <c r="G1027"/>
      <c r="H1027"/>
      <c r="I1027"/>
      <c r="S1027" s="2"/>
    </row>
    <row r="1028" spans="3:19" x14ac:dyDescent="0.3">
      <c r="C1028"/>
      <c r="D1028"/>
      <c r="E1028"/>
      <c r="F1028"/>
      <c r="G1028"/>
      <c r="H1028"/>
      <c r="I1028"/>
      <c r="S1028" s="2"/>
    </row>
    <row r="1029" spans="3:19" x14ac:dyDescent="0.3">
      <c r="C1029"/>
      <c r="D1029"/>
      <c r="E1029"/>
      <c r="F1029"/>
      <c r="G1029"/>
      <c r="H1029"/>
      <c r="I1029"/>
      <c r="S1029" s="2"/>
    </row>
    <row r="1030" spans="3:19" x14ac:dyDescent="0.3">
      <c r="C1030"/>
      <c r="D1030"/>
      <c r="E1030"/>
      <c r="F1030"/>
      <c r="G1030"/>
      <c r="H1030"/>
      <c r="I1030"/>
    </row>
    <row r="1031" spans="3:19" x14ac:dyDescent="0.3">
      <c r="C1031"/>
      <c r="D1031"/>
      <c r="E1031"/>
      <c r="F1031"/>
      <c r="G1031"/>
      <c r="H1031"/>
      <c r="I1031"/>
    </row>
    <row r="1032" spans="3:19" x14ac:dyDescent="0.3">
      <c r="C1032"/>
      <c r="D1032"/>
      <c r="E1032"/>
      <c r="F1032"/>
      <c r="G1032"/>
      <c r="H1032"/>
      <c r="I1032"/>
    </row>
    <row r="1033" spans="3:19" x14ac:dyDescent="0.3">
      <c r="C1033"/>
      <c r="D1033"/>
      <c r="E1033"/>
      <c r="F1033"/>
      <c r="G1033"/>
      <c r="H1033"/>
      <c r="I1033"/>
    </row>
    <row r="1034" spans="3:19" x14ac:dyDescent="0.3">
      <c r="C1034"/>
      <c r="D1034"/>
      <c r="E1034"/>
      <c r="F1034"/>
      <c r="G1034"/>
      <c r="H1034"/>
      <c r="I1034"/>
    </row>
    <row r="1035" spans="3:19" x14ac:dyDescent="0.3">
      <c r="C1035"/>
      <c r="D1035"/>
      <c r="E1035"/>
      <c r="F1035"/>
      <c r="G1035"/>
      <c r="H1035"/>
      <c r="I1035"/>
    </row>
    <row r="1036" spans="3:19" x14ac:dyDescent="0.3">
      <c r="C1036"/>
      <c r="D1036"/>
      <c r="E1036"/>
      <c r="F1036"/>
      <c r="G1036"/>
      <c r="H1036"/>
      <c r="I1036"/>
    </row>
    <row r="1037" spans="3:19" x14ac:dyDescent="0.3">
      <c r="C1037"/>
      <c r="D1037"/>
      <c r="E1037"/>
      <c r="F1037"/>
      <c r="G1037"/>
      <c r="H1037"/>
      <c r="I1037"/>
    </row>
    <row r="1038" spans="3:19" x14ac:dyDescent="0.3">
      <c r="C1038"/>
      <c r="D1038"/>
      <c r="E1038"/>
      <c r="F1038"/>
      <c r="G1038"/>
      <c r="H1038"/>
      <c r="I1038"/>
    </row>
    <row r="1039" spans="3:19" x14ac:dyDescent="0.3">
      <c r="C1039"/>
      <c r="D1039"/>
      <c r="E1039"/>
      <c r="F1039"/>
      <c r="G1039"/>
      <c r="H1039"/>
      <c r="I1039"/>
    </row>
    <row r="1040" spans="3:19" x14ac:dyDescent="0.3">
      <c r="C1040"/>
      <c r="D1040"/>
      <c r="E1040"/>
      <c r="F1040"/>
      <c r="G1040"/>
      <c r="H1040"/>
      <c r="I1040"/>
    </row>
    <row r="1041" spans="10:20" customFormat="1" x14ac:dyDescent="0.3">
      <c r="J1041" s="30"/>
      <c r="T1041" s="30"/>
    </row>
    <row r="1042" spans="10:20" customFormat="1" x14ac:dyDescent="0.3">
      <c r="J1042" s="30"/>
      <c r="T1042" s="30"/>
    </row>
    <row r="1043" spans="10:20" customFormat="1" x14ac:dyDescent="0.3">
      <c r="J1043" s="30"/>
      <c r="T1043" s="30"/>
    </row>
    <row r="1044" spans="10:20" customFormat="1" x14ac:dyDescent="0.3">
      <c r="J1044" s="30"/>
      <c r="T1044" s="30"/>
    </row>
    <row r="1045" spans="10:20" customFormat="1" x14ac:dyDescent="0.3">
      <c r="J1045" s="30"/>
      <c r="T1045" s="30"/>
    </row>
    <row r="1046" spans="10:20" customFormat="1" x14ac:dyDescent="0.3">
      <c r="J1046" s="30"/>
      <c r="T1046" s="30"/>
    </row>
    <row r="1047" spans="10:20" customFormat="1" x14ac:dyDescent="0.3">
      <c r="J1047" s="30"/>
      <c r="T1047" s="30"/>
    </row>
    <row r="1048" spans="10:20" customFormat="1" x14ac:dyDescent="0.3">
      <c r="J1048" s="30"/>
      <c r="T1048" s="30"/>
    </row>
    <row r="1049" spans="10:20" customFormat="1" x14ac:dyDescent="0.3">
      <c r="J1049" s="30"/>
      <c r="T1049" s="30"/>
    </row>
    <row r="1050" spans="10:20" customFormat="1" x14ac:dyDescent="0.3">
      <c r="J1050" s="30"/>
      <c r="T1050" s="30"/>
    </row>
    <row r="1051" spans="10:20" customFormat="1" x14ac:dyDescent="0.3">
      <c r="J1051" s="30"/>
      <c r="T1051" s="30"/>
    </row>
    <row r="1052" spans="10:20" customFormat="1" x14ac:dyDescent="0.3">
      <c r="J1052" s="30"/>
      <c r="T1052" s="30"/>
    </row>
    <row r="1053" spans="10:20" customFormat="1" x14ac:dyDescent="0.3">
      <c r="J1053" s="30"/>
      <c r="T1053" s="30"/>
    </row>
    <row r="1054" spans="10:20" customFormat="1" x14ac:dyDescent="0.3">
      <c r="J1054" s="30"/>
      <c r="T1054" s="30"/>
    </row>
    <row r="1055" spans="10:20" customFormat="1" x14ac:dyDescent="0.3">
      <c r="J1055" s="30"/>
      <c r="T1055" s="30"/>
    </row>
    <row r="1056" spans="10:20" customFormat="1" x14ac:dyDescent="0.3">
      <c r="J1056" s="30"/>
      <c r="T1056" s="30"/>
    </row>
    <row r="1057" spans="10:20" customFormat="1" x14ac:dyDescent="0.3">
      <c r="J1057" s="30"/>
      <c r="T1057" s="30"/>
    </row>
    <row r="1058" spans="10:20" customFormat="1" x14ac:dyDescent="0.3">
      <c r="J1058" s="30"/>
      <c r="T1058" s="30"/>
    </row>
    <row r="1059" spans="10:20" customFormat="1" x14ac:dyDescent="0.3">
      <c r="J1059" s="30"/>
      <c r="T1059" s="30"/>
    </row>
    <row r="1060" spans="10:20" customFormat="1" x14ac:dyDescent="0.3">
      <c r="J1060" s="30"/>
      <c r="T1060" s="30"/>
    </row>
    <row r="1061" spans="10:20" customFormat="1" x14ac:dyDescent="0.3">
      <c r="J1061" s="30"/>
      <c r="T1061" s="30"/>
    </row>
    <row r="1062" spans="10:20" customFormat="1" x14ac:dyDescent="0.3">
      <c r="J1062" s="30"/>
      <c r="T1062" s="30"/>
    </row>
    <row r="1063" spans="10:20" customFormat="1" x14ac:dyDescent="0.3">
      <c r="J1063" s="30"/>
      <c r="T1063" s="30"/>
    </row>
    <row r="1064" spans="10:20" customFormat="1" x14ac:dyDescent="0.3">
      <c r="J1064" s="30"/>
      <c r="T1064" s="30"/>
    </row>
    <row r="1065" spans="10:20" customFormat="1" x14ac:dyDescent="0.3">
      <c r="J1065" s="30"/>
      <c r="T1065" s="30"/>
    </row>
    <row r="1066" spans="10:20" customFormat="1" x14ac:dyDescent="0.3">
      <c r="J1066" s="30"/>
      <c r="T1066" s="30"/>
    </row>
    <row r="1067" spans="10:20" customFormat="1" x14ac:dyDescent="0.3">
      <c r="J1067" s="30"/>
      <c r="T1067" s="30"/>
    </row>
    <row r="1068" spans="10:20" customFormat="1" x14ac:dyDescent="0.3">
      <c r="J1068" s="30"/>
      <c r="T1068" s="30"/>
    </row>
    <row r="1069" spans="10:20" customFormat="1" x14ac:dyDescent="0.3">
      <c r="J1069" s="30"/>
      <c r="T1069" s="30"/>
    </row>
    <row r="1070" spans="10:20" customFormat="1" x14ac:dyDescent="0.3">
      <c r="J1070" s="30"/>
      <c r="T1070" s="30"/>
    </row>
    <row r="1071" spans="10:20" customFormat="1" x14ac:dyDescent="0.3">
      <c r="J1071" s="30"/>
      <c r="T1071" s="30"/>
    </row>
    <row r="1072" spans="10:20" customFormat="1" x14ac:dyDescent="0.3">
      <c r="J1072" s="30"/>
      <c r="T1072" s="30"/>
    </row>
    <row r="1073" spans="10:20" customFormat="1" x14ac:dyDescent="0.3">
      <c r="J1073" s="30"/>
      <c r="T1073" s="30"/>
    </row>
    <row r="1074" spans="10:20" customFormat="1" x14ac:dyDescent="0.3">
      <c r="J1074" s="30"/>
      <c r="T1074" s="30"/>
    </row>
    <row r="1075" spans="10:20" customFormat="1" x14ac:dyDescent="0.3">
      <c r="J1075" s="30"/>
      <c r="T1075" s="30"/>
    </row>
    <row r="1076" spans="10:20" customFormat="1" x14ac:dyDescent="0.3">
      <c r="J1076" s="30"/>
      <c r="T1076" s="30"/>
    </row>
    <row r="1077" spans="10:20" customFormat="1" x14ac:dyDescent="0.3">
      <c r="J1077" s="30"/>
      <c r="T1077" s="30"/>
    </row>
    <row r="1078" spans="10:20" customFormat="1" x14ac:dyDescent="0.3">
      <c r="J1078" s="30"/>
      <c r="T1078" s="30"/>
    </row>
    <row r="1079" spans="10:20" customFormat="1" x14ac:dyDescent="0.3">
      <c r="J1079" s="30"/>
      <c r="T1079" s="30"/>
    </row>
    <row r="1080" spans="10:20" customFormat="1" x14ac:dyDescent="0.3">
      <c r="J1080" s="30"/>
      <c r="T1080" s="30"/>
    </row>
    <row r="1081" spans="10:20" customFormat="1" x14ac:dyDescent="0.3">
      <c r="J1081" s="30"/>
      <c r="T1081" s="30"/>
    </row>
    <row r="1082" spans="10:20" customFormat="1" x14ac:dyDescent="0.3">
      <c r="J1082" s="30"/>
      <c r="T1082" s="30"/>
    </row>
    <row r="1083" spans="10:20" customFormat="1" x14ac:dyDescent="0.3">
      <c r="J1083" s="30"/>
      <c r="T1083" s="30"/>
    </row>
    <row r="1084" spans="10:20" customFormat="1" x14ac:dyDescent="0.3">
      <c r="J1084" s="30"/>
      <c r="T1084" s="30"/>
    </row>
    <row r="1085" spans="10:20" customFormat="1" x14ac:dyDescent="0.3">
      <c r="J1085" s="30"/>
      <c r="T1085" s="30"/>
    </row>
    <row r="1086" spans="10:20" customFormat="1" x14ac:dyDescent="0.3">
      <c r="J1086" s="30"/>
      <c r="T1086" s="30"/>
    </row>
    <row r="1087" spans="10:20" customFormat="1" x14ac:dyDescent="0.3">
      <c r="J1087" s="30"/>
      <c r="T1087" s="30"/>
    </row>
    <row r="1088" spans="10:20" customFormat="1" x14ac:dyDescent="0.3">
      <c r="J1088" s="30"/>
      <c r="T1088" s="30"/>
    </row>
    <row r="1089" spans="3:9" x14ac:dyDescent="0.3">
      <c r="C1089"/>
      <c r="D1089"/>
      <c r="E1089"/>
      <c r="F1089"/>
      <c r="G1089"/>
      <c r="H1089"/>
      <c r="I1089"/>
    </row>
    <row r="1090" spans="3:9" x14ac:dyDescent="0.3">
      <c r="C1090"/>
      <c r="D1090"/>
      <c r="E1090"/>
      <c r="F1090"/>
      <c r="G1090"/>
      <c r="H1090"/>
      <c r="I1090"/>
    </row>
    <row r="1091" spans="3:9" x14ac:dyDescent="0.3">
      <c r="C1091"/>
      <c r="D1091"/>
      <c r="E1091"/>
      <c r="F1091"/>
      <c r="G1091"/>
      <c r="H1091"/>
      <c r="I1091"/>
    </row>
    <row r="1092" spans="3:9" x14ac:dyDescent="0.3">
      <c r="C1092"/>
      <c r="D1092"/>
      <c r="E1092"/>
      <c r="F1092"/>
      <c r="G1092"/>
      <c r="H1092"/>
      <c r="I1092"/>
    </row>
    <row r="1093" spans="3:9" x14ac:dyDescent="0.3">
      <c r="C1093"/>
      <c r="D1093"/>
      <c r="E1093"/>
      <c r="F1093"/>
      <c r="G1093"/>
      <c r="H1093"/>
      <c r="I1093"/>
    </row>
    <row r="1094" spans="3:9" x14ac:dyDescent="0.3">
      <c r="C1094"/>
      <c r="D1094"/>
      <c r="E1094"/>
      <c r="F1094"/>
      <c r="G1094"/>
      <c r="H1094"/>
      <c r="I1094"/>
    </row>
    <row r="1095" spans="3:9" x14ac:dyDescent="0.3">
      <c r="C1095"/>
      <c r="D1095"/>
      <c r="E1095"/>
      <c r="F1095"/>
      <c r="G1095"/>
      <c r="H1095"/>
      <c r="I1095"/>
    </row>
    <row r="1096" spans="3:9" x14ac:dyDescent="0.3">
      <c r="C1096"/>
      <c r="D1096"/>
      <c r="E1096"/>
      <c r="F1096"/>
      <c r="G1096"/>
      <c r="H1096"/>
      <c r="I1096"/>
    </row>
    <row r="1097" spans="3:9" x14ac:dyDescent="0.3">
      <c r="C1097"/>
      <c r="D1097"/>
      <c r="E1097"/>
      <c r="F1097"/>
      <c r="G1097"/>
      <c r="H1097"/>
      <c r="I1097"/>
    </row>
    <row r="1098" spans="3:9" x14ac:dyDescent="0.3">
      <c r="C1098"/>
      <c r="D1098"/>
      <c r="E1098"/>
      <c r="F1098"/>
      <c r="G1098"/>
    </row>
    <row r="1099" spans="3:9" x14ac:dyDescent="0.3">
      <c r="C1099"/>
      <c r="D1099"/>
      <c r="E1099"/>
      <c r="F1099"/>
      <c r="G1099"/>
    </row>
    <row r="1100" spans="3:9" x14ac:dyDescent="0.3">
      <c r="C1100"/>
      <c r="D1100"/>
      <c r="E1100"/>
      <c r="F1100"/>
      <c r="G1100"/>
    </row>
    <row r="1101" spans="3:9" x14ac:dyDescent="0.3">
      <c r="C1101"/>
      <c r="D1101"/>
      <c r="E1101"/>
      <c r="F1101"/>
      <c r="G1101"/>
    </row>
    <row r="1102" spans="3:9" x14ac:dyDescent="0.3">
      <c r="C1102"/>
      <c r="D1102"/>
      <c r="E1102"/>
      <c r="F1102"/>
      <c r="G1102"/>
    </row>
    <row r="1103" spans="3:9" x14ac:dyDescent="0.3">
      <c r="C1103"/>
      <c r="D1103"/>
      <c r="E1103"/>
      <c r="F1103"/>
      <c r="G1103"/>
    </row>
    <row r="1104" spans="3:9" x14ac:dyDescent="0.3">
      <c r="C1104"/>
      <c r="D1104"/>
      <c r="E1104"/>
      <c r="F1104"/>
      <c r="G1104"/>
    </row>
    <row r="1105" spans="3:7" x14ac:dyDescent="0.3">
      <c r="C1105"/>
      <c r="D1105"/>
      <c r="E1105"/>
      <c r="F1105"/>
      <c r="G1105"/>
    </row>
    <row r="1106" spans="3:7" x14ac:dyDescent="0.3">
      <c r="C1106"/>
      <c r="D1106"/>
      <c r="E1106"/>
      <c r="F1106"/>
      <c r="G1106"/>
    </row>
    <row r="1107" spans="3:7" x14ac:dyDescent="0.3">
      <c r="C1107"/>
      <c r="D1107"/>
      <c r="E1107"/>
      <c r="F1107"/>
      <c r="G1107"/>
    </row>
    <row r="1108" spans="3:7" x14ac:dyDescent="0.3">
      <c r="C1108"/>
      <c r="D1108"/>
      <c r="E1108"/>
      <c r="F1108"/>
      <c r="G1108"/>
    </row>
    <row r="1109" spans="3:7" x14ac:dyDescent="0.3">
      <c r="C1109"/>
      <c r="D1109"/>
      <c r="E1109"/>
      <c r="F1109"/>
      <c r="G1109"/>
    </row>
    <row r="1110" spans="3:7" x14ac:dyDescent="0.3">
      <c r="C1110"/>
      <c r="D1110"/>
      <c r="E1110"/>
      <c r="F1110"/>
      <c r="G1110"/>
    </row>
    <row r="1111" spans="3:7" x14ac:dyDescent="0.3">
      <c r="C1111"/>
      <c r="D1111"/>
      <c r="E1111"/>
      <c r="F1111"/>
      <c r="G1111"/>
    </row>
    <row r="1112" spans="3:7" x14ac:dyDescent="0.3">
      <c r="C1112"/>
      <c r="D1112"/>
      <c r="E1112"/>
      <c r="F1112"/>
      <c r="G1112"/>
    </row>
    <row r="1113" spans="3:7" x14ac:dyDescent="0.3">
      <c r="C1113"/>
      <c r="D1113"/>
      <c r="E1113"/>
      <c r="F1113"/>
      <c r="G1113"/>
    </row>
    <row r="1114" spans="3:7" x14ac:dyDescent="0.3">
      <c r="C1114"/>
      <c r="D1114"/>
      <c r="E1114"/>
      <c r="F1114"/>
      <c r="G1114"/>
    </row>
    <row r="1115" spans="3:7" x14ac:dyDescent="0.3">
      <c r="C1115"/>
      <c r="D1115"/>
      <c r="E1115"/>
      <c r="F1115"/>
      <c r="G1115"/>
    </row>
    <row r="1116" spans="3:7" x14ac:dyDescent="0.3">
      <c r="C1116"/>
      <c r="D1116"/>
      <c r="E1116"/>
      <c r="F1116"/>
      <c r="G1116"/>
    </row>
    <row r="1117" spans="3:7" x14ac:dyDescent="0.3">
      <c r="C1117"/>
      <c r="D1117"/>
      <c r="E1117"/>
      <c r="F1117"/>
      <c r="G1117"/>
    </row>
    <row r="1118" spans="3:7" x14ac:dyDescent="0.3">
      <c r="C1118"/>
      <c r="D1118"/>
      <c r="E1118"/>
      <c r="F1118"/>
      <c r="G1118"/>
    </row>
    <row r="1119" spans="3:7" x14ac:dyDescent="0.3">
      <c r="C1119"/>
      <c r="D1119"/>
      <c r="E1119"/>
      <c r="F1119"/>
      <c r="G1119"/>
    </row>
    <row r="1120" spans="3:7" x14ac:dyDescent="0.3">
      <c r="C1120"/>
      <c r="D1120"/>
      <c r="E1120"/>
      <c r="F1120"/>
      <c r="G1120"/>
    </row>
    <row r="1121" spans="3:7" x14ac:dyDescent="0.3">
      <c r="C1121"/>
      <c r="D1121"/>
      <c r="E1121"/>
      <c r="F1121"/>
      <c r="G1121"/>
    </row>
    <row r="1122" spans="3:7" x14ac:dyDescent="0.3">
      <c r="C1122"/>
      <c r="D1122"/>
      <c r="E1122"/>
      <c r="F1122"/>
      <c r="G1122"/>
    </row>
    <row r="1123" spans="3:7" x14ac:dyDescent="0.3">
      <c r="C1123"/>
      <c r="D1123"/>
      <c r="E1123"/>
      <c r="F1123"/>
      <c r="G1123"/>
    </row>
    <row r="1124" spans="3:7" x14ac:dyDescent="0.3">
      <c r="C1124"/>
      <c r="D1124"/>
      <c r="E1124"/>
      <c r="F1124"/>
      <c r="G1124"/>
    </row>
    <row r="1125" spans="3:7" x14ac:dyDescent="0.3">
      <c r="C1125"/>
      <c r="D1125"/>
      <c r="E1125"/>
      <c r="F1125"/>
      <c r="G1125"/>
    </row>
    <row r="1126" spans="3:7" x14ac:dyDescent="0.3">
      <c r="C1126"/>
      <c r="D1126"/>
      <c r="E1126"/>
      <c r="F1126"/>
      <c r="G1126"/>
    </row>
    <row r="1127" spans="3:7" x14ac:dyDescent="0.3">
      <c r="C1127"/>
      <c r="D1127"/>
      <c r="E1127"/>
      <c r="F1127"/>
      <c r="G1127"/>
    </row>
    <row r="1128" spans="3:7" x14ac:dyDescent="0.3">
      <c r="C1128"/>
      <c r="D1128"/>
      <c r="E1128"/>
      <c r="F1128"/>
      <c r="G1128"/>
    </row>
    <row r="1129" spans="3:7" x14ac:dyDescent="0.3">
      <c r="C1129"/>
      <c r="D1129"/>
      <c r="E1129"/>
      <c r="F1129"/>
      <c r="G1129"/>
    </row>
    <row r="1130" spans="3:7" x14ac:dyDescent="0.3">
      <c r="C1130"/>
      <c r="D1130"/>
      <c r="E1130"/>
      <c r="F1130"/>
      <c r="G1130"/>
    </row>
    <row r="1131" spans="3:7" x14ac:dyDescent="0.3">
      <c r="C1131"/>
      <c r="D1131"/>
      <c r="E1131"/>
      <c r="F1131"/>
      <c r="G1131"/>
    </row>
    <row r="1132" spans="3:7" x14ac:dyDescent="0.3">
      <c r="C1132"/>
      <c r="D1132"/>
      <c r="E1132"/>
      <c r="F1132"/>
      <c r="G1132"/>
    </row>
    <row r="1133" spans="3:7" x14ac:dyDescent="0.3">
      <c r="C1133"/>
      <c r="D1133"/>
      <c r="E1133"/>
      <c r="F1133"/>
      <c r="G1133"/>
    </row>
    <row r="1134" spans="3:7" x14ac:dyDescent="0.3">
      <c r="C1134"/>
      <c r="D1134"/>
      <c r="E1134"/>
      <c r="F1134"/>
      <c r="G1134"/>
    </row>
    <row r="1135" spans="3:7" x14ac:dyDescent="0.3">
      <c r="C1135"/>
      <c r="D1135"/>
      <c r="E1135"/>
      <c r="F1135"/>
      <c r="G1135"/>
    </row>
    <row r="1136" spans="3:7" x14ac:dyDescent="0.3">
      <c r="C1136"/>
      <c r="D1136"/>
      <c r="E1136"/>
      <c r="F1136"/>
      <c r="G1136"/>
    </row>
    <row r="1137" spans="3:7" x14ac:dyDescent="0.3">
      <c r="C1137"/>
      <c r="D1137"/>
      <c r="E1137"/>
      <c r="F1137"/>
      <c r="G1137"/>
    </row>
    <row r="1138" spans="3:7" x14ac:dyDescent="0.3">
      <c r="C1138"/>
      <c r="D1138"/>
      <c r="E1138"/>
      <c r="F1138"/>
      <c r="G1138"/>
    </row>
    <row r="1139" spans="3:7" x14ac:dyDescent="0.3">
      <c r="C1139"/>
      <c r="D1139"/>
      <c r="E1139"/>
      <c r="F1139"/>
      <c r="G1139"/>
    </row>
    <row r="1140" spans="3:7" x14ac:dyDescent="0.3">
      <c r="C1140"/>
      <c r="D1140"/>
      <c r="E1140"/>
      <c r="F1140"/>
      <c r="G1140"/>
    </row>
    <row r="1141" spans="3:7" x14ac:dyDescent="0.3">
      <c r="C1141"/>
      <c r="D1141"/>
      <c r="E1141"/>
      <c r="F1141"/>
      <c r="G1141"/>
    </row>
    <row r="1142" spans="3:7" x14ac:dyDescent="0.3">
      <c r="C1142"/>
      <c r="D1142"/>
      <c r="E1142"/>
      <c r="F1142"/>
      <c r="G1142"/>
    </row>
    <row r="1143" spans="3:7" x14ac:dyDescent="0.3">
      <c r="C1143"/>
      <c r="D1143"/>
      <c r="E1143"/>
      <c r="F1143"/>
      <c r="G1143"/>
    </row>
    <row r="1144" spans="3:7" x14ac:dyDescent="0.3">
      <c r="C1144"/>
      <c r="D1144"/>
      <c r="E1144"/>
      <c r="F1144"/>
      <c r="G1144"/>
    </row>
    <row r="1145" spans="3:7" x14ac:dyDescent="0.3">
      <c r="C1145"/>
      <c r="D1145"/>
      <c r="E1145"/>
      <c r="F1145"/>
      <c r="G1145"/>
    </row>
    <row r="1146" spans="3:7" x14ac:dyDescent="0.3">
      <c r="C1146"/>
      <c r="D1146"/>
      <c r="E1146"/>
      <c r="F1146"/>
      <c r="G1146"/>
    </row>
    <row r="1147" spans="3:7" x14ac:dyDescent="0.3">
      <c r="C1147"/>
      <c r="D1147"/>
      <c r="E1147"/>
      <c r="F1147"/>
      <c r="G1147"/>
    </row>
    <row r="1148" spans="3:7" x14ac:dyDescent="0.3">
      <c r="C1148"/>
      <c r="D1148"/>
      <c r="E1148"/>
      <c r="F1148"/>
      <c r="G1148"/>
    </row>
    <row r="1149" spans="3:7" x14ac:dyDescent="0.3">
      <c r="C1149"/>
      <c r="D1149"/>
      <c r="E1149"/>
      <c r="F1149"/>
      <c r="G1149"/>
    </row>
    <row r="1150" spans="3:7" x14ac:dyDescent="0.3">
      <c r="C1150"/>
      <c r="D1150"/>
      <c r="E1150"/>
      <c r="F1150"/>
      <c r="G1150"/>
    </row>
    <row r="1151" spans="3:7" x14ac:dyDescent="0.3">
      <c r="C1151"/>
      <c r="D1151"/>
      <c r="E1151"/>
      <c r="F1151"/>
      <c r="G1151"/>
    </row>
    <row r="1152" spans="3:7" x14ac:dyDescent="0.3">
      <c r="C1152"/>
      <c r="D1152"/>
      <c r="E1152"/>
      <c r="F1152"/>
      <c r="G1152"/>
    </row>
    <row r="1153" spans="3:7" x14ac:dyDescent="0.3">
      <c r="C1153"/>
      <c r="D1153"/>
      <c r="E1153"/>
      <c r="F1153"/>
      <c r="G1153"/>
    </row>
    <row r="1154" spans="3:7" x14ac:dyDescent="0.3">
      <c r="C1154"/>
      <c r="D1154"/>
      <c r="E1154"/>
      <c r="F1154"/>
      <c r="G1154"/>
    </row>
    <row r="1155" spans="3:7" x14ac:dyDescent="0.3">
      <c r="C1155"/>
      <c r="D1155"/>
      <c r="E1155"/>
      <c r="F1155"/>
      <c r="G1155"/>
    </row>
    <row r="1156" spans="3:7" x14ac:dyDescent="0.3">
      <c r="C1156"/>
      <c r="D1156"/>
      <c r="E1156"/>
      <c r="F1156"/>
      <c r="G1156"/>
    </row>
    <row r="1157" spans="3:7" x14ac:dyDescent="0.3">
      <c r="C1157"/>
      <c r="D1157"/>
      <c r="E1157"/>
      <c r="F1157"/>
      <c r="G1157"/>
    </row>
    <row r="1158" spans="3:7" x14ac:dyDescent="0.3">
      <c r="C1158"/>
      <c r="D1158"/>
      <c r="E1158"/>
      <c r="F1158"/>
      <c r="G1158"/>
    </row>
    <row r="1159" spans="3:7" x14ac:dyDescent="0.3">
      <c r="C1159"/>
      <c r="D1159"/>
      <c r="E1159"/>
      <c r="F1159"/>
      <c r="G1159"/>
    </row>
    <row r="1160" spans="3:7" x14ac:dyDescent="0.3">
      <c r="C1160"/>
      <c r="D1160"/>
      <c r="E1160"/>
      <c r="F1160"/>
      <c r="G1160"/>
    </row>
    <row r="1161" spans="3:7" x14ac:dyDescent="0.3">
      <c r="C1161"/>
      <c r="D1161"/>
      <c r="E1161"/>
      <c r="F1161"/>
      <c r="G1161"/>
    </row>
    <row r="1162" spans="3:7" x14ac:dyDescent="0.3">
      <c r="C1162"/>
      <c r="D1162"/>
      <c r="E1162"/>
      <c r="F1162"/>
      <c r="G1162"/>
    </row>
    <row r="1163" spans="3:7" x14ac:dyDescent="0.3">
      <c r="C1163"/>
      <c r="D1163"/>
      <c r="E1163"/>
      <c r="F1163"/>
      <c r="G1163"/>
    </row>
    <row r="1164" spans="3:7" x14ac:dyDescent="0.3">
      <c r="C1164"/>
      <c r="D1164"/>
      <c r="E1164"/>
      <c r="F1164"/>
      <c r="G1164"/>
    </row>
    <row r="1165" spans="3:7" x14ac:dyDescent="0.3">
      <c r="C1165"/>
      <c r="D1165"/>
      <c r="E1165"/>
      <c r="F1165"/>
      <c r="G1165"/>
    </row>
    <row r="1166" spans="3:7" x14ac:dyDescent="0.3">
      <c r="C1166"/>
      <c r="D1166"/>
      <c r="E1166"/>
      <c r="F1166"/>
      <c r="G1166"/>
    </row>
    <row r="1167" spans="3:7" x14ac:dyDescent="0.3">
      <c r="C1167"/>
      <c r="D1167"/>
      <c r="E1167"/>
      <c r="F1167"/>
      <c r="G1167"/>
    </row>
    <row r="1168" spans="3:7" x14ac:dyDescent="0.3">
      <c r="C1168"/>
      <c r="D1168"/>
      <c r="E1168"/>
      <c r="F1168"/>
      <c r="G1168"/>
    </row>
    <row r="1169" spans="3:7" x14ac:dyDescent="0.3">
      <c r="C1169"/>
      <c r="D1169"/>
      <c r="E1169"/>
      <c r="F1169"/>
      <c r="G1169"/>
    </row>
    <row r="1170" spans="3:7" x14ac:dyDescent="0.3">
      <c r="C1170"/>
      <c r="D1170"/>
      <c r="E1170"/>
      <c r="F1170"/>
      <c r="G1170"/>
    </row>
    <row r="1171" spans="3:7" x14ac:dyDescent="0.3">
      <c r="C1171"/>
      <c r="D1171"/>
      <c r="E1171"/>
      <c r="F1171"/>
      <c r="G1171"/>
    </row>
    <row r="1172" spans="3:7" x14ac:dyDescent="0.3">
      <c r="C1172"/>
      <c r="D1172"/>
      <c r="E1172"/>
      <c r="F1172"/>
      <c r="G1172"/>
    </row>
    <row r="1173" spans="3:7" x14ac:dyDescent="0.3">
      <c r="C1173"/>
      <c r="D1173"/>
      <c r="E1173"/>
      <c r="F1173"/>
      <c r="G1173"/>
    </row>
    <row r="1174" spans="3:7" x14ac:dyDescent="0.3">
      <c r="C1174"/>
      <c r="D1174"/>
      <c r="E1174"/>
      <c r="F1174"/>
      <c r="G1174"/>
    </row>
    <row r="1175" spans="3:7" x14ac:dyDescent="0.3">
      <c r="C1175"/>
      <c r="D1175"/>
      <c r="E1175"/>
      <c r="F1175"/>
      <c r="G1175"/>
    </row>
    <row r="1176" spans="3:7" x14ac:dyDescent="0.3">
      <c r="C1176"/>
      <c r="D1176"/>
      <c r="E1176"/>
      <c r="F1176"/>
      <c r="G1176"/>
    </row>
    <row r="1177" spans="3:7" x14ac:dyDescent="0.3">
      <c r="C1177"/>
      <c r="D1177"/>
      <c r="E1177"/>
      <c r="F1177"/>
      <c r="G1177"/>
    </row>
    <row r="1178" spans="3:7" x14ac:dyDescent="0.3">
      <c r="C1178"/>
      <c r="D1178"/>
      <c r="E1178"/>
      <c r="F1178"/>
      <c r="G1178"/>
    </row>
    <row r="1179" spans="3:7" x14ac:dyDescent="0.3">
      <c r="C1179"/>
      <c r="D1179"/>
      <c r="E1179"/>
      <c r="F1179"/>
      <c r="G1179"/>
    </row>
    <row r="1180" spans="3:7" x14ac:dyDescent="0.3">
      <c r="C1180"/>
      <c r="D1180"/>
      <c r="E1180"/>
      <c r="F1180"/>
      <c r="G1180"/>
    </row>
    <row r="1181" spans="3:7" x14ac:dyDescent="0.3">
      <c r="C1181"/>
      <c r="D1181"/>
      <c r="E1181"/>
      <c r="F1181"/>
      <c r="G1181"/>
    </row>
    <row r="1182" spans="3:7" x14ac:dyDescent="0.3">
      <c r="C1182"/>
      <c r="D1182"/>
      <c r="E1182"/>
      <c r="F1182"/>
      <c r="G1182"/>
    </row>
    <row r="1183" spans="3:7" x14ac:dyDescent="0.3">
      <c r="C1183"/>
      <c r="D1183"/>
      <c r="E1183"/>
      <c r="F1183"/>
      <c r="G1183"/>
    </row>
    <row r="1184" spans="3:7" x14ac:dyDescent="0.3">
      <c r="C1184"/>
      <c r="D1184"/>
      <c r="E1184"/>
      <c r="F1184"/>
      <c r="G1184"/>
    </row>
    <row r="1185" spans="3:7" x14ac:dyDescent="0.3">
      <c r="C1185"/>
      <c r="D1185"/>
      <c r="E1185"/>
      <c r="F1185"/>
      <c r="G1185"/>
    </row>
    <row r="1186" spans="3:7" x14ac:dyDescent="0.3">
      <c r="C1186"/>
      <c r="D1186"/>
      <c r="E1186"/>
      <c r="F1186"/>
      <c r="G1186"/>
    </row>
    <row r="1187" spans="3:7" x14ac:dyDescent="0.3">
      <c r="C1187"/>
      <c r="D1187"/>
      <c r="E1187"/>
      <c r="F1187"/>
      <c r="G1187"/>
    </row>
    <row r="1188" spans="3:7" x14ac:dyDescent="0.3">
      <c r="C1188"/>
      <c r="D1188"/>
      <c r="E1188"/>
      <c r="F1188"/>
      <c r="G1188"/>
    </row>
    <row r="1189" spans="3:7" x14ac:dyDescent="0.3">
      <c r="C1189"/>
      <c r="D1189"/>
      <c r="E1189"/>
      <c r="F1189"/>
      <c r="G1189"/>
    </row>
    <row r="1190" spans="3:7" x14ac:dyDescent="0.3">
      <c r="C1190"/>
      <c r="D1190"/>
      <c r="E1190"/>
      <c r="F1190"/>
      <c r="G1190"/>
    </row>
    <row r="1191" spans="3:7" x14ac:dyDescent="0.3">
      <c r="C1191"/>
      <c r="D1191"/>
      <c r="E1191"/>
      <c r="F1191"/>
      <c r="G1191"/>
    </row>
    <row r="1192" spans="3:7" x14ac:dyDescent="0.3">
      <c r="C1192"/>
      <c r="D1192"/>
      <c r="E1192"/>
      <c r="F1192"/>
      <c r="G1192"/>
    </row>
    <row r="1193" spans="3:7" x14ac:dyDescent="0.3">
      <c r="C1193"/>
      <c r="D1193"/>
      <c r="E1193"/>
      <c r="F1193"/>
      <c r="G1193"/>
    </row>
    <row r="1194" spans="3:7" x14ac:dyDescent="0.3">
      <c r="C1194"/>
      <c r="D1194"/>
      <c r="E1194"/>
      <c r="F1194"/>
      <c r="G1194"/>
    </row>
    <row r="1195" spans="3:7" x14ac:dyDescent="0.3">
      <c r="C1195"/>
      <c r="D1195"/>
      <c r="E1195"/>
      <c r="F1195"/>
      <c r="G1195"/>
    </row>
    <row r="1196" spans="3:7" x14ac:dyDescent="0.3">
      <c r="C1196"/>
      <c r="D1196"/>
      <c r="E1196"/>
      <c r="F1196"/>
      <c r="G1196"/>
    </row>
    <row r="1197" spans="3:7" x14ac:dyDescent="0.3">
      <c r="C1197"/>
      <c r="D1197"/>
      <c r="E1197"/>
      <c r="F1197"/>
      <c r="G1197"/>
    </row>
    <row r="1198" spans="3:7" x14ac:dyDescent="0.3">
      <c r="C1198"/>
      <c r="D1198"/>
      <c r="E1198"/>
      <c r="F1198"/>
      <c r="G1198"/>
    </row>
    <row r="1199" spans="3:7" x14ac:dyDescent="0.3">
      <c r="C1199"/>
      <c r="D1199"/>
      <c r="E1199"/>
      <c r="F1199"/>
      <c r="G1199"/>
    </row>
    <row r="1200" spans="3:7" x14ac:dyDescent="0.3">
      <c r="C1200"/>
      <c r="D1200"/>
      <c r="E1200"/>
      <c r="F1200"/>
      <c r="G1200"/>
    </row>
    <row r="1201" spans="3:7" x14ac:dyDescent="0.3">
      <c r="C1201"/>
      <c r="D1201"/>
      <c r="E1201"/>
      <c r="F1201"/>
      <c r="G1201"/>
    </row>
    <row r="1202" spans="3:7" x14ac:dyDescent="0.3">
      <c r="C1202"/>
      <c r="D1202"/>
      <c r="E1202"/>
      <c r="F1202"/>
      <c r="G1202"/>
    </row>
    <row r="1203" spans="3:7" x14ac:dyDescent="0.3">
      <c r="C1203"/>
      <c r="D1203"/>
      <c r="E1203"/>
      <c r="F1203"/>
      <c r="G1203"/>
    </row>
    <row r="1204" spans="3:7" x14ac:dyDescent="0.3">
      <c r="C1204"/>
      <c r="D1204"/>
      <c r="E1204"/>
      <c r="F1204"/>
      <c r="G1204"/>
    </row>
    <row r="1205" spans="3:7" x14ac:dyDescent="0.3">
      <c r="C1205"/>
      <c r="D1205"/>
      <c r="E1205"/>
      <c r="F1205"/>
      <c r="G1205"/>
    </row>
    <row r="1206" spans="3:7" x14ac:dyDescent="0.3">
      <c r="C1206"/>
      <c r="D1206"/>
      <c r="E1206"/>
      <c r="F1206"/>
      <c r="G1206"/>
    </row>
    <row r="1207" spans="3:7" x14ac:dyDescent="0.3">
      <c r="C1207"/>
      <c r="D1207"/>
      <c r="E1207"/>
      <c r="F1207"/>
      <c r="G1207"/>
    </row>
    <row r="1208" spans="3:7" x14ac:dyDescent="0.3">
      <c r="C1208"/>
      <c r="D1208"/>
      <c r="E1208"/>
      <c r="F1208"/>
      <c r="G1208"/>
    </row>
    <row r="1209" spans="3:7" x14ac:dyDescent="0.3">
      <c r="C1209"/>
      <c r="D1209"/>
      <c r="E1209"/>
      <c r="F1209"/>
      <c r="G1209"/>
    </row>
    <row r="1210" spans="3:7" x14ac:dyDescent="0.3">
      <c r="C1210"/>
      <c r="D1210"/>
      <c r="E1210"/>
      <c r="F1210"/>
      <c r="G1210"/>
    </row>
    <row r="1211" spans="3:7" x14ac:dyDescent="0.3">
      <c r="C1211"/>
      <c r="D1211"/>
      <c r="E1211"/>
      <c r="F1211"/>
      <c r="G1211"/>
    </row>
    <row r="1212" spans="3:7" x14ac:dyDescent="0.3">
      <c r="C1212"/>
      <c r="D1212"/>
      <c r="E1212"/>
      <c r="F1212"/>
      <c r="G1212"/>
    </row>
    <row r="1213" spans="3:7" x14ac:dyDescent="0.3">
      <c r="C1213"/>
      <c r="D1213"/>
      <c r="E1213"/>
      <c r="F1213"/>
      <c r="G1213"/>
    </row>
    <row r="1214" spans="3:7" x14ac:dyDescent="0.3">
      <c r="C1214"/>
      <c r="D1214"/>
      <c r="E1214"/>
      <c r="F1214"/>
      <c r="G1214"/>
    </row>
    <row r="1215" spans="3:7" x14ac:dyDescent="0.3">
      <c r="C1215"/>
      <c r="D1215"/>
      <c r="E1215"/>
      <c r="F1215"/>
      <c r="G1215"/>
    </row>
    <row r="1216" spans="3:7" x14ac:dyDescent="0.3">
      <c r="C1216"/>
      <c r="D1216"/>
      <c r="E1216"/>
      <c r="F1216"/>
      <c r="G1216"/>
    </row>
    <row r="1217" spans="3:7" x14ac:dyDescent="0.3">
      <c r="C1217"/>
      <c r="D1217"/>
      <c r="E1217"/>
      <c r="F1217"/>
      <c r="G1217"/>
    </row>
    <row r="1218" spans="3:7" x14ac:dyDescent="0.3">
      <c r="C1218"/>
      <c r="D1218"/>
      <c r="E1218"/>
      <c r="F1218"/>
      <c r="G1218"/>
    </row>
    <row r="1219" spans="3:7" x14ac:dyDescent="0.3">
      <c r="C1219"/>
      <c r="D1219"/>
      <c r="E1219"/>
      <c r="F1219"/>
      <c r="G1219"/>
    </row>
    <row r="1220" spans="3:7" x14ac:dyDescent="0.3">
      <c r="C1220"/>
      <c r="D1220"/>
      <c r="E1220"/>
      <c r="F1220"/>
      <c r="G1220"/>
    </row>
    <row r="1221" spans="3:7" x14ac:dyDescent="0.3">
      <c r="C1221"/>
      <c r="D1221"/>
      <c r="E1221"/>
      <c r="F1221"/>
      <c r="G1221"/>
    </row>
    <row r="1222" spans="3:7" x14ac:dyDescent="0.3">
      <c r="C1222"/>
      <c r="D1222"/>
      <c r="E1222"/>
      <c r="F1222"/>
      <c r="G1222"/>
    </row>
    <row r="1223" spans="3:7" x14ac:dyDescent="0.3">
      <c r="C1223"/>
      <c r="D1223"/>
      <c r="E1223"/>
      <c r="F1223"/>
      <c r="G1223"/>
    </row>
    <row r="1224" spans="3:7" x14ac:dyDescent="0.3">
      <c r="C1224"/>
      <c r="D1224"/>
      <c r="E1224"/>
      <c r="F1224"/>
      <c r="G1224"/>
    </row>
    <row r="1225" spans="3:7" x14ac:dyDescent="0.3">
      <c r="C1225"/>
      <c r="D1225"/>
      <c r="E1225"/>
      <c r="F1225"/>
      <c r="G1225"/>
    </row>
    <row r="1226" spans="3:7" x14ac:dyDescent="0.3">
      <c r="C1226"/>
      <c r="D1226"/>
      <c r="E1226"/>
      <c r="F1226"/>
      <c r="G1226"/>
    </row>
    <row r="1227" spans="3:7" x14ac:dyDescent="0.3">
      <c r="C1227"/>
      <c r="D1227"/>
      <c r="E1227"/>
      <c r="F1227"/>
      <c r="G1227"/>
    </row>
    <row r="1228" spans="3:7" x14ac:dyDescent="0.3">
      <c r="C1228"/>
      <c r="D1228"/>
      <c r="E1228"/>
      <c r="F1228"/>
      <c r="G1228"/>
    </row>
    <row r="1229" spans="3:7" x14ac:dyDescent="0.3">
      <c r="C1229"/>
      <c r="D1229"/>
      <c r="E1229"/>
      <c r="F1229"/>
      <c r="G1229"/>
    </row>
    <row r="1230" spans="3:7" x14ac:dyDescent="0.3">
      <c r="C1230"/>
      <c r="D1230"/>
      <c r="E1230"/>
      <c r="F1230"/>
      <c r="G1230"/>
    </row>
    <row r="1231" spans="3:7" x14ac:dyDescent="0.3">
      <c r="C1231"/>
      <c r="D1231"/>
      <c r="E1231"/>
      <c r="F1231"/>
      <c r="G1231"/>
    </row>
    <row r="1232" spans="3:7" x14ac:dyDescent="0.3">
      <c r="C1232"/>
      <c r="D1232"/>
      <c r="E1232"/>
      <c r="F1232"/>
      <c r="G1232"/>
    </row>
    <row r="1233" spans="3:7" x14ac:dyDescent="0.3">
      <c r="C1233"/>
      <c r="D1233"/>
      <c r="E1233"/>
      <c r="F1233"/>
      <c r="G1233"/>
    </row>
    <row r="1234" spans="3:7" x14ac:dyDescent="0.3">
      <c r="C1234"/>
      <c r="D1234"/>
      <c r="E1234"/>
      <c r="F1234"/>
      <c r="G1234"/>
    </row>
    <row r="1235" spans="3:7" x14ac:dyDescent="0.3">
      <c r="C1235"/>
      <c r="D1235"/>
      <c r="E1235"/>
      <c r="F1235"/>
      <c r="G1235"/>
    </row>
    <row r="1236" spans="3:7" x14ac:dyDescent="0.3">
      <c r="C1236"/>
      <c r="D1236"/>
      <c r="E1236"/>
      <c r="F1236"/>
      <c r="G1236"/>
    </row>
    <row r="1237" spans="3:7" x14ac:dyDescent="0.3">
      <c r="C1237"/>
      <c r="D1237"/>
      <c r="E1237"/>
      <c r="F1237"/>
      <c r="G1237"/>
    </row>
    <row r="1238" spans="3:7" x14ac:dyDescent="0.3">
      <c r="C1238"/>
      <c r="D1238"/>
      <c r="E1238"/>
      <c r="F1238"/>
      <c r="G1238"/>
    </row>
    <row r="1239" spans="3:7" x14ac:dyDescent="0.3">
      <c r="C1239"/>
      <c r="D1239"/>
      <c r="E1239"/>
      <c r="F1239"/>
      <c r="G1239"/>
    </row>
    <row r="1240" spans="3:7" x14ac:dyDescent="0.3">
      <c r="C1240"/>
      <c r="D1240"/>
      <c r="E1240"/>
      <c r="F1240"/>
      <c r="G1240"/>
    </row>
    <row r="1241" spans="3:7" x14ac:dyDescent="0.3">
      <c r="C1241"/>
      <c r="D1241"/>
      <c r="E1241"/>
      <c r="F1241"/>
      <c r="G1241"/>
    </row>
    <row r="1242" spans="3:7" x14ac:dyDescent="0.3">
      <c r="C1242"/>
      <c r="D1242"/>
      <c r="E1242"/>
      <c r="F1242"/>
      <c r="G1242"/>
    </row>
    <row r="1243" spans="3:7" x14ac:dyDescent="0.3">
      <c r="C1243"/>
      <c r="D1243"/>
      <c r="E1243"/>
      <c r="F1243"/>
      <c r="G1243"/>
    </row>
    <row r="1244" spans="3:7" x14ac:dyDescent="0.3">
      <c r="C1244"/>
      <c r="D1244"/>
      <c r="E1244"/>
      <c r="F1244"/>
      <c r="G1244"/>
    </row>
    <row r="1245" spans="3:7" x14ac:dyDescent="0.3">
      <c r="C1245"/>
      <c r="D1245"/>
      <c r="E1245"/>
      <c r="F1245"/>
      <c r="G1245"/>
    </row>
    <row r="1246" spans="3:7" x14ac:dyDescent="0.3">
      <c r="C1246"/>
      <c r="D1246"/>
      <c r="E1246"/>
      <c r="F1246"/>
      <c r="G1246"/>
    </row>
    <row r="1247" spans="3:7" x14ac:dyDescent="0.3">
      <c r="C1247"/>
      <c r="D1247"/>
      <c r="E1247"/>
      <c r="F1247"/>
      <c r="G1247"/>
    </row>
    <row r="1248" spans="3:7" x14ac:dyDescent="0.3">
      <c r="C1248"/>
      <c r="D1248"/>
      <c r="E1248"/>
      <c r="F1248"/>
      <c r="G1248"/>
    </row>
    <row r="1249" spans="3:7" x14ac:dyDescent="0.3">
      <c r="C1249"/>
      <c r="D1249"/>
      <c r="E1249"/>
      <c r="F1249"/>
      <c r="G1249"/>
    </row>
    <row r="1250" spans="3:7" x14ac:dyDescent="0.3">
      <c r="C1250"/>
      <c r="D1250"/>
      <c r="E1250"/>
      <c r="F1250"/>
      <c r="G1250"/>
    </row>
    <row r="1251" spans="3:7" x14ac:dyDescent="0.3">
      <c r="C1251"/>
      <c r="D1251"/>
      <c r="E1251"/>
      <c r="F1251"/>
      <c r="G1251"/>
    </row>
    <row r="1252" spans="3:7" x14ac:dyDescent="0.3">
      <c r="C1252"/>
      <c r="D1252"/>
      <c r="E1252"/>
      <c r="F1252"/>
      <c r="G1252"/>
    </row>
    <row r="1253" spans="3:7" x14ac:dyDescent="0.3">
      <c r="C1253"/>
      <c r="D1253"/>
      <c r="E1253"/>
      <c r="F1253"/>
      <c r="G1253"/>
    </row>
    <row r="1254" spans="3:7" x14ac:dyDescent="0.3">
      <c r="C1254"/>
      <c r="D1254"/>
      <c r="E1254"/>
      <c r="F1254"/>
      <c r="G1254"/>
    </row>
    <row r="1255" spans="3:7" x14ac:dyDescent="0.3">
      <c r="C1255"/>
      <c r="D1255"/>
      <c r="E1255"/>
      <c r="F1255"/>
      <c r="G1255"/>
    </row>
    <row r="1256" spans="3:7" x14ac:dyDescent="0.3">
      <c r="C1256"/>
      <c r="D1256"/>
      <c r="E1256"/>
      <c r="F1256"/>
      <c r="G1256"/>
    </row>
    <row r="1257" spans="3:7" x14ac:dyDescent="0.3">
      <c r="C1257"/>
      <c r="D1257"/>
      <c r="E1257"/>
      <c r="F1257"/>
      <c r="G1257"/>
    </row>
    <row r="1258" spans="3:7" x14ac:dyDescent="0.3">
      <c r="C1258"/>
      <c r="D1258"/>
      <c r="E1258"/>
      <c r="F1258"/>
      <c r="G1258"/>
    </row>
    <row r="1259" spans="3:7" x14ac:dyDescent="0.3">
      <c r="C1259"/>
      <c r="D1259"/>
      <c r="E1259"/>
      <c r="F1259"/>
      <c r="G1259"/>
    </row>
    <row r="1260" spans="3:7" x14ac:dyDescent="0.3">
      <c r="C1260"/>
      <c r="D1260"/>
      <c r="E1260"/>
      <c r="F1260"/>
      <c r="G1260"/>
    </row>
    <row r="1261" spans="3:7" x14ac:dyDescent="0.3">
      <c r="C1261"/>
      <c r="D1261"/>
      <c r="E1261"/>
      <c r="F1261"/>
      <c r="G1261"/>
    </row>
    <row r="1262" spans="3:7" x14ac:dyDescent="0.3">
      <c r="C1262"/>
      <c r="D1262"/>
      <c r="E1262"/>
      <c r="F1262"/>
      <c r="G1262"/>
    </row>
    <row r="1263" spans="3:7" x14ac:dyDescent="0.3">
      <c r="C1263"/>
      <c r="D1263"/>
      <c r="E1263"/>
      <c r="F1263"/>
      <c r="G1263"/>
    </row>
    <row r="1264" spans="3:7" x14ac:dyDescent="0.3">
      <c r="C1264"/>
      <c r="D1264"/>
      <c r="E1264"/>
      <c r="F1264"/>
      <c r="G1264"/>
    </row>
    <row r="1265" spans="3:7" x14ac:dyDescent="0.3">
      <c r="C1265"/>
      <c r="D1265"/>
      <c r="E1265"/>
      <c r="F1265"/>
      <c r="G1265"/>
    </row>
    <row r="1266" spans="3:7" x14ac:dyDescent="0.3">
      <c r="C1266"/>
      <c r="D1266"/>
      <c r="E1266"/>
      <c r="F1266"/>
      <c r="G1266"/>
    </row>
    <row r="1267" spans="3:7" x14ac:dyDescent="0.3">
      <c r="C1267"/>
      <c r="D1267"/>
      <c r="E1267"/>
      <c r="F1267"/>
      <c r="G1267"/>
    </row>
    <row r="1268" spans="3:7" x14ac:dyDescent="0.3">
      <c r="C1268"/>
      <c r="D1268"/>
      <c r="E1268"/>
      <c r="F1268"/>
      <c r="G1268"/>
    </row>
    <row r="1269" spans="3:7" x14ac:dyDescent="0.3">
      <c r="C1269"/>
      <c r="D1269"/>
      <c r="E1269"/>
      <c r="F1269"/>
      <c r="G1269"/>
    </row>
    <row r="1270" spans="3:7" x14ac:dyDescent="0.3">
      <c r="C1270"/>
      <c r="D1270"/>
      <c r="E1270"/>
      <c r="F1270"/>
      <c r="G1270"/>
    </row>
    <row r="1271" spans="3:7" x14ac:dyDescent="0.3">
      <c r="C1271"/>
      <c r="D1271"/>
      <c r="E1271"/>
      <c r="F1271"/>
      <c r="G1271"/>
    </row>
    <row r="1272" spans="3:7" x14ac:dyDescent="0.3">
      <c r="C1272"/>
      <c r="D1272"/>
      <c r="E1272"/>
      <c r="F1272"/>
      <c r="G1272"/>
    </row>
    <row r="1273" spans="3:7" x14ac:dyDescent="0.3">
      <c r="C1273"/>
      <c r="D1273"/>
      <c r="E1273"/>
      <c r="F1273"/>
      <c r="G1273"/>
    </row>
    <row r="1274" spans="3:7" x14ac:dyDescent="0.3">
      <c r="C1274"/>
      <c r="D1274"/>
      <c r="E1274"/>
      <c r="F1274"/>
      <c r="G1274"/>
    </row>
    <row r="1275" spans="3:7" x14ac:dyDescent="0.3">
      <c r="C1275"/>
      <c r="D1275"/>
      <c r="E1275"/>
      <c r="F1275"/>
      <c r="G1275"/>
    </row>
    <row r="1276" spans="3:7" x14ac:dyDescent="0.3">
      <c r="C1276"/>
      <c r="D1276"/>
      <c r="E1276"/>
      <c r="F1276"/>
      <c r="G1276"/>
    </row>
    <row r="1277" spans="3:7" x14ac:dyDescent="0.3">
      <c r="C1277"/>
      <c r="D1277"/>
      <c r="E1277"/>
      <c r="F1277"/>
      <c r="G1277"/>
    </row>
    <row r="1278" spans="3:7" x14ac:dyDescent="0.3">
      <c r="C1278"/>
      <c r="D1278"/>
      <c r="E1278"/>
      <c r="F1278"/>
      <c r="G1278"/>
    </row>
    <row r="1279" spans="3:7" x14ac:dyDescent="0.3">
      <c r="C1279"/>
      <c r="D1279"/>
      <c r="E1279"/>
      <c r="F1279"/>
      <c r="G1279"/>
    </row>
    <row r="1280" spans="3:7" x14ac:dyDescent="0.3">
      <c r="C1280"/>
      <c r="D1280"/>
      <c r="E1280"/>
      <c r="F1280"/>
      <c r="G1280"/>
    </row>
    <row r="1281" spans="3:7" x14ac:dyDescent="0.3">
      <c r="C1281"/>
      <c r="D1281"/>
      <c r="E1281"/>
      <c r="F1281"/>
      <c r="G1281"/>
    </row>
    <row r="1282" spans="3:7" x14ac:dyDescent="0.3">
      <c r="C1282"/>
      <c r="D1282"/>
      <c r="E1282"/>
      <c r="F1282"/>
      <c r="G1282"/>
    </row>
    <row r="1283" spans="3:7" x14ac:dyDescent="0.3">
      <c r="C1283"/>
      <c r="D1283"/>
      <c r="E1283"/>
      <c r="F1283"/>
      <c r="G1283"/>
    </row>
    <row r="1284" spans="3:7" x14ac:dyDescent="0.3">
      <c r="C1284"/>
      <c r="D1284"/>
      <c r="E1284"/>
      <c r="F1284"/>
      <c r="G1284"/>
    </row>
    <row r="1285" spans="3:7" x14ac:dyDescent="0.3">
      <c r="C1285"/>
      <c r="D1285"/>
      <c r="E1285"/>
      <c r="F1285"/>
      <c r="G1285"/>
    </row>
    <row r="1286" spans="3:7" x14ac:dyDescent="0.3">
      <c r="C1286"/>
      <c r="D1286"/>
      <c r="E1286"/>
      <c r="F1286"/>
      <c r="G1286"/>
    </row>
    <row r="1287" spans="3:7" x14ac:dyDescent="0.3">
      <c r="C1287"/>
      <c r="D1287"/>
      <c r="E1287"/>
      <c r="F1287"/>
      <c r="G1287"/>
    </row>
    <row r="1288" spans="3:7" x14ac:dyDescent="0.3">
      <c r="C1288"/>
      <c r="D1288"/>
      <c r="E1288"/>
      <c r="F1288"/>
      <c r="G1288"/>
    </row>
    <row r="1289" spans="3:7" x14ac:dyDescent="0.3">
      <c r="C1289"/>
      <c r="D1289"/>
      <c r="E1289"/>
      <c r="F1289"/>
      <c r="G1289"/>
    </row>
    <row r="1290" spans="3:7" x14ac:dyDescent="0.3">
      <c r="C1290"/>
      <c r="D1290"/>
      <c r="E1290"/>
      <c r="F1290"/>
      <c r="G1290"/>
    </row>
    <row r="1291" spans="3:7" x14ac:dyDescent="0.3">
      <c r="C1291"/>
      <c r="D1291"/>
      <c r="E1291"/>
      <c r="F1291"/>
      <c r="G1291"/>
    </row>
    <row r="1292" spans="3:7" x14ac:dyDescent="0.3">
      <c r="C1292"/>
      <c r="D1292"/>
      <c r="E1292"/>
      <c r="F1292"/>
      <c r="G1292"/>
    </row>
    <row r="1293" spans="3:7" x14ac:dyDescent="0.3">
      <c r="C1293"/>
      <c r="D1293"/>
      <c r="E1293"/>
      <c r="F1293"/>
      <c r="G1293"/>
    </row>
    <row r="1294" spans="3:7" x14ac:dyDescent="0.3">
      <c r="C1294"/>
      <c r="D1294"/>
      <c r="E1294"/>
      <c r="F1294"/>
      <c r="G1294"/>
    </row>
    <row r="1295" spans="3:7" x14ac:dyDescent="0.3">
      <c r="C1295"/>
      <c r="D1295"/>
      <c r="E1295"/>
      <c r="F1295"/>
      <c r="G1295"/>
    </row>
    <row r="1296" spans="3:7" x14ac:dyDescent="0.3">
      <c r="C1296"/>
      <c r="D1296"/>
      <c r="E1296"/>
      <c r="F1296"/>
      <c r="G1296"/>
    </row>
    <row r="1297" spans="3:7" x14ac:dyDescent="0.3">
      <c r="C1297"/>
      <c r="D1297"/>
      <c r="E1297"/>
      <c r="F1297"/>
      <c r="G1297"/>
    </row>
    <row r="1298" spans="3:7" x14ac:dyDescent="0.3">
      <c r="C1298"/>
      <c r="D1298"/>
      <c r="E1298"/>
      <c r="F1298"/>
      <c r="G1298"/>
    </row>
    <row r="1299" spans="3:7" x14ac:dyDescent="0.3">
      <c r="C1299"/>
      <c r="D1299"/>
      <c r="E1299"/>
      <c r="F1299"/>
      <c r="G1299"/>
    </row>
    <row r="1300" spans="3:7" x14ac:dyDescent="0.3">
      <c r="C1300"/>
      <c r="D1300"/>
      <c r="E1300"/>
      <c r="F1300"/>
      <c r="G1300"/>
    </row>
    <row r="1301" spans="3:7" x14ac:dyDescent="0.3">
      <c r="C1301"/>
      <c r="D1301"/>
      <c r="E1301"/>
      <c r="F1301"/>
      <c r="G1301"/>
    </row>
    <row r="1302" spans="3:7" x14ac:dyDescent="0.3">
      <c r="C1302"/>
      <c r="D1302"/>
      <c r="E1302"/>
      <c r="F1302"/>
      <c r="G1302"/>
    </row>
    <row r="1303" spans="3:7" x14ac:dyDescent="0.3">
      <c r="C1303"/>
      <c r="D1303"/>
      <c r="E1303"/>
      <c r="F1303"/>
      <c r="G1303"/>
    </row>
    <row r="1304" spans="3:7" x14ac:dyDescent="0.3">
      <c r="C1304"/>
      <c r="D1304"/>
      <c r="E1304"/>
      <c r="F1304"/>
      <c r="G1304"/>
    </row>
    <row r="1305" spans="3:7" x14ac:dyDescent="0.3">
      <c r="C1305"/>
      <c r="D1305"/>
      <c r="E1305"/>
      <c r="F1305"/>
      <c r="G1305"/>
    </row>
    <row r="1306" spans="3:7" x14ac:dyDescent="0.3">
      <c r="C1306"/>
      <c r="D1306"/>
      <c r="E1306"/>
      <c r="F1306"/>
      <c r="G1306"/>
    </row>
    <row r="1307" spans="3:7" x14ac:dyDescent="0.3">
      <c r="C1307"/>
      <c r="D1307"/>
      <c r="E1307"/>
      <c r="F1307"/>
      <c r="G1307"/>
    </row>
    <row r="1308" spans="3:7" x14ac:dyDescent="0.3">
      <c r="C1308"/>
      <c r="D1308"/>
      <c r="E1308"/>
      <c r="F1308"/>
      <c r="G1308"/>
    </row>
    <row r="1309" spans="3:7" x14ac:dyDescent="0.3">
      <c r="C1309"/>
      <c r="D1309"/>
      <c r="E1309"/>
      <c r="F1309"/>
      <c r="G1309"/>
    </row>
    <row r="1310" spans="3:7" x14ac:dyDescent="0.3">
      <c r="C1310"/>
      <c r="D1310"/>
      <c r="E1310"/>
      <c r="F1310"/>
      <c r="G1310"/>
    </row>
    <row r="1311" spans="3:7" x14ac:dyDescent="0.3">
      <c r="C1311"/>
      <c r="D1311"/>
      <c r="E1311"/>
      <c r="F1311"/>
      <c r="G1311"/>
    </row>
    <row r="1312" spans="3:7" x14ac:dyDescent="0.3">
      <c r="C1312"/>
      <c r="D1312"/>
      <c r="E1312"/>
      <c r="F1312"/>
      <c r="G1312"/>
    </row>
    <row r="1313" spans="3:7" x14ac:dyDescent="0.3">
      <c r="C1313"/>
      <c r="D1313"/>
      <c r="E1313"/>
      <c r="F1313"/>
      <c r="G1313"/>
    </row>
    <row r="1314" spans="3:7" x14ac:dyDescent="0.3">
      <c r="C1314"/>
      <c r="D1314"/>
      <c r="E1314"/>
      <c r="F1314"/>
      <c r="G1314"/>
    </row>
    <row r="1315" spans="3:7" x14ac:dyDescent="0.3">
      <c r="C1315"/>
      <c r="D1315"/>
      <c r="E1315"/>
      <c r="F1315"/>
      <c r="G1315"/>
    </row>
    <row r="1316" spans="3:7" x14ac:dyDescent="0.3">
      <c r="C1316"/>
      <c r="D1316"/>
      <c r="E1316"/>
      <c r="F1316"/>
      <c r="G1316"/>
    </row>
    <row r="1317" spans="3:7" x14ac:dyDescent="0.3">
      <c r="C1317"/>
      <c r="D1317"/>
      <c r="E1317"/>
      <c r="F1317"/>
      <c r="G1317"/>
    </row>
    <row r="1318" spans="3:7" x14ac:dyDescent="0.3">
      <c r="C1318"/>
      <c r="D1318"/>
      <c r="E1318"/>
      <c r="F1318"/>
      <c r="G1318"/>
    </row>
    <row r="1319" spans="3:7" x14ac:dyDescent="0.3">
      <c r="C1319"/>
      <c r="D1319"/>
      <c r="E1319"/>
      <c r="F1319"/>
      <c r="G1319"/>
    </row>
    <row r="1320" spans="3:7" x14ac:dyDescent="0.3">
      <c r="C1320"/>
      <c r="D1320"/>
      <c r="E1320"/>
      <c r="F1320"/>
      <c r="G1320"/>
    </row>
    <row r="1321" spans="3:7" x14ac:dyDescent="0.3">
      <c r="C1321"/>
      <c r="D1321"/>
      <c r="E1321"/>
      <c r="F1321"/>
      <c r="G1321"/>
    </row>
    <row r="1322" spans="3:7" x14ac:dyDescent="0.3">
      <c r="C1322"/>
      <c r="D1322"/>
      <c r="E1322"/>
      <c r="F1322"/>
      <c r="G1322"/>
    </row>
    <row r="1323" spans="3:7" x14ac:dyDescent="0.3">
      <c r="C1323"/>
      <c r="D1323"/>
      <c r="E1323"/>
      <c r="F1323"/>
      <c r="G1323"/>
    </row>
    <row r="1324" spans="3:7" x14ac:dyDescent="0.3">
      <c r="C1324"/>
      <c r="D1324"/>
      <c r="E1324"/>
      <c r="F1324"/>
      <c r="G1324"/>
    </row>
    <row r="1325" spans="3:7" x14ac:dyDescent="0.3">
      <c r="C1325"/>
      <c r="D1325"/>
      <c r="E1325"/>
      <c r="F1325"/>
      <c r="G1325"/>
    </row>
    <row r="1326" spans="3:7" x14ac:dyDescent="0.3">
      <c r="C1326"/>
      <c r="D1326"/>
      <c r="E1326"/>
      <c r="F1326"/>
      <c r="G1326"/>
    </row>
    <row r="1327" spans="3:7" x14ac:dyDescent="0.3">
      <c r="C1327"/>
      <c r="D1327"/>
      <c r="E1327"/>
      <c r="F1327"/>
      <c r="G1327"/>
    </row>
    <row r="1328" spans="3:7" x14ac:dyDescent="0.3">
      <c r="C1328"/>
      <c r="D1328"/>
      <c r="E1328"/>
      <c r="F1328"/>
      <c r="G1328"/>
    </row>
    <row r="1329" spans="3:7" x14ac:dyDescent="0.3">
      <c r="C1329"/>
      <c r="D1329"/>
      <c r="E1329"/>
      <c r="F1329"/>
      <c r="G1329"/>
    </row>
    <row r="1330" spans="3:7" x14ac:dyDescent="0.3">
      <c r="C1330"/>
      <c r="D1330"/>
      <c r="E1330"/>
      <c r="F1330"/>
      <c r="G1330"/>
    </row>
    <row r="1331" spans="3:7" x14ac:dyDescent="0.3">
      <c r="C1331"/>
      <c r="D1331"/>
      <c r="E1331"/>
      <c r="F1331"/>
      <c r="G1331"/>
    </row>
    <row r="1332" spans="3:7" x14ac:dyDescent="0.3">
      <c r="C1332"/>
      <c r="D1332"/>
      <c r="E1332"/>
      <c r="F1332"/>
      <c r="G1332"/>
    </row>
    <row r="1333" spans="3:7" x14ac:dyDescent="0.3">
      <c r="C1333"/>
      <c r="D1333"/>
      <c r="E1333"/>
      <c r="F1333"/>
      <c r="G1333"/>
    </row>
    <row r="1334" spans="3:7" x14ac:dyDescent="0.3">
      <c r="C1334"/>
      <c r="D1334"/>
      <c r="E1334"/>
      <c r="F1334"/>
      <c r="G1334"/>
    </row>
    <row r="1335" spans="3:7" x14ac:dyDescent="0.3">
      <c r="C1335"/>
      <c r="D1335"/>
      <c r="E1335"/>
      <c r="F1335"/>
      <c r="G1335"/>
    </row>
    <row r="1336" spans="3:7" x14ac:dyDescent="0.3">
      <c r="C1336"/>
      <c r="D1336"/>
      <c r="E1336"/>
      <c r="F1336"/>
      <c r="G1336"/>
    </row>
    <row r="1337" spans="3:7" x14ac:dyDescent="0.3">
      <c r="C1337"/>
      <c r="D1337"/>
      <c r="E1337"/>
      <c r="F1337"/>
      <c r="G1337"/>
    </row>
    <row r="1338" spans="3:7" x14ac:dyDescent="0.3">
      <c r="C1338"/>
      <c r="D1338"/>
      <c r="E1338"/>
      <c r="F1338"/>
      <c r="G1338"/>
    </row>
    <row r="1339" spans="3:7" x14ac:dyDescent="0.3">
      <c r="C1339"/>
      <c r="D1339"/>
      <c r="E1339"/>
      <c r="F1339"/>
      <c r="G1339"/>
    </row>
    <row r="1340" spans="3:7" x14ac:dyDescent="0.3">
      <c r="C1340"/>
      <c r="D1340"/>
      <c r="E1340"/>
      <c r="F1340"/>
      <c r="G1340"/>
    </row>
    <row r="1341" spans="3:7" x14ac:dyDescent="0.3">
      <c r="C1341"/>
      <c r="D1341"/>
      <c r="E1341"/>
      <c r="F1341"/>
      <c r="G1341"/>
    </row>
    <row r="1342" spans="3:7" x14ac:dyDescent="0.3">
      <c r="C1342"/>
      <c r="D1342"/>
      <c r="E1342"/>
      <c r="F1342"/>
      <c r="G1342"/>
    </row>
    <row r="1343" spans="3:7" x14ac:dyDescent="0.3">
      <c r="C1343"/>
      <c r="D1343"/>
      <c r="E1343"/>
      <c r="F1343"/>
      <c r="G1343"/>
    </row>
    <row r="1344" spans="3:7" x14ac:dyDescent="0.3">
      <c r="C1344"/>
      <c r="D1344"/>
      <c r="E1344"/>
      <c r="F1344"/>
      <c r="G1344"/>
    </row>
    <row r="1345" spans="3:7" x14ac:dyDescent="0.3">
      <c r="C1345"/>
      <c r="D1345"/>
      <c r="E1345"/>
      <c r="F1345"/>
      <c r="G1345"/>
    </row>
    <row r="1346" spans="3:7" x14ac:dyDescent="0.3">
      <c r="C1346"/>
      <c r="D1346"/>
      <c r="E1346"/>
      <c r="F1346"/>
      <c r="G1346"/>
    </row>
    <row r="1347" spans="3:7" x14ac:dyDescent="0.3">
      <c r="C1347"/>
      <c r="D1347"/>
      <c r="E1347"/>
      <c r="F1347"/>
      <c r="G1347"/>
    </row>
    <row r="1348" spans="3:7" x14ac:dyDescent="0.3">
      <c r="C1348"/>
      <c r="D1348"/>
      <c r="E1348"/>
      <c r="F1348"/>
      <c r="G1348"/>
    </row>
    <row r="1349" spans="3:7" x14ac:dyDescent="0.3">
      <c r="C1349"/>
      <c r="D1349"/>
      <c r="E1349"/>
      <c r="F1349"/>
      <c r="G1349"/>
    </row>
    <row r="1350" spans="3:7" x14ac:dyDescent="0.3">
      <c r="C1350"/>
      <c r="D1350"/>
      <c r="E1350"/>
      <c r="F1350"/>
      <c r="G1350"/>
    </row>
    <row r="1351" spans="3:7" x14ac:dyDescent="0.3">
      <c r="C1351"/>
      <c r="D1351"/>
      <c r="E1351"/>
      <c r="F1351"/>
      <c r="G1351"/>
    </row>
    <row r="1352" spans="3:7" x14ac:dyDescent="0.3">
      <c r="C1352"/>
      <c r="D1352"/>
      <c r="E1352"/>
      <c r="F1352"/>
      <c r="G1352"/>
    </row>
    <row r="1353" spans="3:7" x14ac:dyDescent="0.3">
      <c r="C1353"/>
      <c r="D1353"/>
      <c r="E1353"/>
      <c r="F1353"/>
      <c r="G1353"/>
    </row>
    <row r="1354" spans="3:7" x14ac:dyDescent="0.3">
      <c r="C1354"/>
      <c r="D1354"/>
      <c r="E1354"/>
      <c r="F1354"/>
      <c r="G1354"/>
    </row>
    <row r="1355" spans="3:7" x14ac:dyDescent="0.3">
      <c r="C1355"/>
      <c r="D1355"/>
      <c r="E1355"/>
      <c r="F1355"/>
      <c r="G1355"/>
    </row>
    <row r="1356" spans="3:7" x14ac:dyDescent="0.3">
      <c r="C1356"/>
      <c r="D1356"/>
      <c r="E1356"/>
      <c r="F1356"/>
      <c r="G1356"/>
    </row>
    <row r="1357" spans="3:7" x14ac:dyDescent="0.3">
      <c r="C1357"/>
      <c r="D1357"/>
      <c r="E1357"/>
      <c r="F1357"/>
      <c r="G1357"/>
    </row>
    <row r="1358" spans="3:7" x14ac:dyDescent="0.3">
      <c r="C1358"/>
      <c r="D1358"/>
      <c r="E1358"/>
      <c r="F1358"/>
      <c r="G1358"/>
    </row>
    <row r="1359" spans="3:7" x14ac:dyDescent="0.3">
      <c r="C1359"/>
      <c r="D1359"/>
      <c r="E1359"/>
      <c r="F1359"/>
      <c r="G1359"/>
    </row>
    <row r="1360" spans="3:7" x14ac:dyDescent="0.3">
      <c r="C1360"/>
      <c r="D1360"/>
      <c r="E1360"/>
      <c r="F1360"/>
      <c r="G1360"/>
    </row>
    <row r="1361" spans="3:7" x14ac:dyDescent="0.3">
      <c r="C1361"/>
      <c r="D1361"/>
      <c r="E1361"/>
      <c r="F1361"/>
      <c r="G1361"/>
    </row>
    <row r="1362" spans="3:7" x14ac:dyDescent="0.3">
      <c r="C1362"/>
      <c r="D1362"/>
      <c r="E1362"/>
      <c r="F1362"/>
      <c r="G1362"/>
    </row>
    <row r="1363" spans="3:7" x14ac:dyDescent="0.3">
      <c r="C1363"/>
      <c r="D1363"/>
      <c r="E1363"/>
      <c r="F1363"/>
      <c r="G1363"/>
    </row>
    <row r="1364" spans="3:7" x14ac:dyDescent="0.3">
      <c r="C1364"/>
      <c r="D1364"/>
      <c r="E1364"/>
      <c r="F1364"/>
      <c r="G1364"/>
    </row>
    <row r="1365" spans="3:7" x14ac:dyDescent="0.3">
      <c r="C1365"/>
      <c r="D1365"/>
      <c r="E1365"/>
      <c r="F1365"/>
      <c r="G1365"/>
    </row>
    <row r="1366" spans="3:7" x14ac:dyDescent="0.3">
      <c r="C1366"/>
      <c r="D1366"/>
      <c r="E1366"/>
      <c r="F1366"/>
      <c r="G1366"/>
    </row>
    <row r="1367" spans="3:7" x14ac:dyDescent="0.3">
      <c r="C1367"/>
      <c r="D1367"/>
      <c r="E1367"/>
      <c r="F1367"/>
      <c r="G1367"/>
    </row>
    <row r="1368" spans="3:7" x14ac:dyDescent="0.3">
      <c r="C1368"/>
      <c r="D1368"/>
      <c r="E1368"/>
      <c r="F1368"/>
      <c r="G1368"/>
    </row>
    <row r="1369" spans="3:7" x14ac:dyDescent="0.3">
      <c r="C1369"/>
      <c r="D1369"/>
      <c r="E1369"/>
      <c r="F1369"/>
      <c r="G1369"/>
    </row>
    <row r="1370" spans="3:7" x14ac:dyDescent="0.3">
      <c r="C1370"/>
      <c r="D1370"/>
      <c r="E1370"/>
      <c r="F1370"/>
      <c r="G1370"/>
    </row>
    <row r="1371" spans="3:7" x14ac:dyDescent="0.3">
      <c r="C1371"/>
      <c r="D1371"/>
      <c r="E1371"/>
      <c r="F1371"/>
      <c r="G1371"/>
    </row>
    <row r="1372" spans="3:7" x14ac:dyDescent="0.3">
      <c r="C1372"/>
      <c r="D1372"/>
      <c r="E1372"/>
      <c r="F1372"/>
      <c r="G1372"/>
    </row>
    <row r="1373" spans="3:7" x14ac:dyDescent="0.3">
      <c r="C1373"/>
      <c r="D1373"/>
      <c r="E1373"/>
      <c r="F1373"/>
      <c r="G1373"/>
    </row>
    <row r="1374" spans="3:7" x14ac:dyDescent="0.3">
      <c r="C1374"/>
      <c r="D1374"/>
      <c r="E1374"/>
      <c r="F1374"/>
      <c r="G1374"/>
    </row>
    <row r="1375" spans="3:7" x14ac:dyDescent="0.3">
      <c r="C1375"/>
      <c r="D1375"/>
      <c r="E1375"/>
      <c r="F1375"/>
      <c r="G1375"/>
    </row>
    <row r="1376" spans="3:7" x14ac:dyDescent="0.3">
      <c r="C1376"/>
      <c r="D1376"/>
      <c r="E1376"/>
      <c r="F1376"/>
      <c r="G1376"/>
    </row>
    <row r="1377" spans="3:7" x14ac:dyDescent="0.3">
      <c r="C1377"/>
      <c r="D1377"/>
      <c r="E1377"/>
      <c r="F1377"/>
      <c r="G1377"/>
    </row>
    <row r="1378" spans="3:7" x14ac:dyDescent="0.3">
      <c r="C1378"/>
      <c r="D1378"/>
      <c r="E1378"/>
      <c r="F1378"/>
      <c r="G1378"/>
    </row>
    <row r="1379" spans="3:7" x14ac:dyDescent="0.3">
      <c r="C1379"/>
      <c r="D1379"/>
      <c r="E1379"/>
      <c r="F1379"/>
      <c r="G1379"/>
    </row>
    <row r="1380" spans="3:7" x14ac:dyDescent="0.3">
      <c r="C1380"/>
      <c r="D1380"/>
      <c r="E1380"/>
      <c r="F1380"/>
      <c r="G1380"/>
    </row>
    <row r="1381" spans="3:7" x14ac:dyDescent="0.3">
      <c r="C1381"/>
      <c r="D1381"/>
      <c r="E1381"/>
      <c r="F1381"/>
      <c r="G1381"/>
    </row>
    <row r="1382" spans="3:7" x14ac:dyDescent="0.3">
      <c r="C1382"/>
      <c r="D1382"/>
      <c r="E1382"/>
      <c r="F1382"/>
      <c r="G1382"/>
    </row>
    <row r="1383" spans="3:7" x14ac:dyDescent="0.3">
      <c r="C1383"/>
      <c r="D1383"/>
      <c r="E1383"/>
      <c r="F1383"/>
      <c r="G1383"/>
    </row>
    <row r="1384" spans="3:7" x14ac:dyDescent="0.3">
      <c r="C1384"/>
      <c r="D1384"/>
      <c r="E1384"/>
      <c r="F1384"/>
      <c r="G1384"/>
    </row>
    <row r="1385" spans="3:7" x14ac:dyDescent="0.3">
      <c r="C1385"/>
      <c r="D1385"/>
      <c r="E1385"/>
      <c r="F1385"/>
      <c r="G1385"/>
    </row>
    <row r="1386" spans="3:7" x14ac:dyDescent="0.3">
      <c r="C1386"/>
      <c r="D1386"/>
      <c r="E1386"/>
      <c r="F1386"/>
      <c r="G1386"/>
    </row>
    <row r="1387" spans="3:7" x14ac:dyDescent="0.3">
      <c r="C1387"/>
      <c r="D1387"/>
      <c r="E1387"/>
      <c r="F1387"/>
      <c r="G1387"/>
    </row>
    <row r="1388" spans="3:7" x14ac:dyDescent="0.3">
      <c r="C1388"/>
      <c r="D1388"/>
      <c r="E1388"/>
      <c r="F1388"/>
      <c r="G1388"/>
    </row>
    <row r="1389" spans="3:7" x14ac:dyDescent="0.3">
      <c r="C1389"/>
      <c r="D1389"/>
      <c r="E1389"/>
      <c r="F1389"/>
      <c r="G1389"/>
    </row>
    <row r="1390" spans="3:7" x14ac:dyDescent="0.3">
      <c r="C1390"/>
      <c r="D1390"/>
      <c r="E1390"/>
      <c r="F1390"/>
      <c r="G1390"/>
    </row>
    <row r="1391" spans="3:7" x14ac:dyDescent="0.3">
      <c r="C1391"/>
      <c r="D1391"/>
      <c r="E1391"/>
      <c r="F1391"/>
      <c r="G1391"/>
    </row>
    <row r="1392" spans="3:7" x14ac:dyDescent="0.3">
      <c r="C1392"/>
      <c r="D1392"/>
      <c r="E1392"/>
      <c r="F1392"/>
      <c r="G1392"/>
    </row>
    <row r="1393" spans="3:7" x14ac:dyDescent="0.3">
      <c r="C1393"/>
      <c r="D1393"/>
      <c r="E1393"/>
      <c r="F1393"/>
      <c r="G1393"/>
    </row>
    <row r="1394" spans="3:7" x14ac:dyDescent="0.3">
      <c r="C1394"/>
      <c r="D1394"/>
      <c r="E1394"/>
      <c r="F1394"/>
      <c r="G1394"/>
    </row>
    <row r="1395" spans="3:7" x14ac:dyDescent="0.3">
      <c r="C1395"/>
      <c r="D1395"/>
      <c r="E1395"/>
      <c r="F1395"/>
      <c r="G1395"/>
    </row>
    <row r="1396" spans="3:7" x14ac:dyDescent="0.3">
      <c r="C1396"/>
      <c r="D1396"/>
      <c r="E1396"/>
      <c r="F1396"/>
      <c r="G1396"/>
    </row>
    <row r="1397" spans="3:7" x14ac:dyDescent="0.3">
      <c r="C1397"/>
      <c r="D1397"/>
      <c r="E1397"/>
      <c r="F1397"/>
      <c r="G1397"/>
    </row>
    <row r="1398" spans="3:7" x14ac:dyDescent="0.3">
      <c r="C1398"/>
      <c r="D1398"/>
      <c r="E1398"/>
      <c r="F1398"/>
      <c r="G1398"/>
    </row>
    <row r="1399" spans="3:7" x14ac:dyDescent="0.3">
      <c r="C1399"/>
      <c r="D1399"/>
      <c r="E1399"/>
      <c r="F1399"/>
      <c r="G1399"/>
    </row>
    <row r="1400" spans="3:7" x14ac:dyDescent="0.3">
      <c r="C1400"/>
      <c r="D1400"/>
      <c r="E1400"/>
      <c r="F1400"/>
      <c r="G1400"/>
    </row>
    <row r="1401" spans="3:7" x14ac:dyDescent="0.3">
      <c r="C1401"/>
      <c r="D1401"/>
      <c r="E1401"/>
      <c r="F1401"/>
      <c r="G1401"/>
    </row>
    <row r="1402" spans="3:7" x14ac:dyDescent="0.3">
      <c r="C1402"/>
      <c r="D1402"/>
      <c r="E1402"/>
      <c r="F1402"/>
      <c r="G1402"/>
    </row>
    <row r="1403" spans="3:7" x14ac:dyDescent="0.3">
      <c r="C1403"/>
      <c r="D1403"/>
      <c r="E1403"/>
      <c r="F1403"/>
      <c r="G1403"/>
    </row>
    <row r="1404" spans="3:7" x14ac:dyDescent="0.3">
      <c r="C1404"/>
      <c r="D1404"/>
      <c r="E1404"/>
      <c r="F1404"/>
      <c r="G1404"/>
    </row>
    <row r="1405" spans="3:7" x14ac:dyDescent="0.3">
      <c r="C1405"/>
      <c r="D1405"/>
      <c r="E1405"/>
      <c r="F1405"/>
      <c r="G1405"/>
    </row>
    <row r="1406" spans="3:7" x14ac:dyDescent="0.3">
      <c r="C1406"/>
      <c r="D1406"/>
      <c r="E1406"/>
      <c r="F1406"/>
      <c r="G1406"/>
    </row>
    <row r="1407" spans="3:7" x14ac:dyDescent="0.3">
      <c r="C1407"/>
      <c r="D1407"/>
      <c r="E1407"/>
      <c r="F1407"/>
      <c r="G1407"/>
    </row>
    <row r="1408" spans="3:7" x14ac:dyDescent="0.3">
      <c r="C1408"/>
      <c r="D1408"/>
      <c r="E1408"/>
      <c r="F1408"/>
      <c r="G1408"/>
    </row>
    <row r="1409" spans="3:7" x14ac:dyDescent="0.3">
      <c r="C1409"/>
      <c r="D1409"/>
      <c r="E1409"/>
      <c r="F1409"/>
      <c r="G1409"/>
    </row>
    <row r="1410" spans="3:7" x14ac:dyDescent="0.3">
      <c r="C1410"/>
      <c r="D1410"/>
      <c r="E1410"/>
      <c r="F1410"/>
      <c r="G1410"/>
    </row>
    <row r="1411" spans="3:7" x14ac:dyDescent="0.3">
      <c r="C1411"/>
      <c r="D1411"/>
      <c r="E1411"/>
      <c r="F1411"/>
      <c r="G1411"/>
    </row>
    <row r="1412" spans="3:7" x14ac:dyDescent="0.3">
      <c r="C1412"/>
      <c r="D1412"/>
      <c r="E1412"/>
      <c r="F1412"/>
      <c r="G1412"/>
    </row>
    <row r="1413" spans="3:7" x14ac:dyDescent="0.3">
      <c r="C1413"/>
      <c r="D1413"/>
      <c r="E1413"/>
      <c r="F1413"/>
      <c r="G1413"/>
    </row>
    <row r="1414" spans="3:7" x14ac:dyDescent="0.3">
      <c r="C1414"/>
      <c r="D1414"/>
      <c r="E1414"/>
      <c r="F1414"/>
      <c r="G1414"/>
    </row>
    <row r="1415" spans="3:7" x14ac:dyDescent="0.3">
      <c r="C1415"/>
      <c r="D1415"/>
      <c r="E1415"/>
      <c r="F1415"/>
      <c r="G1415"/>
    </row>
    <row r="1416" spans="3:7" x14ac:dyDescent="0.3">
      <c r="C1416"/>
      <c r="D1416"/>
      <c r="E1416"/>
      <c r="F1416"/>
      <c r="G1416"/>
    </row>
    <row r="1417" spans="3:7" x14ac:dyDescent="0.3">
      <c r="C1417"/>
      <c r="D1417"/>
      <c r="E1417"/>
      <c r="F1417"/>
      <c r="G1417"/>
    </row>
    <row r="1418" spans="3:7" x14ac:dyDescent="0.3">
      <c r="C1418"/>
      <c r="D1418"/>
      <c r="E1418"/>
      <c r="F1418"/>
      <c r="G1418"/>
    </row>
    <row r="1419" spans="3:7" x14ac:dyDescent="0.3">
      <c r="C1419"/>
      <c r="D1419"/>
      <c r="E1419"/>
      <c r="F1419"/>
      <c r="G1419"/>
    </row>
    <row r="1420" spans="3:7" x14ac:dyDescent="0.3">
      <c r="C1420"/>
      <c r="D1420"/>
      <c r="E1420"/>
      <c r="F1420"/>
      <c r="G1420"/>
    </row>
    <row r="1421" spans="3:7" x14ac:dyDescent="0.3">
      <c r="C1421"/>
      <c r="D1421"/>
      <c r="E1421"/>
      <c r="F1421"/>
      <c r="G1421"/>
    </row>
    <row r="1422" spans="3:7" x14ac:dyDescent="0.3">
      <c r="C1422"/>
      <c r="D1422"/>
      <c r="E1422"/>
      <c r="F1422"/>
      <c r="G1422"/>
    </row>
    <row r="1423" spans="3:7" x14ac:dyDescent="0.3">
      <c r="C1423"/>
      <c r="D1423"/>
      <c r="E1423"/>
      <c r="F1423"/>
      <c r="G1423"/>
    </row>
    <row r="1424" spans="3:7" x14ac:dyDescent="0.3">
      <c r="C1424"/>
      <c r="D1424"/>
      <c r="E1424"/>
      <c r="F1424"/>
      <c r="G1424"/>
    </row>
    <row r="1425" spans="3:7" x14ac:dyDescent="0.3">
      <c r="C1425"/>
      <c r="D1425"/>
      <c r="E1425"/>
      <c r="F1425"/>
      <c r="G1425"/>
    </row>
    <row r="1426" spans="3:7" x14ac:dyDescent="0.3">
      <c r="C1426"/>
      <c r="D1426"/>
      <c r="E1426"/>
      <c r="F1426"/>
      <c r="G1426"/>
    </row>
    <row r="1427" spans="3:7" x14ac:dyDescent="0.3">
      <c r="C1427"/>
      <c r="D1427"/>
      <c r="E1427"/>
      <c r="F1427"/>
      <c r="G1427"/>
    </row>
    <row r="1428" spans="3:7" x14ac:dyDescent="0.3">
      <c r="C1428"/>
      <c r="D1428"/>
      <c r="E1428"/>
      <c r="F1428"/>
      <c r="G1428"/>
    </row>
    <row r="1429" spans="3:7" x14ac:dyDescent="0.3">
      <c r="C1429"/>
      <c r="D1429"/>
      <c r="E1429"/>
      <c r="F1429"/>
      <c r="G1429"/>
    </row>
    <row r="1430" spans="3:7" x14ac:dyDescent="0.3">
      <c r="C1430"/>
      <c r="D1430"/>
      <c r="E1430"/>
      <c r="F1430"/>
      <c r="G1430"/>
    </row>
    <row r="1431" spans="3:7" x14ac:dyDescent="0.3">
      <c r="C1431"/>
      <c r="D1431"/>
      <c r="E1431"/>
      <c r="F1431"/>
      <c r="G1431"/>
    </row>
    <row r="1432" spans="3:7" x14ac:dyDescent="0.3">
      <c r="C1432"/>
      <c r="D1432"/>
      <c r="E1432"/>
      <c r="F1432"/>
      <c r="G1432"/>
    </row>
    <row r="1433" spans="3:7" x14ac:dyDescent="0.3">
      <c r="C1433"/>
      <c r="D1433"/>
      <c r="E1433"/>
      <c r="F1433"/>
      <c r="G1433"/>
    </row>
    <row r="1434" spans="3:7" x14ac:dyDescent="0.3">
      <c r="C1434"/>
      <c r="D1434"/>
      <c r="E1434"/>
      <c r="F1434"/>
      <c r="G1434"/>
    </row>
    <row r="1435" spans="3:7" x14ac:dyDescent="0.3">
      <c r="C1435"/>
      <c r="D1435"/>
      <c r="E1435"/>
      <c r="F1435"/>
      <c r="G1435"/>
    </row>
    <row r="1436" spans="3:7" x14ac:dyDescent="0.3">
      <c r="C1436"/>
      <c r="D1436"/>
      <c r="E1436"/>
      <c r="F1436"/>
      <c r="G1436"/>
    </row>
    <row r="1437" spans="3:7" x14ac:dyDescent="0.3">
      <c r="C1437"/>
      <c r="D1437"/>
      <c r="E1437"/>
      <c r="F1437"/>
      <c r="G1437"/>
    </row>
    <row r="1438" spans="3:7" x14ac:dyDescent="0.3">
      <c r="C1438"/>
      <c r="D1438"/>
      <c r="E1438"/>
      <c r="F1438"/>
      <c r="G1438"/>
    </row>
    <row r="1439" spans="3:7" x14ac:dyDescent="0.3">
      <c r="C1439"/>
      <c r="D1439"/>
      <c r="E1439"/>
      <c r="F1439"/>
      <c r="G1439"/>
    </row>
    <row r="1440" spans="3:7" x14ac:dyDescent="0.3">
      <c r="C1440"/>
      <c r="D1440"/>
      <c r="E1440"/>
      <c r="F1440"/>
      <c r="G1440"/>
    </row>
    <row r="1441" spans="3:7" x14ac:dyDescent="0.3">
      <c r="C1441"/>
      <c r="D1441"/>
      <c r="E1441"/>
      <c r="F1441"/>
      <c r="G1441"/>
    </row>
    <row r="1442" spans="3:7" x14ac:dyDescent="0.3">
      <c r="C1442"/>
      <c r="D1442"/>
      <c r="E1442"/>
      <c r="F1442"/>
      <c r="G1442"/>
    </row>
    <row r="1443" spans="3:7" x14ac:dyDescent="0.3">
      <c r="C1443"/>
      <c r="D1443"/>
      <c r="E1443"/>
      <c r="F1443"/>
      <c r="G1443"/>
    </row>
    <row r="1444" spans="3:7" x14ac:dyDescent="0.3">
      <c r="C1444"/>
      <c r="D1444"/>
      <c r="E1444"/>
      <c r="F1444"/>
      <c r="G1444"/>
    </row>
    <row r="1445" spans="3:7" x14ac:dyDescent="0.3">
      <c r="C1445"/>
      <c r="D1445"/>
      <c r="E1445"/>
      <c r="F1445"/>
      <c r="G1445"/>
    </row>
    <row r="1446" spans="3:7" x14ac:dyDescent="0.3">
      <c r="C1446"/>
      <c r="D1446"/>
      <c r="E1446"/>
      <c r="F1446"/>
      <c r="G1446"/>
    </row>
    <row r="1447" spans="3:7" x14ac:dyDescent="0.3">
      <c r="C1447"/>
      <c r="D1447"/>
      <c r="E1447"/>
      <c r="F1447"/>
      <c r="G1447"/>
    </row>
    <row r="1448" spans="3:7" x14ac:dyDescent="0.3">
      <c r="C1448"/>
      <c r="D1448"/>
      <c r="E1448"/>
      <c r="F1448"/>
      <c r="G1448"/>
    </row>
    <row r="1449" spans="3:7" x14ac:dyDescent="0.3">
      <c r="C1449"/>
      <c r="D1449"/>
      <c r="E1449"/>
      <c r="F1449"/>
      <c r="G1449"/>
    </row>
    <row r="1450" spans="3:7" x14ac:dyDescent="0.3">
      <c r="C1450"/>
      <c r="D1450"/>
      <c r="E1450"/>
      <c r="F1450"/>
      <c r="G1450"/>
    </row>
    <row r="1451" spans="3:7" x14ac:dyDescent="0.3">
      <c r="C1451"/>
      <c r="D1451"/>
      <c r="E1451"/>
      <c r="F1451"/>
      <c r="G1451"/>
    </row>
    <row r="1452" spans="3:7" x14ac:dyDescent="0.3">
      <c r="C1452"/>
      <c r="D1452"/>
      <c r="E1452"/>
      <c r="F1452"/>
      <c r="G1452"/>
    </row>
    <row r="1453" spans="3:7" x14ac:dyDescent="0.3">
      <c r="C1453"/>
      <c r="D1453"/>
      <c r="E1453"/>
      <c r="F1453"/>
      <c r="G1453"/>
    </row>
    <row r="1454" spans="3:7" x14ac:dyDescent="0.3">
      <c r="C1454"/>
      <c r="D1454"/>
      <c r="E1454"/>
      <c r="F1454"/>
      <c r="G1454"/>
    </row>
    <row r="1455" spans="3:7" x14ac:dyDescent="0.3">
      <c r="C1455"/>
      <c r="D1455"/>
      <c r="E1455"/>
      <c r="F1455"/>
      <c r="G1455"/>
    </row>
    <row r="1456" spans="3:7" x14ac:dyDescent="0.3">
      <c r="C1456"/>
      <c r="D1456"/>
      <c r="E1456"/>
      <c r="F1456"/>
      <c r="G1456"/>
    </row>
    <row r="1457" spans="3:7" x14ac:dyDescent="0.3">
      <c r="C1457"/>
      <c r="D1457"/>
      <c r="E1457"/>
      <c r="F1457"/>
      <c r="G1457"/>
    </row>
    <row r="1458" spans="3:7" x14ac:dyDescent="0.3">
      <c r="C1458"/>
      <c r="D1458"/>
      <c r="E1458"/>
      <c r="F1458"/>
      <c r="G1458"/>
    </row>
    <row r="1459" spans="3:7" x14ac:dyDescent="0.3">
      <c r="C1459"/>
      <c r="D1459"/>
      <c r="E1459"/>
      <c r="F1459"/>
      <c r="G1459"/>
    </row>
    <row r="1460" spans="3:7" x14ac:dyDescent="0.3">
      <c r="C1460"/>
      <c r="D1460"/>
      <c r="E1460"/>
      <c r="F1460"/>
      <c r="G1460"/>
    </row>
    <row r="1461" spans="3:7" x14ac:dyDescent="0.3">
      <c r="C1461"/>
      <c r="D1461"/>
      <c r="E1461"/>
      <c r="F1461"/>
      <c r="G1461"/>
    </row>
    <row r="1462" spans="3:7" x14ac:dyDescent="0.3">
      <c r="C1462"/>
      <c r="D1462"/>
      <c r="E1462"/>
      <c r="F1462"/>
      <c r="G1462"/>
    </row>
    <row r="1463" spans="3:7" x14ac:dyDescent="0.3">
      <c r="C1463"/>
      <c r="D1463"/>
      <c r="E1463"/>
      <c r="F1463"/>
      <c r="G1463"/>
    </row>
    <row r="1464" spans="3:7" x14ac:dyDescent="0.3">
      <c r="C1464"/>
      <c r="D1464"/>
      <c r="E1464"/>
      <c r="F1464"/>
      <c r="G1464"/>
    </row>
    <row r="1465" spans="3:7" x14ac:dyDescent="0.3">
      <c r="C1465"/>
      <c r="D1465"/>
      <c r="E1465"/>
      <c r="F1465"/>
      <c r="G1465"/>
    </row>
    <row r="1466" spans="3:7" x14ac:dyDescent="0.3">
      <c r="C1466"/>
      <c r="D1466"/>
      <c r="E1466"/>
      <c r="F1466"/>
      <c r="G1466"/>
    </row>
    <row r="1467" spans="3:7" x14ac:dyDescent="0.3">
      <c r="C1467"/>
      <c r="D1467"/>
      <c r="E1467"/>
      <c r="F1467"/>
      <c r="G1467"/>
    </row>
    <row r="1468" spans="3:7" x14ac:dyDescent="0.3">
      <c r="C1468"/>
      <c r="D1468"/>
      <c r="E1468"/>
      <c r="F1468"/>
      <c r="G1468"/>
    </row>
    <row r="1469" spans="3:7" x14ac:dyDescent="0.3">
      <c r="C1469"/>
      <c r="D1469"/>
      <c r="E1469"/>
      <c r="F1469"/>
      <c r="G1469"/>
    </row>
    <row r="1470" spans="3:7" x14ac:dyDescent="0.3">
      <c r="C1470"/>
      <c r="D1470"/>
      <c r="E1470"/>
      <c r="F1470"/>
      <c r="G1470"/>
    </row>
    <row r="1471" spans="3:7" x14ac:dyDescent="0.3">
      <c r="C1471"/>
      <c r="D1471"/>
      <c r="E1471"/>
      <c r="F1471"/>
      <c r="G1471"/>
    </row>
    <row r="1472" spans="3:7" x14ac:dyDescent="0.3">
      <c r="C1472"/>
      <c r="D1472"/>
      <c r="E1472"/>
      <c r="F1472"/>
      <c r="G1472"/>
    </row>
    <row r="1473" spans="3:7" x14ac:dyDescent="0.3">
      <c r="C1473"/>
      <c r="D1473"/>
      <c r="E1473"/>
      <c r="F1473"/>
      <c r="G1473"/>
    </row>
    <row r="1474" spans="3:7" x14ac:dyDescent="0.3">
      <c r="C1474"/>
      <c r="D1474"/>
      <c r="E1474"/>
      <c r="F1474"/>
      <c r="G1474"/>
    </row>
    <row r="1475" spans="3:7" x14ac:dyDescent="0.3">
      <c r="C1475"/>
      <c r="D1475"/>
      <c r="E1475"/>
      <c r="F1475"/>
      <c r="G1475"/>
    </row>
    <row r="1476" spans="3:7" x14ac:dyDescent="0.3">
      <c r="C1476"/>
      <c r="D1476"/>
      <c r="E1476"/>
      <c r="F1476"/>
      <c r="G1476"/>
    </row>
    <row r="1477" spans="3:7" x14ac:dyDescent="0.3">
      <c r="C1477"/>
      <c r="D1477"/>
      <c r="E1477"/>
      <c r="F1477"/>
      <c r="G1477"/>
    </row>
    <row r="1478" spans="3:7" x14ac:dyDescent="0.3">
      <c r="C1478"/>
      <c r="D1478"/>
      <c r="E1478"/>
      <c r="F1478"/>
      <c r="G1478"/>
    </row>
    <row r="1479" spans="3:7" x14ac:dyDescent="0.3">
      <c r="C1479"/>
      <c r="D1479"/>
      <c r="E1479"/>
      <c r="F1479"/>
      <c r="G1479"/>
    </row>
    <row r="1480" spans="3:7" x14ac:dyDescent="0.3">
      <c r="C1480"/>
      <c r="D1480"/>
      <c r="E1480"/>
      <c r="F1480"/>
      <c r="G1480"/>
    </row>
    <row r="1481" spans="3:7" x14ac:dyDescent="0.3">
      <c r="C1481"/>
      <c r="D1481"/>
      <c r="E1481"/>
      <c r="F1481"/>
      <c r="G1481"/>
    </row>
    <row r="1482" spans="3:7" x14ac:dyDescent="0.3">
      <c r="C1482"/>
      <c r="D1482"/>
      <c r="E1482"/>
      <c r="F1482"/>
      <c r="G1482"/>
    </row>
    <row r="1483" spans="3:7" x14ac:dyDescent="0.3">
      <c r="C1483"/>
      <c r="D1483"/>
      <c r="E1483"/>
      <c r="F1483"/>
      <c r="G1483"/>
    </row>
    <row r="1484" spans="3:7" x14ac:dyDescent="0.3">
      <c r="C1484"/>
      <c r="D1484"/>
      <c r="E1484"/>
      <c r="F1484"/>
      <c r="G1484"/>
    </row>
    <row r="1485" spans="3:7" x14ac:dyDescent="0.3">
      <c r="C1485"/>
      <c r="D1485"/>
      <c r="E1485"/>
      <c r="F1485"/>
      <c r="G1485"/>
    </row>
    <row r="1486" spans="3:7" x14ac:dyDescent="0.3">
      <c r="C1486"/>
      <c r="D1486"/>
      <c r="E1486"/>
      <c r="F1486"/>
      <c r="G1486"/>
    </row>
    <row r="1487" spans="3:7" x14ac:dyDescent="0.3">
      <c r="C1487"/>
      <c r="D1487"/>
      <c r="E1487"/>
      <c r="F1487"/>
      <c r="G1487"/>
    </row>
    <row r="1488" spans="3:7" x14ac:dyDescent="0.3">
      <c r="C1488"/>
      <c r="D1488"/>
      <c r="E1488"/>
      <c r="F1488"/>
      <c r="G1488"/>
    </row>
    <row r="1489" spans="3:7" x14ac:dyDescent="0.3">
      <c r="C1489"/>
      <c r="D1489"/>
      <c r="E1489"/>
      <c r="F1489"/>
      <c r="G1489"/>
    </row>
    <row r="1490" spans="3:7" x14ac:dyDescent="0.3">
      <c r="C1490"/>
      <c r="D1490"/>
      <c r="E1490"/>
      <c r="F1490"/>
      <c r="G1490"/>
    </row>
    <row r="1491" spans="3:7" x14ac:dyDescent="0.3">
      <c r="C1491"/>
      <c r="D1491"/>
      <c r="E1491"/>
      <c r="F1491"/>
      <c r="G1491"/>
    </row>
    <row r="1492" spans="3:7" x14ac:dyDescent="0.3">
      <c r="C1492"/>
      <c r="D1492"/>
      <c r="E1492"/>
      <c r="F1492"/>
      <c r="G1492"/>
    </row>
    <row r="1493" spans="3:7" x14ac:dyDescent="0.3">
      <c r="C1493"/>
      <c r="D1493"/>
      <c r="E1493"/>
      <c r="F1493"/>
      <c r="G1493"/>
    </row>
    <row r="1494" spans="3:7" x14ac:dyDescent="0.3">
      <c r="C1494"/>
      <c r="D1494"/>
      <c r="E1494"/>
      <c r="F1494"/>
      <c r="G1494"/>
    </row>
    <row r="1495" spans="3:7" x14ac:dyDescent="0.3">
      <c r="C1495"/>
      <c r="D1495"/>
      <c r="E1495"/>
      <c r="F1495"/>
      <c r="G1495"/>
    </row>
    <row r="1496" spans="3:7" x14ac:dyDescent="0.3">
      <c r="C1496"/>
      <c r="D1496"/>
      <c r="E1496"/>
      <c r="F1496"/>
      <c r="G1496"/>
    </row>
    <row r="1497" spans="3:7" x14ac:dyDescent="0.3">
      <c r="C1497"/>
      <c r="D1497"/>
      <c r="E1497"/>
      <c r="F1497"/>
      <c r="G1497"/>
    </row>
    <row r="1498" spans="3:7" x14ac:dyDescent="0.3">
      <c r="C1498"/>
      <c r="D1498"/>
      <c r="E1498"/>
      <c r="F1498"/>
      <c r="G1498"/>
    </row>
    <row r="1499" spans="3:7" x14ac:dyDescent="0.3">
      <c r="C1499"/>
      <c r="D1499"/>
      <c r="E1499"/>
      <c r="F1499"/>
      <c r="G1499"/>
    </row>
    <row r="1500" spans="3:7" x14ac:dyDescent="0.3">
      <c r="C1500"/>
      <c r="D1500"/>
      <c r="E1500"/>
      <c r="F1500"/>
      <c r="G1500"/>
    </row>
    <row r="1501" spans="3:7" x14ac:dyDescent="0.3">
      <c r="C1501"/>
      <c r="D1501"/>
      <c r="E1501"/>
      <c r="F1501"/>
      <c r="G1501"/>
    </row>
    <row r="1502" spans="3:7" x14ac:dyDescent="0.3">
      <c r="C1502"/>
      <c r="D1502"/>
      <c r="E1502"/>
      <c r="F1502"/>
      <c r="G1502"/>
    </row>
    <row r="1503" spans="3:7" x14ac:dyDescent="0.3">
      <c r="C1503"/>
      <c r="D1503"/>
      <c r="E1503"/>
      <c r="F1503"/>
      <c r="G1503"/>
    </row>
    <row r="1504" spans="3:7" x14ac:dyDescent="0.3">
      <c r="C1504"/>
      <c r="D1504"/>
      <c r="E1504"/>
      <c r="F1504"/>
      <c r="G1504"/>
    </row>
    <row r="1505" spans="3:7" x14ac:dyDescent="0.3">
      <c r="C1505"/>
      <c r="D1505"/>
      <c r="E1505"/>
      <c r="F1505"/>
      <c r="G1505"/>
    </row>
    <row r="1506" spans="3:7" x14ac:dyDescent="0.3">
      <c r="C1506"/>
      <c r="D1506"/>
      <c r="E1506"/>
      <c r="F1506"/>
      <c r="G1506"/>
    </row>
    <row r="1507" spans="3:7" x14ac:dyDescent="0.3">
      <c r="C1507"/>
      <c r="D1507"/>
      <c r="E1507"/>
      <c r="F1507"/>
      <c r="G1507"/>
    </row>
    <row r="1508" spans="3:7" x14ac:dyDescent="0.3">
      <c r="C1508"/>
      <c r="D1508"/>
      <c r="E1508"/>
      <c r="F1508"/>
      <c r="G1508"/>
    </row>
    <row r="1509" spans="3:7" x14ac:dyDescent="0.3">
      <c r="C1509"/>
      <c r="D1509"/>
      <c r="E1509"/>
      <c r="F1509"/>
      <c r="G1509"/>
    </row>
    <row r="1510" spans="3:7" x14ac:dyDescent="0.3">
      <c r="C1510"/>
      <c r="D1510"/>
      <c r="E1510"/>
      <c r="F1510"/>
      <c r="G1510"/>
    </row>
    <row r="1511" spans="3:7" x14ac:dyDescent="0.3">
      <c r="C1511"/>
      <c r="D1511"/>
      <c r="E1511"/>
      <c r="F1511"/>
      <c r="G1511"/>
    </row>
    <row r="1512" spans="3:7" x14ac:dyDescent="0.3">
      <c r="C1512"/>
      <c r="D1512"/>
      <c r="E1512"/>
      <c r="F1512"/>
      <c r="G1512"/>
    </row>
    <row r="1513" spans="3:7" x14ac:dyDescent="0.3">
      <c r="C1513"/>
      <c r="D1513"/>
      <c r="E1513"/>
      <c r="F1513"/>
      <c r="G1513"/>
    </row>
    <row r="1514" spans="3:7" x14ac:dyDescent="0.3">
      <c r="C1514"/>
      <c r="D1514"/>
      <c r="E1514"/>
      <c r="F1514"/>
      <c r="G1514"/>
    </row>
    <row r="1515" spans="3:7" x14ac:dyDescent="0.3">
      <c r="C1515"/>
      <c r="D1515"/>
      <c r="E1515"/>
      <c r="F1515"/>
      <c r="G1515"/>
    </row>
    <row r="1516" spans="3:7" x14ac:dyDescent="0.3">
      <c r="C1516"/>
      <c r="D1516"/>
      <c r="E1516"/>
      <c r="F1516"/>
      <c r="G1516"/>
    </row>
    <row r="1517" spans="3:7" x14ac:dyDescent="0.3">
      <c r="C1517"/>
      <c r="D1517"/>
      <c r="E1517"/>
      <c r="F1517"/>
      <c r="G1517"/>
    </row>
    <row r="1518" spans="3:7" x14ac:dyDescent="0.3">
      <c r="C1518"/>
      <c r="D1518"/>
      <c r="E1518"/>
      <c r="F1518"/>
      <c r="G1518"/>
    </row>
    <row r="1519" spans="3:7" x14ac:dyDescent="0.3">
      <c r="C1519"/>
      <c r="D1519"/>
      <c r="E1519"/>
      <c r="F1519"/>
      <c r="G1519"/>
    </row>
    <row r="1520" spans="3:7" x14ac:dyDescent="0.3">
      <c r="C1520"/>
      <c r="D1520"/>
      <c r="E1520"/>
      <c r="F1520"/>
      <c r="G1520"/>
    </row>
    <row r="1521" spans="3:7" x14ac:dyDescent="0.3">
      <c r="C1521"/>
      <c r="D1521"/>
      <c r="E1521"/>
      <c r="F1521"/>
      <c r="G1521"/>
    </row>
    <row r="1522" spans="3:7" x14ac:dyDescent="0.3">
      <c r="C1522"/>
      <c r="D1522"/>
      <c r="E1522"/>
      <c r="F1522"/>
      <c r="G1522"/>
    </row>
    <row r="1523" spans="3:7" x14ac:dyDescent="0.3">
      <c r="C1523"/>
      <c r="D1523"/>
      <c r="E1523"/>
      <c r="F1523"/>
      <c r="G1523"/>
    </row>
    <row r="1524" spans="3:7" x14ac:dyDescent="0.3">
      <c r="C1524"/>
      <c r="D1524"/>
      <c r="E1524"/>
      <c r="F1524"/>
      <c r="G1524"/>
    </row>
    <row r="1525" spans="3:7" x14ac:dyDescent="0.3">
      <c r="C1525"/>
      <c r="D1525"/>
      <c r="E1525"/>
      <c r="F1525"/>
      <c r="G1525"/>
    </row>
    <row r="1526" spans="3:7" x14ac:dyDescent="0.3">
      <c r="C1526"/>
      <c r="D1526"/>
      <c r="E1526"/>
      <c r="F1526"/>
      <c r="G1526"/>
    </row>
    <row r="1527" spans="3:7" x14ac:dyDescent="0.3">
      <c r="C1527"/>
      <c r="D1527"/>
      <c r="E1527"/>
      <c r="F1527"/>
      <c r="G1527"/>
    </row>
    <row r="1528" spans="3:7" x14ac:dyDescent="0.3">
      <c r="C1528"/>
      <c r="D1528"/>
      <c r="E1528"/>
      <c r="F1528"/>
      <c r="G1528"/>
    </row>
    <row r="1529" spans="3:7" x14ac:dyDescent="0.3">
      <c r="C1529"/>
      <c r="D1529"/>
      <c r="E1529"/>
      <c r="F1529"/>
      <c r="G1529"/>
    </row>
    <row r="1530" spans="3:7" x14ac:dyDescent="0.3">
      <c r="C1530"/>
      <c r="D1530"/>
      <c r="E1530"/>
      <c r="F1530"/>
      <c r="G1530"/>
    </row>
    <row r="1531" spans="3:7" x14ac:dyDescent="0.3">
      <c r="C1531"/>
      <c r="D1531"/>
      <c r="E1531"/>
      <c r="F1531"/>
      <c r="G1531"/>
    </row>
    <row r="1532" spans="3:7" x14ac:dyDescent="0.3">
      <c r="C1532"/>
      <c r="D1532"/>
      <c r="E1532"/>
      <c r="F1532"/>
      <c r="G1532"/>
    </row>
    <row r="1533" spans="3:7" x14ac:dyDescent="0.3">
      <c r="C1533"/>
      <c r="D1533"/>
      <c r="E1533"/>
      <c r="F1533"/>
      <c r="G1533"/>
    </row>
    <row r="1534" spans="3:7" x14ac:dyDescent="0.3">
      <c r="C1534"/>
      <c r="D1534"/>
      <c r="E1534"/>
      <c r="F1534"/>
      <c r="G1534"/>
    </row>
    <row r="1535" spans="3:7" x14ac:dyDescent="0.3">
      <c r="C1535"/>
      <c r="D1535"/>
      <c r="E1535"/>
      <c r="F1535"/>
      <c r="G1535"/>
    </row>
    <row r="1536" spans="3:7" x14ac:dyDescent="0.3">
      <c r="C1536"/>
      <c r="D1536"/>
      <c r="E1536"/>
      <c r="F1536"/>
      <c r="G1536"/>
    </row>
    <row r="1537" spans="3:7" x14ac:dyDescent="0.3">
      <c r="C1537"/>
      <c r="D1537"/>
      <c r="E1537"/>
      <c r="F1537"/>
      <c r="G1537"/>
    </row>
    <row r="1538" spans="3:7" x14ac:dyDescent="0.3">
      <c r="C1538"/>
      <c r="D1538"/>
      <c r="E1538"/>
      <c r="F1538"/>
      <c r="G1538"/>
    </row>
    <row r="1539" spans="3:7" x14ac:dyDescent="0.3">
      <c r="C1539"/>
      <c r="D1539"/>
      <c r="E1539"/>
      <c r="F1539"/>
      <c r="G1539"/>
    </row>
    <row r="1540" spans="3:7" x14ac:dyDescent="0.3">
      <c r="C1540"/>
      <c r="D1540"/>
      <c r="E1540"/>
      <c r="F1540"/>
      <c r="G1540"/>
    </row>
    <row r="1541" spans="3:7" x14ac:dyDescent="0.3">
      <c r="C1541"/>
      <c r="D1541"/>
      <c r="E1541"/>
      <c r="F1541"/>
      <c r="G1541"/>
    </row>
    <row r="1542" spans="3:7" x14ac:dyDescent="0.3">
      <c r="C1542"/>
      <c r="D1542"/>
      <c r="E1542"/>
      <c r="F1542"/>
      <c r="G1542"/>
    </row>
    <row r="1543" spans="3:7" x14ac:dyDescent="0.3">
      <c r="C1543"/>
      <c r="D1543"/>
      <c r="E1543"/>
      <c r="F1543"/>
      <c r="G1543"/>
    </row>
    <row r="1544" spans="3:7" x14ac:dyDescent="0.3">
      <c r="C1544"/>
      <c r="D1544"/>
      <c r="E1544"/>
      <c r="F1544"/>
      <c r="G1544"/>
    </row>
    <row r="1545" spans="3:7" x14ac:dyDescent="0.3">
      <c r="C1545"/>
      <c r="D1545"/>
      <c r="E1545"/>
      <c r="F1545"/>
      <c r="G1545"/>
    </row>
    <row r="1546" spans="3:7" x14ac:dyDescent="0.3">
      <c r="C1546"/>
      <c r="D1546"/>
      <c r="E1546"/>
      <c r="F1546"/>
      <c r="G1546"/>
    </row>
    <row r="1547" spans="3:7" x14ac:dyDescent="0.3">
      <c r="C1547"/>
      <c r="D1547"/>
      <c r="E1547"/>
      <c r="F1547"/>
      <c r="G1547"/>
    </row>
    <row r="1548" spans="3:7" x14ac:dyDescent="0.3">
      <c r="C1548"/>
      <c r="D1548"/>
      <c r="E1548"/>
      <c r="F1548"/>
      <c r="G1548"/>
    </row>
    <row r="1549" spans="3:7" x14ac:dyDescent="0.3">
      <c r="C1549"/>
      <c r="D1549"/>
      <c r="E1549"/>
      <c r="F1549"/>
      <c r="G1549"/>
    </row>
    <row r="1550" spans="3:7" x14ac:dyDescent="0.3">
      <c r="C1550"/>
      <c r="D1550"/>
      <c r="E1550"/>
      <c r="F1550"/>
      <c r="G1550"/>
    </row>
    <row r="1551" spans="3:7" x14ac:dyDescent="0.3">
      <c r="C1551"/>
      <c r="D1551"/>
      <c r="E1551"/>
      <c r="F1551"/>
      <c r="G1551"/>
    </row>
    <row r="1552" spans="3:7" x14ac:dyDescent="0.3">
      <c r="C1552"/>
      <c r="D1552"/>
      <c r="E1552"/>
      <c r="F1552"/>
      <c r="G1552"/>
    </row>
    <row r="1553" spans="3:7" x14ac:dyDescent="0.3">
      <c r="C1553"/>
      <c r="D1553"/>
      <c r="E1553"/>
      <c r="F1553"/>
      <c r="G1553"/>
    </row>
    <row r="1554" spans="3:7" x14ac:dyDescent="0.3">
      <c r="C1554"/>
      <c r="D1554"/>
      <c r="E1554"/>
      <c r="F1554"/>
      <c r="G1554"/>
    </row>
    <row r="1555" spans="3:7" x14ac:dyDescent="0.3">
      <c r="C1555"/>
      <c r="D1555"/>
      <c r="E1555"/>
      <c r="F1555"/>
      <c r="G1555"/>
    </row>
    <row r="1556" spans="3:7" x14ac:dyDescent="0.3">
      <c r="C1556"/>
      <c r="D1556"/>
      <c r="E1556"/>
      <c r="F1556"/>
      <c r="G1556"/>
    </row>
    <row r="1557" spans="3:7" x14ac:dyDescent="0.3">
      <c r="C1557"/>
      <c r="D1557"/>
      <c r="E1557"/>
      <c r="F1557"/>
      <c r="G1557"/>
    </row>
    <row r="1558" spans="3:7" x14ac:dyDescent="0.3">
      <c r="C1558"/>
      <c r="D1558"/>
      <c r="E1558"/>
      <c r="F1558"/>
      <c r="G1558"/>
    </row>
    <row r="1559" spans="3:7" x14ac:dyDescent="0.3">
      <c r="C1559"/>
      <c r="D1559"/>
      <c r="E1559"/>
      <c r="F1559"/>
      <c r="G1559"/>
    </row>
    <row r="1560" spans="3:7" x14ac:dyDescent="0.3">
      <c r="C1560"/>
      <c r="D1560"/>
      <c r="E1560"/>
      <c r="F1560"/>
      <c r="G1560"/>
    </row>
    <row r="1561" spans="3:7" x14ac:dyDescent="0.3">
      <c r="C1561"/>
      <c r="D1561"/>
      <c r="E1561"/>
      <c r="F1561"/>
      <c r="G1561"/>
    </row>
    <row r="1562" spans="3:7" x14ac:dyDescent="0.3">
      <c r="C1562"/>
      <c r="D1562"/>
      <c r="E1562"/>
      <c r="F1562"/>
      <c r="G1562"/>
    </row>
    <row r="1563" spans="3:7" x14ac:dyDescent="0.3">
      <c r="C1563"/>
      <c r="D1563"/>
      <c r="E1563"/>
      <c r="F1563"/>
      <c r="G1563"/>
    </row>
    <row r="1564" spans="3:7" x14ac:dyDescent="0.3">
      <c r="C1564"/>
      <c r="D1564"/>
      <c r="E1564"/>
      <c r="F1564"/>
      <c r="G1564"/>
    </row>
    <row r="1565" spans="3:7" x14ac:dyDescent="0.3">
      <c r="C1565"/>
      <c r="D1565"/>
      <c r="E1565"/>
      <c r="F1565"/>
      <c r="G1565"/>
    </row>
    <row r="1566" spans="3:7" x14ac:dyDescent="0.3">
      <c r="C1566"/>
      <c r="D1566"/>
      <c r="E1566"/>
      <c r="F1566"/>
      <c r="G1566"/>
    </row>
    <row r="1567" spans="3:7" x14ac:dyDescent="0.3">
      <c r="C1567"/>
      <c r="D1567"/>
      <c r="E1567"/>
      <c r="F1567"/>
      <c r="G1567"/>
    </row>
    <row r="1568" spans="3:7" x14ac:dyDescent="0.3">
      <c r="C1568"/>
      <c r="D1568"/>
      <c r="E1568"/>
      <c r="F1568"/>
      <c r="G1568"/>
    </row>
    <row r="1569" spans="3:7" x14ac:dyDescent="0.3">
      <c r="C1569"/>
      <c r="D1569"/>
      <c r="E1569"/>
      <c r="F1569"/>
      <c r="G1569"/>
    </row>
    <row r="1570" spans="3:7" x14ac:dyDescent="0.3">
      <c r="C1570"/>
      <c r="D1570"/>
      <c r="E1570"/>
      <c r="F1570"/>
      <c r="G1570"/>
    </row>
    <row r="1571" spans="3:7" x14ac:dyDescent="0.3">
      <c r="C1571"/>
      <c r="D1571"/>
      <c r="E1571"/>
      <c r="F1571"/>
      <c r="G1571"/>
    </row>
    <row r="1572" spans="3:7" x14ac:dyDescent="0.3">
      <c r="C1572"/>
      <c r="D1572"/>
      <c r="E1572"/>
      <c r="F1572"/>
      <c r="G1572"/>
    </row>
    <row r="1573" spans="3:7" x14ac:dyDescent="0.3">
      <c r="C1573"/>
      <c r="D1573"/>
      <c r="E1573"/>
      <c r="F1573"/>
      <c r="G1573"/>
    </row>
    <row r="1574" spans="3:7" x14ac:dyDescent="0.3">
      <c r="C1574"/>
      <c r="D1574"/>
      <c r="E1574"/>
      <c r="F1574"/>
      <c r="G1574"/>
    </row>
    <row r="1575" spans="3:7" x14ac:dyDescent="0.3">
      <c r="C1575"/>
      <c r="D1575"/>
      <c r="E1575"/>
      <c r="F1575"/>
      <c r="G1575"/>
    </row>
    <row r="1576" spans="3:7" x14ac:dyDescent="0.3">
      <c r="C1576"/>
      <c r="D1576"/>
      <c r="E1576"/>
      <c r="F1576"/>
      <c r="G1576"/>
    </row>
    <row r="1577" spans="3:7" x14ac:dyDescent="0.3">
      <c r="C1577"/>
      <c r="D1577"/>
      <c r="E1577"/>
      <c r="F1577"/>
      <c r="G1577"/>
    </row>
    <row r="1578" spans="3:7" x14ac:dyDescent="0.3">
      <c r="C1578"/>
      <c r="D1578"/>
      <c r="E1578"/>
      <c r="F1578"/>
      <c r="G1578"/>
    </row>
    <row r="1579" spans="3:7" x14ac:dyDescent="0.3">
      <c r="C1579"/>
      <c r="D1579"/>
      <c r="E1579"/>
      <c r="F1579"/>
      <c r="G1579"/>
    </row>
    <row r="1580" spans="3:7" x14ac:dyDescent="0.3">
      <c r="C1580"/>
      <c r="D1580"/>
      <c r="E1580"/>
      <c r="F1580"/>
      <c r="G1580"/>
    </row>
    <row r="1581" spans="3:7" x14ac:dyDescent="0.3">
      <c r="C1581"/>
      <c r="D1581"/>
      <c r="E1581"/>
      <c r="F1581"/>
      <c r="G1581"/>
    </row>
    <row r="1582" spans="3:7" x14ac:dyDescent="0.3">
      <c r="C1582"/>
      <c r="D1582"/>
      <c r="E1582"/>
      <c r="F1582"/>
      <c r="G1582"/>
    </row>
    <row r="1583" spans="3:7" x14ac:dyDescent="0.3">
      <c r="C1583"/>
      <c r="D1583"/>
      <c r="E1583"/>
      <c r="F1583"/>
      <c r="G1583"/>
    </row>
    <row r="1584" spans="3:7" x14ac:dyDescent="0.3">
      <c r="C1584"/>
      <c r="D1584"/>
      <c r="E1584"/>
      <c r="F1584"/>
      <c r="G1584"/>
    </row>
    <row r="1585" spans="3:7" x14ac:dyDescent="0.3">
      <c r="C1585"/>
      <c r="D1585"/>
      <c r="E1585"/>
      <c r="F1585"/>
      <c r="G1585"/>
    </row>
    <row r="1586" spans="3:7" x14ac:dyDescent="0.3">
      <c r="C1586"/>
      <c r="D1586"/>
      <c r="E1586"/>
      <c r="F1586"/>
      <c r="G1586"/>
    </row>
    <row r="1587" spans="3:7" x14ac:dyDescent="0.3">
      <c r="C1587"/>
      <c r="D1587"/>
      <c r="E1587"/>
      <c r="F1587"/>
      <c r="G1587"/>
    </row>
    <row r="1588" spans="3:7" x14ac:dyDescent="0.3">
      <c r="C1588"/>
      <c r="D1588"/>
      <c r="E1588"/>
      <c r="F1588"/>
      <c r="G1588"/>
    </row>
    <row r="1589" spans="3:7" x14ac:dyDescent="0.3">
      <c r="C1589"/>
      <c r="D1589"/>
      <c r="E1589"/>
      <c r="F1589"/>
      <c r="G1589"/>
    </row>
    <row r="1590" spans="3:7" x14ac:dyDescent="0.3">
      <c r="C1590"/>
      <c r="D1590"/>
      <c r="E1590"/>
      <c r="F1590"/>
      <c r="G1590"/>
    </row>
    <row r="1591" spans="3:7" x14ac:dyDescent="0.3">
      <c r="C1591"/>
      <c r="D1591"/>
      <c r="E1591"/>
      <c r="F1591"/>
      <c r="G1591"/>
    </row>
    <row r="1592" spans="3:7" x14ac:dyDescent="0.3">
      <c r="C1592"/>
      <c r="D1592"/>
      <c r="E1592"/>
      <c r="F1592"/>
      <c r="G1592"/>
    </row>
    <row r="1593" spans="3:7" x14ac:dyDescent="0.3">
      <c r="C1593"/>
      <c r="D1593"/>
      <c r="E1593"/>
      <c r="F1593"/>
      <c r="G1593"/>
    </row>
    <row r="1594" spans="3:7" x14ac:dyDescent="0.3">
      <c r="C1594"/>
      <c r="D1594"/>
      <c r="E1594"/>
      <c r="F1594"/>
      <c r="G1594"/>
    </row>
    <row r="1595" spans="3:7" x14ac:dyDescent="0.3">
      <c r="C1595"/>
      <c r="D1595"/>
      <c r="E1595"/>
      <c r="F1595"/>
      <c r="G1595"/>
    </row>
    <row r="1596" spans="3:7" x14ac:dyDescent="0.3">
      <c r="C1596"/>
      <c r="D1596"/>
      <c r="E1596"/>
      <c r="F1596"/>
      <c r="G1596"/>
    </row>
    <row r="1597" spans="3:7" x14ac:dyDescent="0.3">
      <c r="C1597"/>
      <c r="D1597"/>
      <c r="E1597"/>
      <c r="F1597"/>
      <c r="G1597"/>
    </row>
    <row r="1598" spans="3:7" x14ac:dyDescent="0.3">
      <c r="C1598"/>
      <c r="D1598"/>
      <c r="E1598"/>
      <c r="F1598"/>
      <c r="G1598"/>
    </row>
    <row r="1599" spans="3:7" x14ac:dyDescent="0.3">
      <c r="C1599"/>
      <c r="D1599"/>
      <c r="E1599"/>
      <c r="F1599"/>
      <c r="G1599"/>
    </row>
    <row r="1600" spans="3:7" x14ac:dyDescent="0.3">
      <c r="C1600"/>
      <c r="D1600"/>
      <c r="E1600"/>
      <c r="F1600"/>
      <c r="G1600"/>
    </row>
    <row r="1601" spans="3:7" x14ac:dyDescent="0.3">
      <c r="C1601"/>
      <c r="D1601"/>
      <c r="E1601"/>
      <c r="F1601"/>
      <c r="G1601"/>
    </row>
    <row r="1602" spans="3:7" x14ac:dyDescent="0.3">
      <c r="C1602"/>
      <c r="D1602"/>
      <c r="E1602"/>
      <c r="F1602"/>
      <c r="G1602"/>
    </row>
    <row r="1603" spans="3:7" x14ac:dyDescent="0.3">
      <c r="C1603"/>
      <c r="D1603"/>
      <c r="E1603"/>
      <c r="F1603"/>
      <c r="G1603"/>
    </row>
    <row r="1604" spans="3:7" x14ac:dyDescent="0.3">
      <c r="C1604"/>
      <c r="D1604"/>
      <c r="E1604"/>
      <c r="F1604"/>
      <c r="G1604"/>
    </row>
    <row r="1605" spans="3:7" x14ac:dyDescent="0.3">
      <c r="C1605"/>
      <c r="D1605"/>
      <c r="E1605"/>
      <c r="F1605"/>
      <c r="G1605"/>
    </row>
    <row r="1606" spans="3:7" x14ac:dyDescent="0.3">
      <c r="C1606"/>
      <c r="D1606"/>
      <c r="E1606"/>
      <c r="F1606"/>
      <c r="G1606"/>
    </row>
    <row r="1607" spans="3:7" x14ac:dyDescent="0.3">
      <c r="C1607"/>
      <c r="D1607"/>
      <c r="E1607"/>
      <c r="F1607"/>
      <c r="G1607"/>
    </row>
    <row r="1608" spans="3:7" x14ac:dyDescent="0.3">
      <c r="C1608"/>
      <c r="D1608"/>
      <c r="E1608"/>
      <c r="F1608"/>
      <c r="G1608"/>
    </row>
    <row r="1609" spans="3:7" x14ac:dyDescent="0.3">
      <c r="C1609"/>
      <c r="D1609"/>
      <c r="E1609"/>
      <c r="F1609"/>
      <c r="G1609"/>
    </row>
    <row r="1610" spans="3:7" x14ac:dyDescent="0.3">
      <c r="C1610"/>
      <c r="D1610"/>
      <c r="E1610"/>
      <c r="F1610"/>
      <c r="G1610"/>
    </row>
    <row r="1611" spans="3:7" x14ac:dyDescent="0.3">
      <c r="C1611"/>
      <c r="D1611"/>
      <c r="E1611"/>
      <c r="F1611"/>
      <c r="G1611"/>
    </row>
    <row r="1612" spans="3:7" x14ac:dyDescent="0.3">
      <c r="C1612"/>
      <c r="D1612"/>
      <c r="E1612"/>
      <c r="F1612"/>
      <c r="G1612"/>
    </row>
    <row r="1613" spans="3:7" x14ac:dyDescent="0.3">
      <c r="C1613"/>
      <c r="D1613"/>
      <c r="E1613"/>
      <c r="F1613"/>
      <c r="G1613"/>
    </row>
    <row r="1614" spans="3:7" x14ac:dyDescent="0.3">
      <c r="C1614"/>
      <c r="D1614"/>
      <c r="E1614"/>
      <c r="F1614"/>
      <c r="G1614"/>
    </row>
    <row r="1615" spans="3:7" x14ac:dyDescent="0.3">
      <c r="C1615"/>
      <c r="D1615"/>
      <c r="E1615"/>
      <c r="F1615"/>
      <c r="G1615"/>
    </row>
    <row r="1616" spans="3:7" x14ac:dyDescent="0.3">
      <c r="C1616"/>
      <c r="D1616"/>
      <c r="E1616"/>
      <c r="F1616"/>
      <c r="G1616"/>
    </row>
    <row r="1617" spans="3:7" x14ac:dyDescent="0.3">
      <c r="C1617"/>
      <c r="D1617"/>
      <c r="E1617"/>
      <c r="F1617"/>
      <c r="G1617"/>
    </row>
    <row r="1618" spans="3:7" x14ac:dyDescent="0.3">
      <c r="C1618"/>
      <c r="D1618"/>
      <c r="E1618"/>
      <c r="F1618"/>
      <c r="G1618"/>
    </row>
    <row r="1619" spans="3:7" x14ac:dyDescent="0.3">
      <c r="C1619"/>
      <c r="D1619"/>
      <c r="E1619"/>
      <c r="F1619"/>
      <c r="G1619"/>
    </row>
    <row r="1620" spans="3:7" x14ac:dyDescent="0.3">
      <c r="C1620"/>
      <c r="D1620"/>
      <c r="E1620"/>
      <c r="F1620"/>
      <c r="G1620"/>
    </row>
    <row r="1621" spans="3:7" x14ac:dyDescent="0.3">
      <c r="C1621"/>
      <c r="D1621"/>
      <c r="E1621"/>
      <c r="F1621"/>
      <c r="G1621"/>
    </row>
    <row r="1622" spans="3:7" x14ac:dyDescent="0.3">
      <c r="C1622"/>
      <c r="D1622"/>
      <c r="E1622"/>
      <c r="F1622"/>
      <c r="G1622"/>
    </row>
    <row r="1623" spans="3:7" x14ac:dyDescent="0.3">
      <c r="C1623"/>
      <c r="D1623"/>
      <c r="E1623"/>
      <c r="F1623"/>
      <c r="G1623"/>
    </row>
    <row r="1624" spans="3:7" x14ac:dyDescent="0.3">
      <c r="C1624"/>
      <c r="D1624"/>
      <c r="E1624"/>
      <c r="F1624"/>
      <c r="G1624"/>
    </row>
    <row r="1625" spans="3:7" x14ac:dyDescent="0.3">
      <c r="C1625"/>
      <c r="D1625"/>
      <c r="E1625"/>
      <c r="F1625"/>
      <c r="G1625"/>
    </row>
    <row r="1626" spans="3:7" x14ac:dyDescent="0.3">
      <c r="C1626"/>
      <c r="D1626"/>
      <c r="E1626"/>
      <c r="F1626"/>
      <c r="G1626"/>
    </row>
    <row r="1627" spans="3:7" x14ac:dyDescent="0.3">
      <c r="C1627"/>
      <c r="D1627"/>
      <c r="E1627"/>
      <c r="F1627"/>
      <c r="G1627"/>
    </row>
    <row r="1628" spans="3:7" x14ac:dyDescent="0.3">
      <c r="C1628"/>
      <c r="D1628"/>
      <c r="E1628"/>
      <c r="F1628"/>
      <c r="G1628"/>
    </row>
    <row r="1629" spans="3:7" x14ac:dyDescent="0.3">
      <c r="C1629"/>
      <c r="D1629"/>
      <c r="E1629"/>
      <c r="F1629"/>
      <c r="G1629"/>
    </row>
    <row r="1630" spans="3:7" x14ac:dyDescent="0.3">
      <c r="C1630"/>
      <c r="D1630"/>
      <c r="E1630"/>
      <c r="F1630"/>
      <c r="G1630"/>
    </row>
    <row r="1631" spans="3:7" x14ac:dyDescent="0.3">
      <c r="C1631"/>
      <c r="D1631"/>
      <c r="E1631"/>
      <c r="F1631"/>
      <c r="G1631"/>
    </row>
    <row r="1632" spans="3:7" x14ac:dyDescent="0.3">
      <c r="C1632"/>
      <c r="D1632"/>
      <c r="E1632"/>
      <c r="F1632"/>
      <c r="G1632"/>
    </row>
    <row r="1633" spans="3:7" x14ac:dyDescent="0.3">
      <c r="C1633"/>
      <c r="D1633"/>
      <c r="E1633"/>
      <c r="F1633"/>
      <c r="G1633"/>
    </row>
    <row r="1634" spans="3:7" x14ac:dyDescent="0.3">
      <c r="C1634"/>
      <c r="D1634"/>
      <c r="E1634"/>
      <c r="F1634"/>
      <c r="G1634"/>
    </row>
    <row r="1635" spans="3:7" x14ac:dyDescent="0.3">
      <c r="C1635"/>
      <c r="D1635"/>
      <c r="E1635"/>
      <c r="F1635"/>
      <c r="G1635"/>
    </row>
    <row r="1636" spans="3:7" x14ac:dyDescent="0.3">
      <c r="C1636"/>
      <c r="D1636"/>
      <c r="E1636"/>
      <c r="F1636"/>
      <c r="G1636"/>
    </row>
    <row r="1637" spans="3:7" x14ac:dyDescent="0.3">
      <c r="C1637"/>
      <c r="D1637"/>
      <c r="E1637"/>
      <c r="F1637"/>
      <c r="G1637"/>
    </row>
    <row r="1638" spans="3:7" x14ac:dyDescent="0.3">
      <c r="C1638"/>
      <c r="D1638"/>
      <c r="E1638"/>
      <c r="F1638"/>
      <c r="G1638"/>
    </row>
    <row r="1639" spans="3:7" x14ac:dyDescent="0.3">
      <c r="C1639"/>
      <c r="D1639"/>
      <c r="E1639"/>
      <c r="F1639"/>
      <c r="G1639"/>
    </row>
    <row r="1640" spans="3:7" x14ac:dyDescent="0.3">
      <c r="C1640"/>
      <c r="D1640"/>
      <c r="E1640"/>
      <c r="F1640"/>
      <c r="G1640"/>
    </row>
    <row r="1641" spans="3:7" x14ac:dyDescent="0.3">
      <c r="C1641"/>
      <c r="D1641"/>
      <c r="E1641"/>
      <c r="F1641"/>
      <c r="G1641"/>
    </row>
    <row r="1642" spans="3:7" x14ac:dyDescent="0.3">
      <c r="C1642"/>
      <c r="D1642"/>
      <c r="E1642"/>
      <c r="F1642"/>
      <c r="G1642"/>
    </row>
    <row r="1643" spans="3:7" x14ac:dyDescent="0.3">
      <c r="C1643"/>
      <c r="D1643"/>
      <c r="E1643"/>
      <c r="F1643"/>
      <c r="G1643"/>
    </row>
    <row r="1644" spans="3:7" x14ac:dyDescent="0.3">
      <c r="C1644"/>
      <c r="D1644"/>
      <c r="E1644"/>
      <c r="F1644"/>
      <c r="G1644"/>
    </row>
    <row r="1645" spans="3:7" x14ac:dyDescent="0.3">
      <c r="C1645"/>
      <c r="D1645"/>
      <c r="E1645"/>
      <c r="F1645"/>
      <c r="G1645"/>
    </row>
    <row r="1646" spans="3:7" x14ac:dyDescent="0.3">
      <c r="C1646"/>
      <c r="D1646"/>
      <c r="E1646"/>
      <c r="F1646"/>
      <c r="G1646"/>
    </row>
    <row r="1647" spans="3:7" x14ac:dyDescent="0.3">
      <c r="C1647"/>
      <c r="D1647"/>
      <c r="E1647"/>
      <c r="F1647"/>
      <c r="G1647"/>
    </row>
    <row r="1648" spans="3:7" x14ac:dyDescent="0.3">
      <c r="C1648"/>
      <c r="D1648"/>
      <c r="E1648"/>
      <c r="F1648"/>
      <c r="G1648"/>
    </row>
    <row r="1649" spans="3:7" x14ac:dyDescent="0.3">
      <c r="C1649"/>
      <c r="D1649"/>
      <c r="E1649"/>
      <c r="F1649"/>
      <c r="G1649"/>
    </row>
    <row r="1650" spans="3:7" x14ac:dyDescent="0.3">
      <c r="C1650"/>
      <c r="D1650"/>
      <c r="E1650"/>
      <c r="F1650"/>
      <c r="G1650"/>
    </row>
    <row r="1651" spans="3:7" x14ac:dyDescent="0.3">
      <c r="C1651"/>
      <c r="D1651"/>
      <c r="E1651"/>
      <c r="F1651"/>
      <c r="G1651"/>
    </row>
    <row r="1652" spans="3:7" x14ac:dyDescent="0.3">
      <c r="C1652"/>
      <c r="D1652"/>
      <c r="E1652"/>
      <c r="F1652"/>
      <c r="G1652"/>
    </row>
    <row r="1653" spans="3:7" x14ac:dyDescent="0.3">
      <c r="C1653"/>
      <c r="D1653"/>
      <c r="E1653"/>
      <c r="F1653"/>
      <c r="G1653"/>
    </row>
    <row r="1654" spans="3:7" x14ac:dyDescent="0.3">
      <c r="C1654"/>
      <c r="D1654"/>
      <c r="E1654"/>
      <c r="F1654"/>
      <c r="G1654"/>
    </row>
    <row r="1655" spans="3:7" x14ac:dyDescent="0.3">
      <c r="C1655"/>
      <c r="D1655"/>
      <c r="E1655"/>
      <c r="F1655"/>
      <c r="G1655"/>
    </row>
    <row r="1656" spans="3:7" x14ac:dyDescent="0.3">
      <c r="C1656"/>
      <c r="D1656"/>
      <c r="E1656"/>
      <c r="F1656"/>
      <c r="G1656"/>
    </row>
    <row r="1657" spans="3:7" x14ac:dyDescent="0.3">
      <c r="C1657"/>
      <c r="D1657"/>
      <c r="E1657"/>
      <c r="F1657"/>
      <c r="G1657"/>
    </row>
    <row r="1658" spans="3:7" x14ac:dyDescent="0.3">
      <c r="C1658"/>
      <c r="D1658"/>
      <c r="E1658"/>
      <c r="F1658"/>
      <c r="G1658"/>
    </row>
    <row r="1659" spans="3:7" x14ac:dyDescent="0.3">
      <c r="C1659"/>
      <c r="D1659"/>
      <c r="E1659"/>
      <c r="F1659"/>
      <c r="G1659"/>
    </row>
    <row r="1660" spans="3:7" x14ac:dyDescent="0.3">
      <c r="C1660"/>
      <c r="D1660"/>
      <c r="E1660"/>
      <c r="F1660"/>
      <c r="G1660"/>
    </row>
    <row r="1661" spans="3:7" x14ac:dyDescent="0.3">
      <c r="C1661"/>
      <c r="D1661"/>
      <c r="E1661"/>
      <c r="F1661"/>
      <c r="G1661"/>
    </row>
    <row r="1662" spans="3:7" x14ac:dyDescent="0.3">
      <c r="C1662"/>
      <c r="D1662"/>
      <c r="E1662"/>
      <c r="F1662"/>
      <c r="G1662"/>
    </row>
    <row r="1663" spans="3:7" x14ac:dyDescent="0.3">
      <c r="C1663"/>
      <c r="D1663"/>
      <c r="E1663"/>
      <c r="F1663"/>
      <c r="G1663"/>
    </row>
    <row r="1664" spans="3:7" x14ac:dyDescent="0.3">
      <c r="C1664"/>
      <c r="D1664"/>
      <c r="E1664"/>
      <c r="F1664"/>
      <c r="G1664"/>
    </row>
    <row r="1665" spans="3:7" x14ac:dyDescent="0.3">
      <c r="C1665"/>
      <c r="D1665"/>
      <c r="E1665"/>
      <c r="F1665"/>
      <c r="G1665"/>
    </row>
    <row r="1666" spans="3:7" x14ac:dyDescent="0.3">
      <c r="C1666"/>
      <c r="D1666"/>
      <c r="E1666"/>
      <c r="F1666"/>
      <c r="G1666"/>
    </row>
    <row r="1667" spans="3:7" x14ac:dyDescent="0.3">
      <c r="C1667"/>
      <c r="D1667"/>
      <c r="E1667"/>
      <c r="F1667"/>
      <c r="G1667"/>
    </row>
    <row r="1668" spans="3:7" x14ac:dyDescent="0.3">
      <c r="C1668"/>
      <c r="D1668"/>
      <c r="E1668"/>
      <c r="F1668"/>
      <c r="G1668"/>
    </row>
    <row r="1669" spans="3:7" x14ac:dyDescent="0.3">
      <c r="C1669"/>
      <c r="D1669"/>
      <c r="E1669"/>
      <c r="F1669"/>
      <c r="G1669"/>
    </row>
    <row r="1670" spans="3:7" x14ac:dyDescent="0.3">
      <c r="C1670"/>
      <c r="D1670"/>
      <c r="E1670"/>
      <c r="F1670"/>
      <c r="G1670"/>
    </row>
    <row r="1671" spans="3:7" x14ac:dyDescent="0.3">
      <c r="C1671"/>
      <c r="D1671"/>
      <c r="E1671"/>
      <c r="F1671"/>
      <c r="G1671"/>
    </row>
    <row r="1672" spans="3:7" x14ac:dyDescent="0.3">
      <c r="C1672"/>
      <c r="D1672"/>
      <c r="E1672"/>
      <c r="F1672"/>
      <c r="G1672"/>
    </row>
    <row r="1673" spans="3:7" x14ac:dyDescent="0.3">
      <c r="C1673"/>
      <c r="D1673"/>
      <c r="E1673"/>
      <c r="F1673"/>
      <c r="G1673"/>
    </row>
    <row r="1674" spans="3:7" x14ac:dyDescent="0.3">
      <c r="C1674"/>
      <c r="D1674"/>
      <c r="E1674"/>
      <c r="F1674"/>
      <c r="G1674"/>
    </row>
    <row r="1675" spans="3:7" x14ac:dyDescent="0.3">
      <c r="C1675"/>
      <c r="D1675"/>
      <c r="E1675"/>
      <c r="F1675"/>
      <c r="G1675"/>
    </row>
    <row r="1676" spans="3:7" x14ac:dyDescent="0.3">
      <c r="C1676"/>
      <c r="D1676"/>
      <c r="E1676"/>
      <c r="F1676"/>
      <c r="G1676"/>
    </row>
    <row r="1677" spans="3:7" x14ac:dyDescent="0.3">
      <c r="C1677"/>
      <c r="D1677"/>
      <c r="E1677"/>
      <c r="F1677"/>
      <c r="G1677"/>
    </row>
    <row r="1678" spans="3:7" x14ac:dyDescent="0.3">
      <c r="C1678"/>
      <c r="D1678"/>
      <c r="E1678"/>
      <c r="F1678"/>
      <c r="G1678"/>
    </row>
    <row r="1679" spans="3:7" x14ac:dyDescent="0.3">
      <c r="C1679"/>
      <c r="D1679"/>
      <c r="E1679"/>
      <c r="F1679"/>
      <c r="G1679"/>
    </row>
    <row r="1680" spans="3:7" x14ac:dyDescent="0.3">
      <c r="C1680"/>
      <c r="D1680"/>
      <c r="E1680"/>
      <c r="F1680"/>
      <c r="G1680"/>
    </row>
    <row r="1681" spans="3:7" x14ac:dyDescent="0.3">
      <c r="C1681"/>
      <c r="D1681"/>
      <c r="E1681"/>
      <c r="F1681"/>
      <c r="G1681"/>
    </row>
    <row r="1682" spans="3:7" x14ac:dyDescent="0.3">
      <c r="C1682"/>
      <c r="D1682"/>
      <c r="E1682"/>
      <c r="F1682"/>
      <c r="G1682"/>
    </row>
    <row r="1683" spans="3:7" x14ac:dyDescent="0.3">
      <c r="C1683"/>
      <c r="D1683"/>
      <c r="E1683"/>
      <c r="F1683"/>
      <c r="G1683"/>
    </row>
    <row r="1684" spans="3:7" x14ac:dyDescent="0.3">
      <c r="C1684"/>
      <c r="D1684"/>
      <c r="E1684"/>
      <c r="F1684"/>
      <c r="G1684"/>
    </row>
    <row r="1685" spans="3:7" x14ac:dyDescent="0.3">
      <c r="C1685"/>
      <c r="D1685"/>
      <c r="E1685"/>
      <c r="F1685"/>
      <c r="G1685"/>
    </row>
    <row r="1686" spans="3:7" x14ac:dyDescent="0.3">
      <c r="C1686"/>
      <c r="D1686"/>
      <c r="E1686"/>
      <c r="F1686"/>
      <c r="G1686"/>
    </row>
    <row r="1687" spans="3:7" x14ac:dyDescent="0.3">
      <c r="C1687"/>
      <c r="D1687"/>
      <c r="E1687"/>
      <c r="F1687"/>
      <c r="G1687"/>
    </row>
    <row r="1688" spans="3:7" x14ac:dyDescent="0.3">
      <c r="C1688"/>
      <c r="D1688"/>
      <c r="E1688"/>
      <c r="F1688"/>
      <c r="G1688"/>
    </row>
    <row r="1689" spans="3:7" x14ac:dyDescent="0.3">
      <c r="C1689"/>
      <c r="D1689"/>
      <c r="E1689"/>
      <c r="F1689"/>
      <c r="G1689"/>
    </row>
    <row r="1690" spans="3:7" x14ac:dyDescent="0.3">
      <c r="C1690"/>
      <c r="D1690"/>
      <c r="E1690"/>
      <c r="F1690"/>
      <c r="G1690"/>
    </row>
    <row r="1691" spans="3:7" x14ac:dyDescent="0.3">
      <c r="C1691"/>
      <c r="D1691"/>
      <c r="E1691"/>
      <c r="F1691"/>
      <c r="G1691"/>
    </row>
    <row r="1692" spans="3:7" x14ac:dyDescent="0.3">
      <c r="C1692"/>
      <c r="D1692"/>
      <c r="E1692"/>
      <c r="F1692"/>
      <c r="G1692"/>
    </row>
    <row r="1693" spans="3:7" x14ac:dyDescent="0.3">
      <c r="C1693"/>
      <c r="D1693"/>
      <c r="E1693"/>
      <c r="F1693"/>
      <c r="G1693"/>
    </row>
    <row r="1694" spans="3:7" x14ac:dyDescent="0.3">
      <c r="C1694"/>
      <c r="D1694"/>
      <c r="E1694"/>
      <c r="F1694"/>
      <c r="G1694"/>
    </row>
    <row r="1695" spans="3:7" x14ac:dyDescent="0.3">
      <c r="C1695"/>
      <c r="D1695"/>
      <c r="E1695"/>
      <c r="F1695"/>
      <c r="G1695"/>
    </row>
    <row r="1696" spans="3:7" x14ac:dyDescent="0.3">
      <c r="C1696"/>
      <c r="D1696"/>
      <c r="E1696"/>
      <c r="F1696"/>
      <c r="G1696"/>
    </row>
    <row r="1697" spans="3:7" x14ac:dyDescent="0.3">
      <c r="C1697"/>
      <c r="D1697"/>
      <c r="E1697"/>
      <c r="F1697"/>
      <c r="G1697"/>
    </row>
    <row r="1698" spans="3:7" x14ac:dyDescent="0.3">
      <c r="C1698"/>
      <c r="D1698"/>
      <c r="E1698"/>
      <c r="F1698"/>
      <c r="G1698"/>
    </row>
    <row r="1699" spans="3:7" x14ac:dyDescent="0.3">
      <c r="C1699"/>
      <c r="D1699"/>
      <c r="E1699"/>
      <c r="F1699"/>
      <c r="G1699"/>
    </row>
    <row r="1700" spans="3:7" x14ac:dyDescent="0.3">
      <c r="C1700"/>
      <c r="D1700"/>
      <c r="E1700"/>
      <c r="F1700"/>
      <c r="G1700"/>
    </row>
    <row r="1701" spans="3:7" x14ac:dyDescent="0.3">
      <c r="C1701"/>
      <c r="D1701"/>
      <c r="E1701"/>
      <c r="F1701"/>
      <c r="G1701"/>
    </row>
    <row r="1702" spans="3:7" x14ac:dyDescent="0.3">
      <c r="C1702"/>
      <c r="D1702"/>
      <c r="E1702"/>
      <c r="F1702"/>
      <c r="G1702"/>
    </row>
    <row r="1703" spans="3:7" x14ac:dyDescent="0.3">
      <c r="C1703"/>
      <c r="D1703"/>
      <c r="E1703"/>
      <c r="F1703"/>
      <c r="G1703"/>
    </row>
    <row r="1704" spans="3:7" x14ac:dyDescent="0.3">
      <c r="C1704"/>
      <c r="D1704"/>
      <c r="E1704"/>
      <c r="F1704"/>
      <c r="G1704"/>
    </row>
    <row r="1705" spans="3:7" x14ac:dyDescent="0.3">
      <c r="C1705"/>
      <c r="D1705"/>
      <c r="E1705"/>
      <c r="F1705"/>
      <c r="G1705"/>
    </row>
    <row r="1706" spans="3:7" x14ac:dyDescent="0.3">
      <c r="C1706"/>
      <c r="D1706"/>
      <c r="E1706"/>
      <c r="F1706"/>
      <c r="G1706"/>
    </row>
    <row r="1707" spans="3:7" x14ac:dyDescent="0.3">
      <c r="C1707"/>
      <c r="D1707"/>
      <c r="E1707"/>
      <c r="F1707"/>
      <c r="G1707"/>
    </row>
    <row r="1708" spans="3:7" x14ac:dyDescent="0.3">
      <c r="C1708"/>
      <c r="D1708"/>
      <c r="E1708"/>
      <c r="F1708"/>
      <c r="G1708"/>
    </row>
    <row r="1709" spans="3:7" x14ac:dyDescent="0.3">
      <c r="C1709"/>
      <c r="D1709"/>
      <c r="E1709"/>
      <c r="F1709"/>
      <c r="G1709"/>
    </row>
    <row r="1710" spans="3:7" x14ac:dyDescent="0.3">
      <c r="C1710"/>
      <c r="D1710"/>
      <c r="E1710"/>
      <c r="F1710"/>
      <c r="G1710"/>
    </row>
    <row r="1711" spans="3:7" x14ac:dyDescent="0.3">
      <c r="C1711"/>
      <c r="D1711"/>
      <c r="E1711"/>
      <c r="F1711"/>
      <c r="G1711"/>
    </row>
    <row r="1712" spans="3:7" x14ac:dyDescent="0.3">
      <c r="C1712"/>
      <c r="D1712"/>
      <c r="E1712"/>
      <c r="F1712"/>
      <c r="G1712"/>
    </row>
    <row r="1713" spans="3:7" x14ac:dyDescent="0.3">
      <c r="C1713"/>
      <c r="D1713"/>
      <c r="E1713"/>
      <c r="F1713"/>
      <c r="G1713"/>
    </row>
    <row r="1714" spans="3:7" x14ac:dyDescent="0.3">
      <c r="C1714"/>
      <c r="D1714"/>
      <c r="E1714"/>
      <c r="F1714"/>
      <c r="G1714"/>
    </row>
    <row r="1715" spans="3:7" x14ac:dyDescent="0.3">
      <c r="C1715"/>
      <c r="D1715"/>
      <c r="E1715"/>
      <c r="F1715"/>
      <c r="G1715"/>
    </row>
    <row r="1716" spans="3:7" x14ac:dyDescent="0.3">
      <c r="C1716"/>
      <c r="D1716"/>
      <c r="E1716"/>
      <c r="F1716"/>
      <c r="G1716"/>
    </row>
    <row r="1717" spans="3:7" x14ac:dyDescent="0.3">
      <c r="C1717"/>
      <c r="D1717"/>
      <c r="E1717"/>
      <c r="F1717"/>
      <c r="G1717"/>
    </row>
    <row r="1718" spans="3:7" x14ac:dyDescent="0.3">
      <c r="C1718"/>
      <c r="D1718"/>
      <c r="E1718"/>
      <c r="F1718"/>
      <c r="G1718"/>
    </row>
    <row r="1719" spans="3:7" x14ac:dyDescent="0.3">
      <c r="C1719"/>
      <c r="D1719"/>
      <c r="E1719"/>
      <c r="F1719"/>
      <c r="G1719"/>
    </row>
    <row r="1720" spans="3:7" x14ac:dyDescent="0.3">
      <c r="C1720"/>
      <c r="D1720"/>
      <c r="E1720"/>
      <c r="F1720"/>
      <c r="G1720"/>
    </row>
    <row r="1721" spans="3:7" x14ac:dyDescent="0.3">
      <c r="C1721"/>
      <c r="D1721"/>
      <c r="E1721"/>
      <c r="F1721"/>
      <c r="G1721"/>
    </row>
    <row r="1722" spans="3:7" x14ac:dyDescent="0.3">
      <c r="C1722"/>
      <c r="D1722"/>
      <c r="E1722"/>
      <c r="F1722"/>
      <c r="G1722"/>
    </row>
    <row r="1723" spans="3:7" x14ac:dyDescent="0.3">
      <c r="C1723"/>
      <c r="D1723"/>
      <c r="E1723"/>
      <c r="F1723"/>
      <c r="G1723"/>
    </row>
    <row r="1724" spans="3:7" x14ac:dyDescent="0.3">
      <c r="C1724"/>
      <c r="D1724"/>
      <c r="E1724"/>
      <c r="F1724"/>
      <c r="G1724"/>
    </row>
    <row r="1725" spans="3:7" x14ac:dyDescent="0.3">
      <c r="C1725"/>
      <c r="D1725"/>
      <c r="E1725"/>
      <c r="F1725"/>
      <c r="G1725"/>
    </row>
    <row r="1726" spans="3:7" x14ac:dyDescent="0.3">
      <c r="C1726"/>
      <c r="D1726"/>
      <c r="E1726"/>
      <c r="F1726"/>
      <c r="G1726"/>
    </row>
    <row r="1727" spans="3:7" x14ac:dyDescent="0.3">
      <c r="C1727"/>
      <c r="D1727"/>
      <c r="E1727"/>
      <c r="F1727"/>
      <c r="G1727"/>
    </row>
    <row r="1728" spans="3:7" x14ac:dyDescent="0.3">
      <c r="C1728"/>
      <c r="D1728"/>
      <c r="E1728"/>
      <c r="F1728"/>
      <c r="G1728"/>
    </row>
    <row r="1729" spans="3:7" x14ac:dyDescent="0.3">
      <c r="C1729"/>
      <c r="D1729"/>
      <c r="E1729"/>
      <c r="F1729"/>
      <c r="G1729"/>
    </row>
    <row r="1730" spans="3:7" x14ac:dyDescent="0.3">
      <c r="C1730"/>
      <c r="D1730"/>
      <c r="E1730"/>
      <c r="F1730"/>
      <c r="G1730"/>
    </row>
    <row r="1731" spans="3:7" x14ac:dyDescent="0.3">
      <c r="C1731"/>
      <c r="D1731"/>
      <c r="E1731"/>
      <c r="F1731"/>
      <c r="G1731"/>
    </row>
    <row r="1732" spans="3:7" x14ac:dyDescent="0.3">
      <c r="C1732"/>
      <c r="D1732"/>
      <c r="E1732"/>
      <c r="F1732"/>
      <c r="G1732"/>
    </row>
    <row r="1733" spans="3:7" x14ac:dyDescent="0.3">
      <c r="C1733"/>
      <c r="D1733"/>
      <c r="E1733"/>
      <c r="F1733"/>
      <c r="G1733"/>
    </row>
    <row r="1734" spans="3:7" x14ac:dyDescent="0.3">
      <c r="C1734"/>
      <c r="D1734"/>
      <c r="E1734"/>
      <c r="F1734"/>
      <c r="G1734"/>
    </row>
    <row r="1735" spans="3:7" x14ac:dyDescent="0.3">
      <c r="C1735"/>
      <c r="D1735"/>
      <c r="E1735"/>
      <c r="F1735"/>
      <c r="G1735"/>
    </row>
    <row r="1736" spans="3:7" x14ac:dyDescent="0.3">
      <c r="C1736"/>
      <c r="D1736"/>
      <c r="E1736"/>
      <c r="F1736"/>
      <c r="G1736"/>
    </row>
    <row r="1737" spans="3:7" x14ac:dyDescent="0.3">
      <c r="C1737"/>
      <c r="D1737"/>
      <c r="E1737"/>
      <c r="F1737"/>
      <c r="G1737"/>
    </row>
    <row r="1738" spans="3:7" x14ac:dyDescent="0.3">
      <c r="C1738"/>
      <c r="D1738"/>
      <c r="E1738"/>
      <c r="F1738"/>
      <c r="G1738"/>
    </row>
    <row r="1739" spans="3:7" x14ac:dyDescent="0.3">
      <c r="C1739"/>
      <c r="D1739"/>
      <c r="E1739"/>
      <c r="F1739"/>
      <c r="G1739"/>
    </row>
    <row r="1740" spans="3:7" x14ac:dyDescent="0.3">
      <c r="C1740"/>
      <c r="D1740"/>
      <c r="E1740"/>
      <c r="F1740"/>
      <c r="G1740"/>
    </row>
    <row r="1741" spans="3:7" x14ac:dyDescent="0.3">
      <c r="C1741"/>
      <c r="D1741"/>
      <c r="E1741"/>
      <c r="F1741"/>
      <c r="G1741"/>
    </row>
    <row r="1742" spans="3:7" x14ac:dyDescent="0.3">
      <c r="C1742"/>
      <c r="D1742"/>
      <c r="E1742"/>
      <c r="F1742"/>
      <c r="G1742"/>
    </row>
    <row r="1743" spans="3:7" x14ac:dyDescent="0.3">
      <c r="C1743"/>
      <c r="D1743"/>
      <c r="E1743"/>
      <c r="F1743"/>
      <c r="G1743"/>
    </row>
    <row r="1744" spans="3:7" x14ac:dyDescent="0.3">
      <c r="C1744"/>
      <c r="D1744"/>
      <c r="E1744"/>
      <c r="F1744"/>
      <c r="G1744"/>
    </row>
    <row r="1745" spans="3:7" x14ac:dyDescent="0.3">
      <c r="C1745"/>
      <c r="D1745"/>
      <c r="E1745"/>
      <c r="F1745"/>
      <c r="G1745"/>
    </row>
    <row r="1746" spans="3:7" x14ac:dyDescent="0.3">
      <c r="C1746"/>
      <c r="D1746"/>
      <c r="E1746"/>
      <c r="F1746"/>
      <c r="G1746"/>
    </row>
    <row r="1747" spans="3:7" x14ac:dyDescent="0.3">
      <c r="C1747"/>
      <c r="D1747"/>
      <c r="E1747"/>
      <c r="F1747"/>
      <c r="G1747"/>
    </row>
    <row r="1748" spans="3:7" x14ac:dyDescent="0.3">
      <c r="C1748"/>
      <c r="D1748"/>
      <c r="E1748"/>
      <c r="F1748"/>
      <c r="G1748"/>
    </row>
    <row r="1749" spans="3:7" x14ac:dyDescent="0.3">
      <c r="C1749"/>
      <c r="D1749"/>
      <c r="E1749"/>
      <c r="F1749"/>
      <c r="G1749"/>
    </row>
    <row r="1750" spans="3:7" x14ac:dyDescent="0.3">
      <c r="C1750"/>
      <c r="D1750"/>
      <c r="E1750"/>
      <c r="F1750"/>
      <c r="G1750"/>
    </row>
    <row r="1751" spans="3:7" x14ac:dyDescent="0.3">
      <c r="C1751"/>
      <c r="D1751"/>
      <c r="E1751"/>
      <c r="F1751"/>
      <c r="G1751"/>
    </row>
    <row r="1752" spans="3:7" x14ac:dyDescent="0.3">
      <c r="C1752"/>
      <c r="D1752"/>
      <c r="E1752"/>
      <c r="F1752"/>
      <c r="G1752"/>
    </row>
    <row r="1753" spans="3:7" x14ac:dyDescent="0.3">
      <c r="C1753"/>
      <c r="D1753"/>
      <c r="E1753"/>
      <c r="F1753"/>
      <c r="G1753"/>
    </row>
    <row r="1754" spans="3:7" x14ac:dyDescent="0.3">
      <c r="C1754"/>
      <c r="D1754"/>
      <c r="E1754"/>
      <c r="F1754"/>
      <c r="G1754"/>
    </row>
    <row r="1755" spans="3:7" x14ac:dyDescent="0.3">
      <c r="C1755"/>
      <c r="D1755"/>
      <c r="E1755"/>
      <c r="F1755"/>
      <c r="G1755"/>
    </row>
    <row r="1756" spans="3:7" x14ac:dyDescent="0.3">
      <c r="C1756"/>
      <c r="D1756"/>
      <c r="E1756"/>
      <c r="F1756"/>
      <c r="G1756"/>
    </row>
    <row r="1757" spans="3:7" x14ac:dyDescent="0.3">
      <c r="C1757"/>
      <c r="D1757"/>
      <c r="E1757"/>
      <c r="F1757"/>
      <c r="G1757"/>
    </row>
    <row r="1758" spans="3:7" x14ac:dyDescent="0.3">
      <c r="C1758"/>
      <c r="D1758"/>
      <c r="E1758"/>
      <c r="F1758"/>
      <c r="G1758"/>
    </row>
    <row r="1759" spans="3:7" x14ac:dyDescent="0.3">
      <c r="C1759"/>
      <c r="D1759"/>
      <c r="E1759"/>
      <c r="F1759"/>
      <c r="G1759"/>
    </row>
    <row r="1760" spans="3:7" x14ac:dyDescent="0.3">
      <c r="C1760"/>
      <c r="D1760"/>
      <c r="E1760"/>
      <c r="F1760"/>
      <c r="G1760"/>
    </row>
    <row r="1761" spans="3:7" x14ac:dyDescent="0.3">
      <c r="C1761"/>
      <c r="D1761"/>
      <c r="E1761"/>
      <c r="F1761"/>
      <c r="G1761"/>
    </row>
    <row r="1762" spans="3:7" x14ac:dyDescent="0.3">
      <c r="C1762"/>
      <c r="D1762"/>
      <c r="E1762"/>
      <c r="F1762"/>
      <c r="G1762"/>
    </row>
    <row r="1763" spans="3:7" x14ac:dyDescent="0.3">
      <c r="C1763"/>
      <c r="D1763"/>
      <c r="E1763"/>
      <c r="F1763"/>
      <c r="G1763"/>
    </row>
    <row r="1764" spans="3:7" x14ac:dyDescent="0.3">
      <c r="C1764"/>
      <c r="D1764"/>
      <c r="E1764"/>
      <c r="F1764"/>
      <c r="G1764"/>
    </row>
    <row r="1765" spans="3:7" x14ac:dyDescent="0.3">
      <c r="C1765"/>
      <c r="D1765"/>
      <c r="E1765"/>
      <c r="F1765"/>
      <c r="G1765"/>
    </row>
    <row r="1766" spans="3:7" x14ac:dyDescent="0.3">
      <c r="C1766"/>
      <c r="D1766"/>
      <c r="E1766"/>
      <c r="F1766"/>
      <c r="G1766"/>
    </row>
    <row r="1767" spans="3:7" x14ac:dyDescent="0.3">
      <c r="C1767"/>
      <c r="D1767"/>
      <c r="E1767"/>
      <c r="F1767"/>
      <c r="G1767"/>
    </row>
    <row r="1768" spans="3:7" x14ac:dyDescent="0.3">
      <c r="C1768"/>
      <c r="D1768"/>
      <c r="E1768"/>
      <c r="F1768"/>
      <c r="G1768"/>
    </row>
    <row r="1769" spans="3:7" x14ac:dyDescent="0.3">
      <c r="C1769"/>
      <c r="D1769"/>
      <c r="E1769"/>
      <c r="F1769"/>
      <c r="G1769"/>
    </row>
    <row r="1770" spans="3:7" x14ac:dyDescent="0.3">
      <c r="C1770"/>
      <c r="D1770"/>
      <c r="E1770"/>
      <c r="F1770"/>
      <c r="G1770"/>
    </row>
    <row r="1771" spans="3:7" x14ac:dyDescent="0.3">
      <c r="C1771"/>
      <c r="D1771"/>
      <c r="E1771"/>
      <c r="F1771"/>
      <c r="G1771"/>
    </row>
    <row r="1772" spans="3:7" x14ac:dyDescent="0.3">
      <c r="C1772"/>
      <c r="D1772"/>
      <c r="E1772"/>
      <c r="F1772"/>
      <c r="G1772"/>
    </row>
    <row r="1773" spans="3:7" x14ac:dyDescent="0.3">
      <c r="C1773"/>
      <c r="D1773"/>
      <c r="E1773"/>
      <c r="F1773"/>
      <c r="G1773"/>
    </row>
    <row r="1774" spans="3:7" x14ac:dyDescent="0.3">
      <c r="C1774"/>
      <c r="D1774"/>
      <c r="E1774"/>
      <c r="F1774"/>
      <c r="G1774"/>
    </row>
    <row r="1775" spans="3:7" x14ac:dyDescent="0.3">
      <c r="C1775"/>
      <c r="D1775"/>
      <c r="E1775"/>
      <c r="F1775"/>
      <c r="G1775"/>
    </row>
    <row r="1776" spans="3:7" x14ac:dyDescent="0.3">
      <c r="C1776"/>
      <c r="D1776"/>
      <c r="E1776"/>
      <c r="F1776"/>
      <c r="G1776"/>
    </row>
    <row r="1777" spans="3:7" x14ac:dyDescent="0.3">
      <c r="C1777"/>
      <c r="D1777"/>
      <c r="E1777"/>
      <c r="F1777"/>
      <c r="G1777"/>
    </row>
    <row r="1778" spans="3:7" x14ac:dyDescent="0.3">
      <c r="C1778"/>
      <c r="D1778"/>
      <c r="E1778"/>
      <c r="F1778"/>
      <c r="G1778"/>
    </row>
    <row r="1779" spans="3:7" x14ac:dyDescent="0.3">
      <c r="C1779"/>
      <c r="D1779"/>
      <c r="E1779"/>
      <c r="F1779"/>
      <c r="G1779"/>
    </row>
    <row r="1780" spans="3:7" x14ac:dyDescent="0.3">
      <c r="C1780"/>
      <c r="D1780"/>
      <c r="E1780"/>
      <c r="F1780"/>
      <c r="G1780"/>
    </row>
    <row r="1781" spans="3:7" x14ac:dyDescent="0.3">
      <c r="C1781"/>
      <c r="D1781"/>
      <c r="E1781"/>
      <c r="F1781"/>
      <c r="G1781"/>
    </row>
    <row r="1782" spans="3:7" x14ac:dyDescent="0.3">
      <c r="C1782"/>
      <c r="D1782"/>
      <c r="E1782"/>
      <c r="F1782"/>
      <c r="G1782"/>
    </row>
    <row r="1783" spans="3:7" x14ac:dyDescent="0.3">
      <c r="C1783"/>
      <c r="D1783"/>
      <c r="E1783"/>
      <c r="F1783"/>
      <c r="G1783"/>
    </row>
    <row r="1784" spans="3:7" x14ac:dyDescent="0.3">
      <c r="C1784"/>
      <c r="D1784"/>
      <c r="E1784"/>
      <c r="F1784"/>
      <c r="G1784"/>
    </row>
    <row r="1785" spans="3:7" x14ac:dyDescent="0.3">
      <c r="C1785"/>
      <c r="D1785"/>
      <c r="E1785"/>
      <c r="F1785"/>
      <c r="G1785"/>
    </row>
    <row r="1786" spans="3:7" x14ac:dyDescent="0.3">
      <c r="C1786"/>
      <c r="D1786"/>
      <c r="E1786"/>
      <c r="F1786"/>
      <c r="G1786"/>
    </row>
    <row r="1787" spans="3:7" x14ac:dyDescent="0.3">
      <c r="C1787"/>
      <c r="D1787"/>
      <c r="E1787"/>
      <c r="F1787"/>
      <c r="G1787"/>
    </row>
    <row r="1788" spans="3:7" x14ac:dyDescent="0.3">
      <c r="C1788"/>
      <c r="D1788"/>
      <c r="E1788"/>
      <c r="F1788"/>
      <c r="G1788"/>
    </row>
    <row r="1789" spans="3:7" x14ac:dyDescent="0.3">
      <c r="C1789"/>
      <c r="D1789"/>
      <c r="E1789"/>
      <c r="F1789"/>
      <c r="G1789"/>
    </row>
    <row r="1790" spans="3:7" x14ac:dyDescent="0.3">
      <c r="C1790"/>
      <c r="D1790"/>
      <c r="E1790"/>
      <c r="F1790"/>
      <c r="G1790"/>
    </row>
    <row r="1791" spans="3:7" x14ac:dyDescent="0.3">
      <c r="C1791"/>
      <c r="D1791"/>
      <c r="E1791"/>
      <c r="F1791"/>
      <c r="G1791"/>
    </row>
    <row r="1792" spans="3:7" x14ac:dyDescent="0.3">
      <c r="C1792"/>
      <c r="D1792"/>
      <c r="E1792"/>
      <c r="F1792"/>
      <c r="G1792"/>
    </row>
    <row r="1793" spans="3:7" x14ac:dyDescent="0.3">
      <c r="C1793"/>
      <c r="D1793"/>
      <c r="E1793"/>
      <c r="F1793"/>
      <c r="G1793"/>
    </row>
    <row r="1794" spans="3:7" x14ac:dyDescent="0.3">
      <c r="C1794"/>
      <c r="D1794"/>
      <c r="E1794"/>
      <c r="F1794"/>
      <c r="G1794"/>
    </row>
    <row r="1795" spans="3:7" x14ac:dyDescent="0.3">
      <c r="C1795"/>
      <c r="D1795"/>
      <c r="E1795"/>
      <c r="F1795"/>
      <c r="G1795"/>
    </row>
    <row r="1796" spans="3:7" x14ac:dyDescent="0.3">
      <c r="C1796"/>
      <c r="D1796"/>
      <c r="E1796"/>
      <c r="F1796"/>
      <c r="G1796"/>
    </row>
    <row r="1797" spans="3:7" x14ac:dyDescent="0.3">
      <c r="C1797"/>
      <c r="D1797"/>
      <c r="E1797"/>
      <c r="F1797"/>
      <c r="G1797"/>
    </row>
    <row r="1798" spans="3:7" x14ac:dyDescent="0.3">
      <c r="C1798"/>
      <c r="D1798"/>
      <c r="E1798"/>
      <c r="F1798"/>
      <c r="G1798"/>
    </row>
    <row r="1799" spans="3:7" x14ac:dyDescent="0.3">
      <c r="C1799"/>
      <c r="D1799"/>
      <c r="E1799"/>
      <c r="F1799"/>
      <c r="G1799"/>
    </row>
    <row r="1800" spans="3:7" x14ac:dyDescent="0.3">
      <c r="C1800"/>
      <c r="D1800"/>
      <c r="E1800"/>
      <c r="F1800"/>
      <c r="G1800"/>
    </row>
    <row r="1801" spans="3:7" x14ac:dyDescent="0.3">
      <c r="C1801"/>
      <c r="D1801"/>
      <c r="E1801"/>
      <c r="F1801"/>
      <c r="G1801"/>
    </row>
    <row r="1802" spans="3:7" x14ac:dyDescent="0.3">
      <c r="C1802"/>
      <c r="D1802"/>
      <c r="E1802"/>
      <c r="F1802"/>
      <c r="G1802"/>
    </row>
    <row r="1803" spans="3:7" x14ac:dyDescent="0.3">
      <c r="C1803"/>
      <c r="D1803"/>
      <c r="E1803"/>
      <c r="F1803"/>
      <c r="G1803"/>
    </row>
    <row r="1804" spans="3:7" x14ac:dyDescent="0.3">
      <c r="C1804"/>
      <c r="D1804"/>
      <c r="E1804"/>
      <c r="F1804"/>
      <c r="G1804"/>
    </row>
    <row r="1805" spans="3:7" x14ac:dyDescent="0.3">
      <c r="C1805"/>
      <c r="D1805"/>
      <c r="E1805"/>
      <c r="F1805"/>
      <c r="G1805"/>
    </row>
    <row r="1806" spans="3:7" x14ac:dyDescent="0.3">
      <c r="C1806"/>
      <c r="D1806"/>
      <c r="E1806"/>
      <c r="F1806"/>
      <c r="G1806"/>
    </row>
    <row r="1807" spans="3:7" x14ac:dyDescent="0.3">
      <c r="C1807"/>
      <c r="D1807"/>
      <c r="E1807"/>
      <c r="F1807"/>
      <c r="G1807"/>
    </row>
    <row r="1808" spans="3:7" x14ac:dyDescent="0.3">
      <c r="C1808"/>
      <c r="D1808"/>
      <c r="E1808"/>
      <c r="F1808"/>
      <c r="G1808"/>
    </row>
    <row r="1809" spans="3:7" x14ac:dyDescent="0.3">
      <c r="C1809"/>
      <c r="D1809"/>
      <c r="E1809"/>
      <c r="F1809"/>
      <c r="G1809"/>
    </row>
    <row r="1810" spans="3:7" x14ac:dyDescent="0.3">
      <c r="C1810"/>
      <c r="D1810"/>
      <c r="E1810"/>
      <c r="F1810"/>
      <c r="G1810"/>
    </row>
    <row r="1811" spans="3:7" x14ac:dyDescent="0.3">
      <c r="C1811"/>
      <c r="D1811"/>
      <c r="E1811"/>
      <c r="F1811"/>
      <c r="G1811"/>
    </row>
    <row r="1812" spans="3:7" x14ac:dyDescent="0.3">
      <c r="C1812"/>
      <c r="D1812"/>
      <c r="E1812"/>
      <c r="F1812"/>
      <c r="G1812"/>
    </row>
    <row r="1813" spans="3:7" x14ac:dyDescent="0.3">
      <c r="C1813"/>
      <c r="D1813"/>
      <c r="E1813"/>
      <c r="F1813"/>
      <c r="G1813"/>
    </row>
    <row r="1814" spans="3:7" x14ac:dyDescent="0.3">
      <c r="C1814"/>
      <c r="D1814"/>
      <c r="E1814"/>
      <c r="F1814"/>
      <c r="G1814"/>
    </row>
    <row r="1815" spans="3:7" x14ac:dyDescent="0.3">
      <c r="C1815"/>
      <c r="D1815"/>
      <c r="E1815"/>
      <c r="F1815"/>
      <c r="G1815"/>
    </row>
    <row r="1816" spans="3:7" x14ac:dyDescent="0.3">
      <c r="C1816"/>
      <c r="D1816"/>
      <c r="E1816"/>
      <c r="F1816"/>
      <c r="G1816"/>
    </row>
    <row r="1817" spans="3:7" x14ac:dyDescent="0.3">
      <c r="C1817"/>
      <c r="D1817"/>
      <c r="E1817"/>
      <c r="F1817"/>
      <c r="G1817"/>
    </row>
    <row r="1818" spans="3:7" x14ac:dyDescent="0.3">
      <c r="C1818"/>
      <c r="D1818"/>
      <c r="E1818"/>
      <c r="F1818"/>
      <c r="G1818"/>
    </row>
    <row r="1819" spans="3:7" x14ac:dyDescent="0.3">
      <c r="C1819"/>
      <c r="D1819"/>
      <c r="E1819"/>
      <c r="F1819"/>
      <c r="G1819"/>
    </row>
    <row r="1820" spans="3:7" x14ac:dyDescent="0.3">
      <c r="C1820"/>
      <c r="D1820"/>
      <c r="E1820"/>
      <c r="F1820"/>
      <c r="G1820"/>
    </row>
    <row r="1821" spans="3:7" x14ac:dyDescent="0.3">
      <c r="C1821"/>
      <c r="D1821"/>
      <c r="E1821"/>
      <c r="F1821"/>
      <c r="G1821"/>
    </row>
    <row r="1822" spans="3:7" x14ac:dyDescent="0.3">
      <c r="C1822"/>
      <c r="D1822"/>
      <c r="E1822"/>
      <c r="F1822"/>
      <c r="G1822"/>
    </row>
    <row r="1823" spans="3:7" x14ac:dyDescent="0.3">
      <c r="C1823"/>
      <c r="D1823"/>
      <c r="E1823"/>
      <c r="F1823"/>
      <c r="G1823"/>
    </row>
    <row r="1824" spans="3:7" x14ac:dyDescent="0.3">
      <c r="C1824"/>
      <c r="D1824"/>
      <c r="E1824"/>
      <c r="F1824"/>
      <c r="G1824"/>
    </row>
    <row r="1825" spans="3:7" x14ac:dyDescent="0.3">
      <c r="C1825"/>
      <c r="D1825"/>
      <c r="E1825"/>
      <c r="F1825"/>
      <c r="G1825"/>
    </row>
    <row r="1826" spans="3:7" x14ac:dyDescent="0.3">
      <c r="C1826"/>
      <c r="D1826"/>
      <c r="E1826"/>
      <c r="F1826"/>
      <c r="G1826"/>
    </row>
    <row r="1827" spans="3:7" x14ac:dyDescent="0.3">
      <c r="C1827"/>
      <c r="D1827"/>
      <c r="E1827"/>
      <c r="F1827"/>
      <c r="G1827"/>
    </row>
    <row r="1828" spans="3:7" x14ac:dyDescent="0.3">
      <c r="C1828"/>
      <c r="D1828"/>
      <c r="E1828"/>
      <c r="F1828"/>
      <c r="G1828"/>
    </row>
    <row r="1829" spans="3:7" x14ac:dyDescent="0.3">
      <c r="C1829"/>
      <c r="D1829"/>
      <c r="E1829"/>
      <c r="F1829"/>
      <c r="G1829"/>
    </row>
    <row r="1830" spans="3:7" x14ac:dyDescent="0.3">
      <c r="C1830"/>
      <c r="D1830"/>
      <c r="E1830"/>
      <c r="F1830"/>
      <c r="G1830"/>
    </row>
    <row r="1831" spans="3:7" x14ac:dyDescent="0.3">
      <c r="C1831"/>
      <c r="D1831"/>
      <c r="E1831"/>
      <c r="F1831"/>
      <c r="G1831"/>
    </row>
    <row r="1832" spans="3:7" x14ac:dyDescent="0.3">
      <c r="C1832"/>
      <c r="D1832"/>
      <c r="E1832"/>
      <c r="F1832"/>
      <c r="G1832"/>
    </row>
    <row r="1833" spans="3:7" x14ac:dyDescent="0.3">
      <c r="C1833"/>
      <c r="D1833"/>
      <c r="E1833"/>
      <c r="F1833"/>
      <c r="G1833"/>
    </row>
    <row r="1834" spans="3:7" x14ac:dyDescent="0.3">
      <c r="C1834"/>
      <c r="D1834"/>
      <c r="E1834"/>
      <c r="F1834"/>
      <c r="G1834"/>
    </row>
    <row r="1835" spans="3:7" x14ac:dyDescent="0.3">
      <c r="C1835"/>
      <c r="D1835"/>
      <c r="E1835"/>
      <c r="F1835"/>
      <c r="G1835"/>
    </row>
    <row r="1836" spans="3:7" x14ac:dyDescent="0.3">
      <c r="C1836"/>
      <c r="D1836"/>
      <c r="E1836"/>
      <c r="F1836"/>
      <c r="G1836"/>
    </row>
    <row r="1837" spans="3:7" x14ac:dyDescent="0.3">
      <c r="C1837"/>
      <c r="D1837"/>
      <c r="E1837"/>
      <c r="F1837"/>
      <c r="G1837"/>
    </row>
    <row r="1838" spans="3:7" x14ac:dyDescent="0.3">
      <c r="C1838"/>
      <c r="D1838"/>
      <c r="E1838"/>
      <c r="F1838"/>
      <c r="G1838"/>
    </row>
    <row r="1839" spans="3:7" x14ac:dyDescent="0.3">
      <c r="C1839"/>
      <c r="D1839"/>
      <c r="E1839"/>
      <c r="F1839"/>
      <c r="G1839"/>
    </row>
    <row r="1840" spans="3:7" x14ac:dyDescent="0.3">
      <c r="C1840"/>
      <c r="D1840"/>
      <c r="E1840"/>
      <c r="F1840"/>
      <c r="G1840"/>
    </row>
    <row r="1841" spans="3:7" x14ac:dyDescent="0.3">
      <c r="C1841"/>
      <c r="D1841"/>
      <c r="E1841"/>
      <c r="F1841"/>
      <c r="G1841"/>
    </row>
    <row r="1842" spans="3:7" x14ac:dyDescent="0.3">
      <c r="C1842"/>
      <c r="D1842"/>
      <c r="E1842"/>
      <c r="F1842"/>
      <c r="G1842"/>
    </row>
    <row r="1843" spans="3:7" x14ac:dyDescent="0.3">
      <c r="C1843"/>
      <c r="D1843"/>
      <c r="E1843"/>
      <c r="F1843"/>
      <c r="G1843"/>
    </row>
    <row r="1844" spans="3:7" x14ac:dyDescent="0.3">
      <c r="C1844"/>
      <c r="D1844"/>
      <c r="E1844"/>
      <c r="F1844"/>
      <c r="G1844"/>
    </row>
    <row r="1845" spans="3:7" x14ac:dyDescent="0.3">
      <c r="C1845"/>
      <c r="D1845"/>
      <c r="E1845"/>
      <c r="F1845"/>
      <c r="G1845"/>
    </row>
    <row r="1846" spans="3:7" x14ac:dyDescent="0.3">
      <c r="C1846"/>
      <c r="D1846"/>
      <c r="E1846"/>
      <c r="F1846"/>
      <c r="G1846"/>
    </row>
    <row r="1847" spans="3:7" x14ac:dyDescent="0.3">
      <c r="C1847"/>
      <c r="D1847"/>
      <c r="E1847"/>
      <c r="F1847"/>
      <c r="G1847"/>
    </row>
    <row r="1848" spans="3:7" x14ac:dyDescent="0.3">
      <c r="C1848"/>
      <c r="D1848"/>
      <c r="E1848"/>
      <c r="F1848"/>
      <c r="G1848"/>
    </row>
    <row r="1849" spans="3:7" x14ac:dyDescent="0.3">
      <c r="C1849"/>
      <c r="D1849"/>
      <c r="E1849"/>
      <c r="F1849"/>
      <c r="G1849"/>
    </row>
    <row r="1850" spans="3:7" x14ac:dyDescent="0.3">
      <c r="C1850"/>
      <c r="D1850"/>
      <c r="E1850"/>
      <c r="F1850"/>
      <c r="G1850"/>
    </row>
    <row r="1851" spans="3:7" x14ac:dyDescent="0.3">
      <c r="C1851"/>
      <c r="D1851"/>
      <c r="E1851"/>
      <c r="F1851"/>
      <c r="G1851"/>
    </row>
    <row r="1852" spans="3:7" x14ac:dyDescent="0.3">
      <c r="C1852"/>
      <c r="D1852"/>
      <c r="E1852"/>
      <c r="F1852"/>
      <c r="G1852"/>
    </row>
    <row r="1853" spans="3:7" x14ac:dyDescent="0.3">
      <c r="C1853"/>
      <c r="D1853"/>
      <c r="E1853"/>
      <c r="F1853"/>
      <c r="G1853"/>
    </row>
    <row r="1854" spans="3:7" x14ac:dyDescent="0.3">
      <c r="C1854"/>
      <c r="D1854"/>
      <c r="E1854"/>
      <c r="F1854"/>
      <c r="G1854"/>
    </row>
    <row r="1855" spans="3:7" x14ac:dyDescent="0.3">
      <c r="C1855"/>
      <c r="D1855"/>
      <c r="E1855"/>
      <c r="F1855"/>
      <c r="G1855"/>
    </row>
    <row r="1856" spans="3:7" x14ac:dyDescent="0.3">
      <c r="C1856"/>
      <c r="D1856"/>
      <c r="E1856"/>
      <c r="F1856"/>
      <c r="G1856"/>
    </row>
    <row r="1857" spans="3:7" x14ac:dyDescent="0.3">
      <c r="C1857"/>
      <c r="D1857"/>
      <c r="E1857"/>
      <c r="F1857"/>
      <c r="G1857"/>
    </row>
    <row r="1858" spans="3:7" x14ac:dyDescent="0.3">
      <c r="C1858"/>
      <c r="D1858"/>
      <c r="E1858"/>
      <c r="F1858"/>
      <c r="G1858"/>
    </row>
    <row r="1859" spans="3:7" x14ac:dyDescent="0.3">
      <c r="C1859"/>
      <c r="D1859"/>
      <c r="E1859"/>
      <c r="F1859"/>
      <c r="G1859"/>
    </row>
    <row r="1860" spans="3:7" x14ac:dyDescent="0.3">
      <c r="C1860"/>
      <c r="D1860"/>
      <c r="E1860"/>
      <c r="F1860"/>
      <c r="G1860"/>
    </row>
    <row r="1861" spans="3:7" x14ac:dyDescent="0.3">
      <c r="C1861"/>
      <c r="D1861"/>
      <c r="E1861"/>
      <c r="F1861"/>
      <c r="G1861"/>
    </row>
    <row r="1862" spans="3:7" x14ac:dyDescent="0.3">
      <c r="C1862"/>
      <c r="D1862"/>
      <c r="E1862"/>
      <c r="F1862"/>
      <c r="G1862"/>
    </row>
    <row r="1863" spans="3:7" x14ac:dyDescent="0.3">
      <c r="C1863"/>
      <c r="D1863"/>
      <c r="E1863"/>
      <c r="F1863"/>
      <c r="G1863"/>
    </row>
    <row r="1864" spans="3:7" x14ac:dyDescent="0.3">
      <c r="C1864"/>
      <c r="D1864"/>
      <c r="E1864"/>
      <c r="F1864"/>
      <c r="G1864"/>
    </row>
    <row r="1865" spans="3:7" x14ac:dyDescent="0.3">
      <c r="C1865"/>
      <c r="D1865"/>
      <c r="E1865"/>
      <c r="F1865"/>
      <c r="G1865"/>
    </row>
    <row r="1866" spans="3:7" x14ac:dyDescent="0.3">
      <c r="C1866"/>
      <c r="D1866"/>
      <c r="E1866"/>
      <c r="F1866"/>
      <c r="G1866"/>
    </row>
    <row r="1867" spans="3:7" x14ac:dyDescent="0.3">
      <c r="C1867"/>
      <c r="D1867"/>
      <c r="E1867"/>
      <c r="F1867"/>
      <c r="G1867"/>
    </row>
    <row r="1868" spans="3:7" x14ac:dyDescent="0.3">
      <c r="C1868"/>
      <c r="D1868"/>
      <c r="E1868"/>
      <c r="F1868"/>
      <c r="G1868"/>
    </row>
    <row r="1869" spans="3:7" x14ac:dyDescent="0.3">
      <c r="C1869"/>
      <c r="D1869"/>
      <c r="E1869"/>
      <c r="F1869"/>
      <c r="G1869"/>
    </row>
    <row r="1870" spans="3:7" x14ac:dyDescent="0.3">
      <c r="C1870"/>
      <c r="D1870"/>
      <c r="E1870"/>
      <c r="F1870"/>
      <c r="G1870"/>
    </row>
    <row r="1871" spans="3:7" x14ac:dyDescent="0.3">
      <c r="C1871"/>
      <c r="D1871"/>
      <c r="E1871"/>
      <c r="F1871"/>
      <c r="G1871"/>
    </row>
    <row r="1872" spans="3:7" x14ac:dyDescent="0.3">
      <c r="C1872"/>
      <c r="D1872"/>
      <c r="E1872"/>
      <c r="F1872"/>
      <c r="G1872"/>
    </row>
    <row r="1873" spans="3:7" x14ac:dyDescent="0.3">
      <c r="C1873"/>
      <c r="D1873"/>
      <c r="E1873"/>
      <c r="F1873"/>
      <c r="G1873"/>
    </row>
    <row r="1874" spans="3:7" x14ac:dyDescent="0.3">
      <c r="C1874"/>
      <c r="D1874"/>
      <c r="E1874"/>
      <c r="F1874"/>
      <c r="G1874"/>
    </row>
    <row r="1875" spans="3:7" x14ac:dyDescent="0.3">
      <c r="C1875"/>
      <c r="D1875"/>
      <c r="E1875"/>
      <c r="F1875"/>
      <c r="G1875"/>
    </row>
    <row r="1876" spans="3:7" x14ac:dyDescent="0.3">
      <c r="C1876"/>
      <c r="D1876"/>
      <c r="E1876"/>
      <c r="F1876"/>
      <c r="G1876"/>
    </row>
    <row r="1877" spans="3:7" x14ac:dyDescent="0.3">
      <c r="C1877"/>
      <c r="D1877"/>
      <c r="E1877"/>
      <c r="F1877"/>
      <c r="G1877"/>
    </row>
    <row r="1878" spans="3:7" x14ac:dyDescent="0.3">
      <c r="C1878"/>
      <c r="D1878"/>
      <c r="E1878"/>
      <c r="F1878"/>
      <c r="G1878"/>
    </row>
    <row r="1879" spans="3:7" x14ac:dyDescent="0.3">
      <c r="C1879"/>
      <c r="D1879"/>
      <c r="E1879"/>
      <c r="F1879"/>
      <c r="G1879"/>
    </row>
    <row r="1880" spans="3:7" x14ac:dyDescent="0.3">
      <c r="C1880"/>
      <c r="D1880"/>
      <c r="E1880"/>
      <c r="F1880"/>
      <c r="G1880"/>
    </row>
    <row r="1881" spans="3:7" x14ac:dyDescent="0.3">
      <c r="C1881"/>
      <c r="D1881"/>
      <c r="E1881"/>
      <c r="F1881"/>
      <c r="G1881"/>
    </row>
    <row r="1882" spans="3:7" x14ac:dyDescent="0.3">
      <c r="C1882"/>
      <c r="D1882"/>
      <c r="E1882"/>
      <c r="F1882"/>
      <c r="G1882"/>
    </row>
    <row r="1883" spans="3:7" x14ac:dyDescent="0.3">
      <c r="C1883"/>
      <c r="D1883"/>
      <c r="E1883"/>
      <c r="F1883"/>
      <c r="G1883"/>
    </row>
    <row r="1884" spans="3:7" x14ac:dyDescent="0.3">
      <c r="C1884"/>
      <c r="D1884"/>
      <c r="E1884"/>
      <c r="F1884"/>
      <c r="G1884"/>
    </row>
    <row r="1885" spans="3:7" x14ac:dyDescent="0.3">
      <c r="C1885"/>
      <c r="D1885"/>
      <c r="E1885"/>
      <c r="F1885"/>
      <c r="G1885"/>
    </row>
    <row r="1886" spans="3:7" x14ac:dyDescent="0.3">
      <c r="C1886"/>
      <c r="D1886"/>
      <c r="E1886"/>
      <c r="F1886"/>
      <c r="G1886"/>
    </row>
    <row r="1887" spans="3:7" x14ac:dyDescent="0.3">
      <c r="C1887"/>
      <c r="D1887"/>
      <c r="E1887"/>
      <c r="F1887"/>
      <c r="G1887"/>
    </row>
    <row r="1888" spans="3:7" x14ac:dyDescent="0.3">
      <c r="C1888"/>
      <c r="D1888"/>
      <c r="E1888"/>
      <c r="F1888"/>
      <c r="G1888"/>
    </row>
    <row r="1889" spans="3:7" x14ac:dyDescent="0.3">
      <c r="C1889"/>
      <c r="D1889"/>
      <c r="E1889"/>
      <c r="F1889"/>
      <c r="G1889"/>
    </row>
    <row r="1890" spans="3:7" x14ac:dyDescent="0.3">
      <c r="C1890"/>
      <c r="D1890"/>
      <c r="E1890"/>
      <c r="F1890"/>
      <c r="G1890"/>
    </row>
    <row r="1891" spans="3:7" x14ac:dyDescent="0.3">
      <c r="C1891"/>
      <c r="D1891"/>
      <c r="E1891"/>
      <c r="F1891"/>
      <c r="G1891"/>
    </row>
    <row r="1892" spans="3:7" x14ac:dyDescent="0.3">
      <c r="C1892"/>
      <c r="D1892"/>
      <c r="E1892"/>
      <c r="F1892"/>
      <c r="G1892"/>
    </row>
    <row r="1893" spans="3:7" x14ac:dyDescent="0.3">
      <c r="C1893"/>
      <c r="D1893"/>
      <c r="E1893"/>
      <c r="F1893"/>
      <c r="G1893"/>
    </row>
    <row r="1894" spans="3:7" x14ac:dyDescent="0.3">
      <c r="C1894"/>
      <c r="D1894"/>
      <c r="E1894"/>
      <c r="F1894"/>
      <c r="G1894"/>
    </row>
    <row r="1895" spans="3:7" x14ac:dyDescent="0.3">
      <c r="C1895"/>
      <c r="D1895"/>
      <c r="E1895"/>
      <c r="F1895"/>
      <c r="G1895"/>
    </row>
    <row r="1896" spans="3:7" x14ac:dyDescent="0.3">
      <c r="C1896"/>
      <c r="D1896"/>
      <c r="E1896"/>
      <c r="F1896"/>
      <c r="G1896"/>
    </row>
    <row r="1897" spans="3:7" x14ac:dyDescent="0.3">
      <c r="C1897"/>
      <c r="D1897"/>
      <c r="E1897"/>
      <c r="F1897"/>
      <c r="G1897"/>
    </row>
    <row r="1898" spans="3:7" x14ac:dyDescent="0.3">
      <c r="C1898"/>
      <c r="D1898"/>
      <c r="E1898"/>
      <c r="F1898"/>
      <c r="G1898"/>
    </row>
    <row r="1899" spans="3:7" x14ac:dyDescent="0.3">
      <c r="C1899"/>
      <c r="D1899"/>
      <c r="E1899"/>
      <c r="F1899"/>
      <c r="G1899"/>
    </row>
    <row r="1900" spans="3:7" x14ac:dyDescent="0.3">
      <c r="C1900"/>
      <c r="D1900"/>
      <c r="E1900"/>
      <c r="F1900"/>
      <c r="G1900"/>
    </row>
    <row r="1901" spans="3:7" x14ac:dyDescent="0.3">
      <c r="C1901"/>
      <c r="D1901"/>
      <c r="E1901"/>
      <c r="F1901"/>
      <c r="G1901"/>
    </row>
    <row r="1902" spans="3:7" x14ac:dyDescent="0.3">
      <c r="C1902"/>
      <c r="D1902"/>
      <c r="E1902"/>
      <c r="F1902"/>
      <c r="G1902"/>
    </row>
    <row r="1903" spans="3:7" x14ac:dyDescent="0.3">
      <c r="C1903"/>
      <c r="D1903"/>
      <c r="E1903"/>
      <c r="F1903"/>
      <c r="G1903"/>
    </row>
    <row r="1904" spans="3:7" x14ac:dyDescent="0.3">
      <c r="C1904"/>
      <c r="D1904"/>
      <c r="E1904"/>
      <c r="F1904"/>
      <c r="G1904"/>
    </row>
    <row r="1905" spans="3:7" x14ac:dyDescent="0.3">
      <c r="C1905"/>
      <c r="D1905"/>
      <c r="E1905"/>
      <c r="F1905"/>
      <c r="G1905"/>
    </row>
    <row r="1906" spans="3:7" x14ac:dyDescent="0.3">
      <c r="C1906"/>
      <c r="D1906"/>
      <c r="E1906"/>
      <c r="F1906"/>
      <c r="G1906"/>
    </row>
    <row r="1907" spans="3:7" x14ac:dyDescent="0.3">
      <c r="C1907"/>
      <c r="D1907"/>
      <c r="E1907"/>
      <c r="F1907"/>
      <c r="G1907"/>
    </row>
    <row r="1908" spans="3:7" x14ac:dyDescent="0.3">
      <c r="C1908"/>
      <c r="D1908"/>
      <c r="E1908"/>
      <c r="F1908"/>
      <c r="G1908"/>
    </row>
    <row r="1909" spans="3:7" x14ac:dyDescent="0.3">
      <c r="C1909"/>
      <c r="D1909"/>
      <c r="E1909"/>
      <c r="F1909"/>
      <c r="G1909"/>
    </row>
    <row r="1910" spans="3:7" x14ac:dyDescent="0.3">
      <c r="C1910"/>
      <c r="D1910"/>
      <c r="E1910"/>
      <c r="F1910"/>
      <c r="G1910"/>
    </row>
    <row r="1911" spans="3:7" x14ac:dyDescent="0.3">
      <c r="C1911"/>
      <c r="D1911"/>
      <c r="E1911"/>
      <c r="F1911"/>
      <c r="G1911"/>
    </row>
    <row r="1912" spans="3:7" x14ac:dyDescent="0.3">
      <c r="C1912"/>
      <c r="D1912"/>
      <c r="E1912"/>
      <c r="F1912"/>
      <c r="G1912"/>
    </row>
    <row r="1913" spans="3:7" x14ac:dyDescent="0.3">
      <c r="C1913"/>
      <c r="D1913"/>
      <c r="E1913"/>
      <c r="F1913"/>
      <c r="G1913"/>
    </row>
    <row r="1914" spans="3:7" x14ac:dyDescent="0.3">
      <c r="C1914"/>
      <c r="D1914"/>
      <c r="E1914"/>
      <c r="F1914"/>
      <c r="G1914"/>
    </row>
    <row r="1915" spans="3:7" x14ac:dyDescent="0.3">
      <c r="C1915"/>
      <c r="D1915"/>
      <c r="E1915"/>
      <c r="F1915"/>
      <c r="G1915"/>
    </row>
    <row r="1916" spans="3:7" x14ac:dyDescent="0.3">
      <c r="C1916"/>
      <c r="D1916"/>
      <c r="E1916"/>
      <c r="F1916"/>
      <c r="G1916"/>
    </row>
    <row r="1917" spans="3:7" x14ac:dyDescent="0.3">
      <c r="C1917"/>
      <c r="D1917"/>
      <c r="E1917"/>
      <c r="F1917"/>
      <c r="G1917"/>
    </row>
    <row r="1918" spans="3:7" x14ac:dyDescent="0.3">
      <c r="C1918"/>
      <c r="D1918"/>
      <c r="E1918"/>
      <c r="F1918"/>
      <c r="G1918"/>
    </row>
    <row r="1919" spans="3:7" x14ac:dyDescent="0.3">
      <c r="C1919"/>
      <c r="D1919"/>
      <c r="E1919"/>
      <c r="F1919"/>
      <c r="G1919"/>
    </row>
    <row r="1920" spans="3:7" x14ac:dyDescent="0.3">
      <c r="C1920"/>
      <c r="D1920"/>
      <c r="E1920"/>
      <c r="F1920"/>
      <c r="G1920"/>
    </row>
    <row r="1921" spans="3:7" x14ac:dyDescent="0.3">
      <c r="C1921"/>
      <c r="D1921"/>
      <c r="E1921"/>
      <c r="F1921"/>
      <c r="G1921"/>
    </row>
    <row r="1922" spans="3:7" x14ac:dyDescent="0.3">
      <c r="C1922"/>
      <c r="D1922"/>
      <c r="E1922"/>
      <c r="F1922"/>
      <c r="G1922"/>
    </row>
    <row r="1923" spans="3:7" x14ac:dyDescent="0.3">
      <c r="C1923"/>
      <c r="D1923"/>
      <c r="E1923"/>
      <c r="F1923"/>
      <c r="G1923"/>
    </row>
    <row r="1924" spans="3:7" x14ac:dyDescent="0.3">
      <c r="C1924"/>
      <c r="D1924"/>
      <c r="E1924"/>
      <c r="F1924"/>
      <c r="G1924"/>
    </row>
    <row r="1925" spans="3:7" x14ac:dyDescent="0.3">
      <c r="C1925"/>
      <c r="D1925"/>
      <c r="E1925"/>
      <c r="F1925"/>
      <c r="G1925"/>
    </row>
    <row r="1926" spans="3:7" x14ac:dyDescent="0.3">
      <c r="C1926"/>
      <c r="D1926"/>
      <c r="E1926"/>
      <c r="F1926"/>
      <c r="G1926"/>
    </row>
    <row r="1927" spans="3:7" x14ac:dyDescent="0.3">
      <c r="C1927"/>
      <c r="D1927"/>
      <c r="E1927"/>
      <c r="F1927"/>
      <c r="G1927"/>
    </row>
    <row r="1928" spans="3:7" x14ac:dyDescent="0.3">
      <c r="C1928"/>
      <c r="D1928"/>
      <c r="E1928"/>
      <c r="F1928"/>
      <c r="G1928"/>
    </row>
    <row r="1929" spans="3:7" x14ac:dyDescent="0.3">
      <c r="C1929"/>
      <c r="D1929"/>
      <c r="E1929"/>
      <c r="F1929"/>
      <c r="G1929"/>
    </row>
    <row r="1930" spans="3:7" x14ac:dyDescent="0.3">
      <c r="C1930"/>
      <c r="D1930"/>
      <c r="E1930"/>
      <c r="F1930"/>
      <c r="G1930"/>
    </row>
    <row r="1931" spans="3:7" x14ac:dyDescent="0.3">
      <c r="C1931"/>
      <c r="D1931"/>
      <c r="E1931"/>
      <c r="F1931"/>
      <c r="G1931"/>
    </row>
    <row r="1932" spans="3:7" x14ac:dyDescent="0.3">
      <c r="C1932"/>
      <c r="D1932"/>
      <c r="E1932"/>
      <c r="F1932"/>
      <c r="G1932"/>
    </row>
    <row r="1933" spans="3:7" x14ac:dyDescent="0.3">
      <c r="C1933"/>
      <c r="D1933"/>
      <c r="E1933"/>
      <c r="F1933"/>
      <c r="G1933"/>
    </row>
    <row r="1934" spans="3:7" x14ac:dyDescent="0.3">
      <c r="C1934"/>
      <c r="D1934"/>
      <c r="E1934"/>
      <c r="F1934"/>
      <c r="G1934"/>
    </row>
    <row r="1935" spans="3:7" x14ac:dyDescent="0.3">
      <c r="C1935"/>
      <c r="D1935"/>
      <c r="E1935"/>
      <c r="F1935"/>
      <c r="G1935"/>
    </row>
    <row r="1936" spans="3:7" x14ac:dyDescent="0.3">
      <c r="C1936"/>
      <c r="D1936"/>
      <c r="E1936"/>
      <c r="F1936"/>
      <c r="G1936"/>
    </row>
    <row r="1937" spans="3:7" x14ac:dyDescent="0.3">
      <c r="C1937"/>
      <c r="D1937"/>
      <c r="E1937"/>
      <c r="F1937"/>
      <c r="G1937"/>
    </row>
    <row r="1938" spans="3:7" x14ac:dyDescent="0.3">
      <c r="C1938"/>
      <c r="D1938"/>
      <c r="E1938"/>
      <c r="F1938"/>
      <c r="G1938"/>
    </row>
    <row r="1939" spans="3:7" x14ac:dyDescent="0.3">
      <c r="C1939"/>
      <c r="D1939"/>
      <c r="E1939"/>
      <c r="F1939"/>
      <c r="G1939"/>
    </row>
    <row r="1940" spans="3:7" x14ac:dyDescent="0.3">
      <c r="C1940"/>
      <c r="D1940"/>
      <c r="E1940"/>
      <c r="F1940"/>
      <c r="G1940"/>
    </row>
    <row r="1941" spans="3:7" x14ac:dyDescent="0.3">
      <c r="C1941"/>
      <c r="D1941"/>
      <c r="E1941"/>
      <c r="F1941"/>
      <c r="G1941"/>
    </row>
    <row r="1942" spans="3:7" x14ac:dyDescent="0.3">
      <c r="C1942"/>
      <c r="D1942"/>
      <c r="E1942"/>
      <c r="F1942"/>
      <c r="G1942"/>
    </row>
    <row r="1943" spans="3:7" x14ac:dyDescent="0.3">
      <c r="C1943"/>
      <c r="D1943"/>
      <c r="E1943"/>
      <c r="F1943"/>
      <c r="G1943"/>
    </row>
    <row r="1944" spans="3:7" x14ac:dyDescent="0.3">
      <c r="C1944"/>
      <c r="D1944"/>
      <c r="E1944"/>
      <c r="F1944"/>
      <c r="G1944"/>
    </row>
    <row r="1945" spans="3:7" x14ac:dyDescent="0.3">
      <c r="C1945"/>
      <c r="D1945"/>
      <c r="E1945"/>
      <c r="F1945"/>
      <c r="G1945"/>
    </row>
    <row r="1946" spans="3:7" x14ac:dyDescent="0.3">
      <c r="C1946"/>
      <c r="D1946"/>
      <c r="E1946"/>
      <c r="F1946"/>
      <c r="G1946"/>
    </row>
    <row r="1947" spans="3:7" x14ac:dyDescent="0.3">
      <c r="C1947"/>
      <c r="D1947"/>
      <c r="E1947"/>
      <c r="F1947"/>
      <c r="G1947"/>
    </row>
    <row r="1948" spans="3:7" x14ac:dyDescent="0.3">
      <c r="C1948"/>
      <c r="D1948"/>
      <c r="E1948"/>
      <c r="F1948"/>
      <c r="G1948"/>
    </row>
    <row r="1949" spans="3:7" x14ac:dyDescent="0.3">
      <c r="C1949"/>
      <c r="D1949"/>
      <c r="E1949"/>
      <c r="F1949"/>
      <c r="G1949"/>
    </row>
    <row r="1950" spans="3:7" x14ac:dyDescent="0.3">
      <c r="C1950"/>
      <c r="D1950"/>
      <c r="E1950"/>
      <c r="F1950"/>
      <c r="G1950"/>
    </row>
    <row r="1951" spans="3:7" x14ac:dyDescent="0.3">
      <c r="C1951"/>
      <c r="D1951"/>
      <c r="E1951"/>
      <c r="F1951"/>
      <c r="G1951"/>
    </row>
    <row r="1952" spans="3:7" x14ac:dyDescent="0.3">
      <c r="C1952"/>
      <c r="D1952"/>
      <c r="E1952"/>
      <c r="F1952"/>
      <c r="G1952"/>
    </row>
    <row r="1953" spans="3:7" x14ac:dyDescent="0.3">
      <c r="C1953"/>
      <c r="D1953"/>
      <c r="E1953"/>
      <c r="F1953"/>
      <c r="G1953"/>
    </row>
    <row r="1954" spans="3:7" x14ac:dyDescent="0.3">
      <c r="C1954"/>
      <c r="D1954"/>
      <c r="E1954"/>
      <c r="F1954"/>
      <c r="G1954"/>
    </row>
    <row r="1955" spans="3:7" x14ac:dyDescent="0.3">
      <c r="C1955"/>
      <c r="D1955"/>
      <c r="E1955"/>
      <c r="F1955"/>
      <c r="G1955"/>
    </row>
    <row r="1956" spans="3:7" x14ac:dyDescent="0.3">
      <c r="C1956"/>
      <c r="D1956"/>
      <c r="E1956"/>
      <c r="F1956"/>
      <c r="G1956"/>
    </row>
    <row r="1957" spans="3:7" x14ac:dyDescent="0.3">
      <c r="C1957"/>
      <c r="D1957"/>
      <c r="E1957"/>
      <c r="F1957"/>
      <c r="G1957"/>
    </row>
    <row r="1958" spans="3:7" x14ac:dyDescent="0.3">
      <c r="C1958"/>
      <c r="D1958"/>
      <c r="E1958"/>
      <c r="F1958"/>
      <c r="G1958"/>
    </row>
    <row r="1959" spans="3:7" x14ac:dyDescent="0.3">
      <c r="C1959"/>
      <c r="D1959"/>
      <c r="E1959"/>
      <c r="F1959"/>
      <c r="G1959"/>
    </row>
    <row r="1960" spans="3:7" x14ac:dyDescent="0.3">
      <c r="C1960"/>
      <c r="D1960"/>
      <c r="E1960"/>
      <c r="F1960"/>
      <c r="G1960"/>
    </row>
    <row r="1961" spans="3:7" x14ac:dyDescent="0.3">
      <c r="C1961"/>
      <c r="D1961"/>
      <c r="E1961"/>
      <c r="F1961"/>
      <c r="G1961"/>
    </row>
    <row r="1962" spans="3:7" x14ac:dyDescent="0.3">
      <c r="C1962"/>
      <c r="D1962"/>
      <c r="E1962"/>
      <c r="F1962"/>
      <c r="G1962"/>
    </row>
    <row r="1963" spans="3:7" x14ac:dyDescent="0.3">
      <c r="C1963"/>
      <c r="D1963"/>
      <c r="E1963"/>
      <c r="F1963"/>
      <c r="G1963"/>
    </row>
    <row r="1964" spans="3:7" x14ac:dyDescent="0.3">
      <c r="C1964"/>
      <c r="D1964"/>
      <c r="E1964"/>
      <c r="F1964"/>
      <c r="G1964"/>
    </row>
    <row r="1965" spans="3:7" x14ac:dyDescent="0.3">
      <c r="C1965"/>
      <c r="D1965"/>
      <c r="E1965"/>
      <c r="F1965"/>
      <c r="G1965"/>
    </row>
    <row r="1966" spans="3:7" x14ac:dyDescent="0.3">
      <c r="C1966"/>
      <c r="D1966"/>
      <c r="E1966"/>
      <c r="F1966"/>
      <c r="G1966"/>
    </row>
    <row r="1967" spans="3:7" x14ac:dyDescent="0.3">
      <c r="C1967"/>
      <c r="D1967"/>
      <c r="E1967"/>
      <c r="F1967"/>
      <c r="G1967"/>
    </row>
    <row r="1968" spans="3:7" x14ac:dyDescent="0.3">
      <c r="C1968"/>
      <c r="D1968"/>
      <c r="E1968"/>
      <c r="F1968"/>
      <c r="G1968"/>
    </row>
    <row r="1969" spans="3:7" x14ac:dyDescent="0.3">
      <c r="C1969"/>
      <c r="D1969"/>
      <c r="E1969"/>
      <c r="F1969"/>
      <c r="G1969"/>
    </row>
    <row r="1970" spans="3:7" x14ac:dyDescent="0.3">
      <c r="C1970"/>
      <c r="D1970"/>
      <c r="E1970"/>
      <c r="F1970"/>
      <c r="G1970"/>
    </row>
    <row r="1971" spans="3:7" x14ac:dyDescent="0.3">
      <c r="C1971"/>
      <c r="D1971"/>
      <c r="E1971"/>
      <c r="F1971"/>
      <c r="G1971"/>
    </row>
    <row r="1972" spans="3:7" x14ac:dyDescent="0.3">
      <c r="C1972"/>
      <c r="D1972"/>
      <c r="E1972"/>
      <c r="F1972"/>
      <c r="G1972"/>
    </row>
    <row r="1973" spans="3:7" x14ac:dyDescent="0.3">
      <c r="C1973"/>
      <c r="D1973"/>
      <c r="E1973"/>
      <c r="F1973"/>
      <c r="G1973"/>
    </row>
    <row r="1974" spans="3:7" x14ac:dyDescent="0.3">
      <c r="C1974"/>
      <c r="D1974"/>
      <c r="E1974"/>
      <c r="F1974"/>
      <c r="G1974"/>
    </row>
    <row r="1975" spans="3:7" x14ac:dyDescent="0.3">
      <c r="C1975"/>
      <c r="D1975"/>
      <c r="E1975"/>
      <c r="F1975"/>
      <c r="G1975"/>
    </row>
    <row r="1976" spans="3:7" x14ac:dyDescent="0.3">
      <c r="C1976"/>
      <c r="D1976"/>
      <c r="E1976"/>
      <c r="F1976"/>
      <c r="G1976"/>
    </row>
    <row r="1977" spans="3:7" x14ac:dyDescent="0.3">
      <c r="C1977"/>
      <c r="D1977"/>
      <c r="E1977"/>
      <c r="F1977"/>
      <c r="G1977"/>
    </row>
    <row r="1978" spans="3:7" x14ac:dyDescent="0.3">
      <c r="C1978"/>
      <c r="D1978"/>
      <c r="E1978"/>
      <c r="F1978"/>
      <c r="G1978"/>
    </row>
    <row r="1979" spans="3:7" x14ac:dyDescent="0.3">
      <c r="C1979"/>
      <c r="D1979"/>
      <c r="E1979"/>
      <c r="F1979"/>
      <c r="G1979"/>
    </row>
    <row r="1980" spans="3:7" x14ac:dyDescent="0.3">
      <c r="C1980"/>
      <c r="D1980"/>
      <c r="E1980"/>
      <c r="F1980"/>
      <c r="G1980"/>
    </row>
    <row r="1981" spans="3:7" x14ac:dyDescent="0.3">
      <c r="C1981"/>
      <c r="D1981"/>
      <c r="E1981"/>
      <c r="F1981"/>
      <c r="G1981"/>
    </row>
    <row r="1982" spans="3:7" x14ac:dyDescent="0.3">
      <c r="C1982"/>
      <c r="D1982"/>
      <c r="E1982"/>
      <c r="F1982"/>
      <c r="G1982"/>
    </row>
    <row r="1983" spans="3:7" x14ac:dyDescent="0.3">
      <c r="C1983"/>
      <c r="D1983"/>
      <c r="E1983"/>
      <c r="F1983"/>
      <c r="G1983"/>
    </row>
    <row r="1984" spans="3:7" x14ac:dyDescent="0.3">
      <c r="C1984"/>
      <c r="D1984"/>
      <c r="E1984"/>
      <c r="F1984"/>
      <c r="G1984"/>
    </row>
    <row r="1985" spans="3:7" x14ac:dyDescent="0.3">
      <c r="C1985"/>
      <c r="D1985"/>
      <c r="E1985"/>
      <c r="F1985"/>
      <c r="G1985"/>
    </row>
    <row r="1986" spans="3:7" x14ac:dyDescent="0.3">
      <c r="C1986"/>
      <c r="D1986"/>
      <c r="E1986"/>
      <c r="F1986"/>
      <c r="G1986"/>
    </row>
    <row r="1987" spans="3:7" x14ac:dyDescent="0.3">
      <c r="C1987"/>
      <c r="D1987"/>
      <c r="E1987"/>
      <c r="F1987"/>
      <c r="G1987"/>
    </row>
    <row r="1988" spans="3:7" x14ac:dyDescent="0.3">
      <c r="C1988"/>
      <c r="D1988"/>
      <c r="E1988"/>
      <c r="F1988"/>
      <c r="G1988"/>
    </row>
    <row r="1989" spans="3:7" x14ac:dyDescent="0.3">
      <c r="C1989"/>
      <c r="D1989"/>
      <c r="E1989"/>
      <c r="F1989"/>
      <c r="G1989"/>
    </row>
    <row r="1990" spans="3:7" x14ac:dyDescent="0.3">
      <c r="C1990"/>
      <c r="D1990"/>
      <c r="E1990"/>
      <c r="F1990"/>
      <c r="G1990"/>
    </row>
    <row r="1991" spans="3:7" x14ac:dyDescent="0.3">
      <c r="C1991"/>
      <c r="D1991"/>
      <c r="E1991"/>
      <c r="F1991"/>
      <c r="G1991"/>
    </row>
    <row r="1992" spans="3:7" x14ac:dyDescent="0.3">
      <c r="C1992"/>
      <c r="D1992"/>
      <c r="E1992"/>
      <c r="F1992"/>
      <c r="G1992"/>
    </row>
    <row r="1993" spans="3:7" x14ac:dyDescent="0.3">
      <c r="C1993"/>
      <c r="D1993"/>
      <c r="E1993"/>
      <c r="F1993"/>
      <c r="G1993"/>
    </row>
    <row r="1994" spans="3:7" x14ac:dyDescent="0.3">
      <c r="C1994"/>
      <c r="D1994"/>
      <c r="E1994"/>
      <c r="F1994"/>
      <c r="G1994"/>
    </row>
    <row r="1995" spans="3:7" x14ac:dyDescent="0.3">
      <c r="C1995"/>
      <c r="D1995"/>
      <c r="E1995"/>
      <c r="F1995"/>
      <c r="G1995"/>
    </row>
    <row r="1996" spans="3:7" x14ac:dyDescent="0.3">
      <c r="C1996"/>
      <c r="D1996"/>
      <c r="E1996"/>
      <c r="F1996"/>
      <c r="G1996"/>
    </row>
    <row r="1997" spans="3:7" x14ac:dyDescent="0.3">
      <c r="C1997"/>
      <c r="D1997"/>
      <c r="E1997"/>
      <c r="F1997"/>
      <c r="G1997"/>
    </row>
    <row r="1998" spans="3:7" x14ac:dyDescent="0.3">
      <c r="C1998"/>
      <c r="D1998"/>
      <c r="E1998"/>
      <c r="F1998"/>
      <c r="G1998"/>
    </row>
    <row r="1999" spans="3:7" x14ac:dyDescent="0.3">
      <c r="C1999"/>
      <c r="D1999"/>
      <c r="E1999"/>
      <c r="F1999"/>
      <c r="G1999"/>
    </row>
    <row r="2000" spans="3:7" x14ac:dyDescent="0.3">
      <c r="C2000"/>
      <c r="D2000"/>
      <c r="E2000"/>
      <c r="F2000"/>
      <c r="G2000"/>
    </row>
    <row r="2001" spans="3:7" x14ac:dyDescent="0.3">
      <c r="C2001"/>
      <c r="D2001"/>
      <c r="E2001"/>
      <c r="F2001"/>
      <c r="G2001"/>
    </row>
    <row r="2002" spans="3:7" x14ac:dyDescent="0.3">
      <c r="C2002"/>
      <c r="D2002"/>
      <c r="E2002"/>
      <c r="F2002"/>
      <c r="G2002"/>
    </row>
    <row r="2003" spans="3:7" x14ac:dyDescent="0.3">
      <c r="C2003"/>
      <c r="D2003"/>
      <c r="E2003"/>
      <c r="F2003"/>
      <c r="G2003"/>
    </row>
    <row r="2004" spans="3:7" x14ac:dyDescent="0.3">
      <c r="C2004"/>
      <c r="D2004"/>
      <c r="E2004"/>
      <c r="F2004"/>
      <c r="G2004"/>
    </row>
    <row r="2005" spans="3:7" x14ac:dyDescent="0.3">
      <c r="C2005"/>
      <c r="D2005"/>
      <c r="E2005"/>
      <c r="F2005"/>
      <c r="G2005"/>
    </row>
    <row r="2006" spans="3:7" x14ac:dyDescent="0.3">
      <c r="C2006"/>
      <c r="D2006"/>
      <c r="E2006"/>
      <c r="F2006"/>
      <c r="G2006"/>
    </row>
    <row r="2007" spans="3:7" x14ac:dyDescent="0.3">
      <c r="C2007"/>
      <c r="D2007"/>
      <c r="E2007"/>
      <c r="F2007"/>
      <c r="G2007"/>
    </row>
    <row r="2008" spans="3:7" x14ac:dyDescent="0.3">
      <c r="C2008"/>
      <c r="D2008"/>
      <c r="E2008"/>
      <c r="F2008"/>
      <c r="G2008"/>
    </row>
    <row r="2009" spans="3:7" x14ac:dyDescent="0.3">
      <c r="C2009"/>
      <c r="D2009"/>
      <c r="E2009"/>
      <c r="F2009"/>
      <c r="G2009"/>
    </row>
    <row r="2010" spans="3:7" x14ac:dyDescent="0.3">
      <c r="C2010"/>
      <c r="D2010"/>
      <c r="E2010"/>
      <c r="F2010"/>
      <c r="G2010"/>
    </row>
    <row r="2011" spans="3:7" x14ac:dyDescent="0.3">
      <c r="C2011"/>
      <c r="D2011"/>
      <c r="E2011"/>
      <c r="F2011"/>
      <c r="G2011"/>
    </row>
    <row r="2012" spans="3:7" x14ac:dyDescent="0.3">
      <c r="C2012"/>
      <c r="D2012"/>
      <c r="E2012"/>
      <c r="F2012"/>
      <c r="G2012"/>
    </row>
    <row r="2013" spans="3:7" x14ac:dyDescent="0.3">
      <c r="C2013"/>
      <c r="D2013"/>
      <c r="E2013"/>
      <c r="F2013"/>
      <c r="G2013"/>
    </row>
    <row r="2014" spans="3:7" x14ac:dyDescent="0.3">
      <c r="C2014"/>
      <c r="D2014"/>
      <c r="E2014"/>
      <c r="F2014"/>
      <c r="G2014"/>
    </row>
    <row r="2015" spans="3:7" x14ac:dyDescent="0.3">
      <c r="C2015"/>
      <c r="D2015"/>
      <c r="E2015"/>
      <c r="F2015"/>
      <c r="G2015"/>
    </row>
    <row r="2016" spans="3:7" x14ac:dyDescent="0.3">
      <c r="C2016"/>
      <c r="D2016"/>
      <c r="E2016"/>
      <c r="F2016"/>
      <c r="G2016"/>
    </row>
    <row r="2017" spans="3:7" x14ac:dyDescent="0.3">
      <c r="C2017"/>
      <c r="D2017"/>
      <c r="E2017"/>
      <c r="F2017"/>
      <c r="G2017"/>
    </row>
    <row r="2018" spans="3:7" x14ac:dyDescent="0.3">
      <c r="C2018"/>
      <c r="D2018"/>
      <c r="E2018"/>
      <c r="F2018"/>
      <c r="G2018"/>
    </row>
    <row r="2019" spans="3:7" x14ac:dyDescent="0.3">
      <c r="C2019"/>
      <c r="D2019"/>
      <c r="E2019"/>
      <c r="F2019"/>
      <c r="G2019"/>
    </row>
    <row r="2020" spans="3:7" x14ac:dyDescent="0.3">
      <c r="C2020"/>
      <c r="D2020"/>
      <c r="E2020"/>
      <c r="F2020"/>
      <c r="G2020"/>
    </row>
    <row r="2021" spans="3:7" x14ac:dyDescent="0.3">
      <c r="C2021"/>
      <c r="D2021"/>
      <c r="E2021"/>
      <c r="F2021"/>
      <c r="G2021"/>
    </row>
    <row r="2022" spans="3:7" x14ac:dyDescent="0.3">
      <c r="C2022"/>
      <c r="D2022"/>
      <c r="E2022"/>
      <c r="F2022"/>
      <c r="G2022"/>
    </row>
    <row r="2023" spans="3:7" x14ac:dyDescent="0.3">
      <c r="C2023"/>
      <c r="D2023"/>
      <c r="E2023"/>
      <c r="F2023"/>
      <c r="G2023"/>
    </row>
    <row r="2024" spans="3:7" x14ac:dyDescent="0.3">
      <c r="C2024"/>
      <c r="D2024"/>
      <c r="E2024"/>
      <c r="F2024"/>
      <c r="G2024"/>
    </row>
    <row r="2025" spans="3:7" x14ac:dyDescent="0.3">
      <c r="C2025"/>
      <c r="D2025"/>
      <c r="E2025"/>
      <c r="F2025"/>
      <c r="G2025"/>
    </row>
    <row r="2026" spans="3:7" x14ac:dyDescent="0.3">
      <c r="C2026"/>
      <c r="D2026"/>
      <c r="E2026"/>
      <c r="F2026"/>
      <c r="G2026"/>
    </row>
    <row r="2027" spans="3:7" x14ac:dyDescent="0.3">
      <c r="C2027"/>
      <c r="D2027"/>
      <c r="E2027"/>
      <c r="F2027"/>
      <c r="G2027"/>
    </row>
    <row r="2028" spans="3:7" x14ac:dyDescent="0.3">
      <c r="C2028"/>
      <c r="D2028"/>
      <c r="E2028"/>
      <c r="F2028"/>
      <c r="G2028"/>
    </row>
    <row r="2029" spans="3:7" x14ac:dyDescent="0.3">
      <c r="C2029"/>
      <c r="D2029"/>
      <c r="E2029"/>
      <c r="F2029"/>
      <c r="G2029"/>
    </row>
    <row r="2030" spans="3:7" x14ac:dyDescent="0.3">
      <c r="C2030"/>
      <c r="D2030"/>
      <c r="E2030"/>
      <c r="F2030"/>
      <c r="G2030"/>
    </row>
    <row r="2031" spans="3:7" x14ac:dyDescent="0.3">
      <c r="C2031"/>
      <c r="D2031"/>
      <c r="E2031"/>
      <c r="F2031"/>
      <c r="G2031"/>
    </row>
    <row r="2032" spans="3:7" x14ac:dyDescent="0.3">
      <c r="C2032"/>
      <c r="D2032"/>
      <c r="E2032"/>
      <c r="F2032"/>
      <c r="G2032"/>
    </row>
    <row r="2033" spans="3:7" x14ac:dyDescent="0.3">
      <c r="C2033"/>
      <c r="D2033"/>
      <c r="E2033"/>
      <c r="F2033"/>
      <c r="G2033"/>
    </row>
    <row r="2034" spans="3:7" x14ac:dyDescent="0.3">
      <c r="C2034"/>
      <c r="D2034"/>
      <c r="E2034"/>
      <c r="F2034"/>
      <c r="G2034"/>
    </row>
    <row r="2035" spans="3:7" x14ac:dyDescent="0.3">
      <c r="C2035"/>
      <c r="D2035"/>
      <c r="E2035"/>
      <c r="F2035"/>
      <c r="G2035"/>
    </row>
    <row r="2036" spans="3:7" x14ac:dyDescent="0.3">
      <c r="C2036"/>
      <c r="D2036"/>
      <c r="E2036"/>
      <c r="F2036"/>
      <c r="G2036"/>
    </row>
    <row r="2037" spans="3:7" x14ac:dyDescent="0.3">
      <c r="C2037"/>
      <c r="D2037"/>
      <c r="E2037"/>
      <c r="F2037"/>
      <c r="G2037"/>
    </row>
    <row r="2038" spans="3:7" x14ac:dyDescent="0.3">
      <c r="C2038"/>
      <c r="D2038"/>
      <c r="E2038"/>
      <c r="F2038"/>
      <c r="G2038"/>
    </row>
    <row r="2039" spans="3:7" x14ac:dyDescent="0.3">
      <c r="C2039"/>
      <c r="D2039"/>
      <c r="E2039"/>
      <c r="F2039"/>
      <c r="G2039"/>
    </row>
    <row r="2040" spans="3:7" x14ac:dyDescent="0.3">
      <c r="C2040"/>
      <c r="D2040"/>
      <c r="E2040"/>
      <c r="F2040"/>
      <c r="G2040"/>
    </row>
    <row r="2041" spans="3:7" x14ac:dyDescent="0.3">
      <c r="C2041"/>
      <c r="D2041"/>
      <c r="E2041"/>
      <c r="F2041"/>
      <c r="G2041"/>
    </row>
    <row r="2042" spans="3:7" x14ac:dyDescent="0.3">
      <c r="C2042"/>
      <c r="D2042"/>
      <c r="E2042"/>
      <c r="F2042"/>
      <c r="G2042"/>
    </row>
    <row r="2043" spans="3:7" x14ac:dyDescent="0.3">
      <c r="C2043"/>
      <c r="D2043"/>
      <c r="E2043"/>
      <c r="F2043"/>
      <c r="G2043"/>
    </row>
    <row r="2044" spans="3:7" x14ac:dyDescent="0.3">
      <c r="C2044"/>
      <c r="D2044"/>
      <c r="E2044"/>
      <c r="F2044"/>
      <c r="G2044"/>
    </row>
    <row r="2045" spans="3:7" x14ac:dyDescent="0.3">
      <c r="C2045"/>
      <c r="D2045"/>
      <c r="E2045"/>
      <c r="F2045"/>
      <c r="G2045"/>
    </row>
    <row r="2046" spans="3:7" x14ac:dyDescent="0.3">
      <c r="C2046"/>
      <c r="D2046"/>
      <c r="E2046"/>
      <c r="F2046"/>
      <c r="G2046"/>
    </row>
    <row r="2047" spans="3:7" x14ac:dyDescent="0.3">
      <c r="C2047"/>
      <c r="D2047"/>
      <c r="E2047"/>
      <c r="F2047"/>
      <c r="G2047"/>
    </row>
    <row r="2048" spans="3:7" x14ac:dyDescent="0.3">
      <c r="C2048"/>
      <c r="D2048"/>
      <c r="E2048"/>
      <c r="F2048"/>
      <c r="G2048"/>
    </row>
    <row r="2049" spans="3:7" x14ac:dyDescent="0.3">
      <c r="C2049"/>
      <c r="D2049"/>
      <c r="E2049"/>
      <c r="F2049"/>
      <c r="G2049"/>
    </row>
    <row r="2050" spans="3:7" x14ac:dyDescent="0.3">
      <c r="C2050"/>
      <c r="D2050"/>
      <c r="E2050"/>
      <c r="F2050"/>
      <c r="G2050"/>
    </row>
    <row r="2051" spans="3:7" x14ac:dyDescent="0.3">
      <c r="C2051"/>
      <c r="D2051"/>
      <c r="E2051"/>
      <c r="F2051"/>
      <c r="G2051"/>
    </row>
    <row r="2052" spans="3:7" x14ac:dyDescent="0.3">
      <c r="C2052"/>
      <c r="D2052"/>
      <c r="E2052"/>
      <c r="F2052"/>
      <c r="G2052"/>
    </row>
    <row r="2053" spans="3:7" x14ac:dyDescent="0.3">
      <c r="C2053"/>
      <c r="D2053"/>
      <c r="E2053"/>
      <c r="F2053"/>
      <c r="G2053"/>
    </row>
    <row r="2054" spans="3:7" x14ac:dyDescent="0.3">
      <c r="C2054"/>
      <c r="D2054"/>
      <c r="E2054"/>
      <c r="F2054"/>
      <c r="G2054"/>
    </row>
    <row r="2055" spans="3:7" x14ac:dyDescent="0.3">
      <c r="C2055"/>
      <c r="D2055"/>
      <c r="E2055"/>
      <c r="F2055"/>
      <c r="G2055"/>
    </row>
    <row r="2056" spans="3:7" x14ac:dyDescent="0.3">
      <c r="C2056"/>
      <c r="D2056"/>
      <c r="E2056"/>
      <c r="F2056"/>
      <c r="G2056"/>
    </row>
    <row r="2057" spans="3:7" x14ac:dyDescent="0.3">
      <c r="C2057"/>
      <c r="D2057"/>
      <c r="E2057"/>
      <c r="F2057"/>
      <c r="G2057"/>
    </row>
    <row r="2058" spans="3:7" x14ac:dyDescent="0.3">
      <c r="C2058"/>
      <c r="D2058"/>
      <c r="E2058"/>
      <c r="F2058"/>
      <c r="G2058"/>
    </row>
    <row r="2059" spans="3:7" x14ac:dyDescent="0.3">
      <c r="C2059"/>
      <c r="D2059"/>
      <c r="E2059"/>
      <c r="F2059"/>
      <c r="G2059"/>
    </row>
    <row r="2060" spans="3:7" x14ac:dyDescent="0.3">
      <c r="C2060"/>
      <c r="D2060"/>
      <c r="E2060"/>
      <c r="F2060"/>
      <c r="G2060"/>
    </row>
    <row r="2061" spans="3:7" x14ac:dyDescent="0.3">
      <c r="C2061"/>
      <c r="D2061"/>
      <c r="E2061"/>
      <c r="F2061"/>
      <c r="G2061"/>
    </row>
    <row r="2062" spans="3:7" x14ac:dyDescent="0.3">
      <c r="C2062"/>
      <c r="D2062"/>
      <c r="E2062"/>
      <c r="F2062"/>
      <c r="G2062"/>
    </row>
    <row r="2063" spans="3:7" x14ac:dyDescent="0.3">
      <c r="C2063"/>
      <c r="D2063"/>
      <c r="E2063"/>
      <c r="F2063"/>
      <c r="G2063"/>
    </row>
    <row r="2064" spans="3:7" x14ac:dyDescent="0.3">
      <c r="C2064"/>
      <c r="D2064"/>
      <c r="E2064"/>
      <c r="F2064"/>
      <c r="G2064"/>
    </row>
    <row r="2065" spans="3:7" x14ac:dyDescent="0.3">
      <c r="C2065"/>
      <c r="D2065"/>
      <c r="E2065"/>
      <c r="F2065"/>
      <c r="G2065"/>
    </row>
    <row r="2066" spans="3:7" x14ac:dyDescent="0.3">
      <c r="C2066"/>
      <c r="D2066"/>
      <c r="E2066"/>
      <c r="F2066"/>
      <c r="G2066"/>
    </row>
    <row r="2067" spans="3:7" x14ac:dyDescent="0.3">
      <c r="C2067"/>
      <c r="D2067"/>
      <c r="E2067"/>
      <c r="F2067"/>
      <c r="G2067"/>
    </row>
    <row r="2068" spans="3:7" x14ac:dyDescent="0.3">
      <c r="C2068"/>
      <c r="D2068"/>
      <c r="E2068"/>
      <c r="F2068"/>
      <c r="G2068"/>
    </row>
    <row r="2069" spans="3:7" x14ac:dyDescent="0.3">
      <c r="C2069"/>
      <c r="D2069"/>
      <c r="E2069"/>
      <c r="F2069"/>
      <c r="G2069"/>
    </row>
    <row r="2070" spans="3:7" x14ac:dyDescent="0.3">
      <c r="C2070"/>
      <c r="D2070"/>
      <c r="E2070"/>
      <c r="F2070"/>
      <c r="G2070"/>
    </row>
    <row r="2071" spans="3:7" x14ac:dyDescent="0.3">
      <c r="C2071"/>
      <c r="D2071"/>
      <c r="E2071"/>
      <c r="F2071"/>
      <c r="G2071"/>
    </row>
    <row r="2072" spans="3:7" x14ac:dyDescent="0.3">
      <c r="C2072"/>
      <c r="D2072"/>
      <c r="E2072"/>
      <c r="F2072"/>
      <c r="G2072"/>
    </row>
    <row r="2073" spans="3:7" x14ac:dyDescent="0.3">
      <c r="C2073"/>
      <c r="D2073"/>
      <c r="E2073"/>
      <c r="F2073"/>
      <c r="G2073"/>
    </row>
    <row r="2074" spans="3:7" x14ac:dyDescent="0.3">
      <c r="C2074"/>
      <c r="D2074"/>
      <c r="E2074"/>
      <c r="F2074"/>
      <c r="G2074"/>
    </row>
    <row r="2075" spans="3:7" x14ac:dyDescent="0.3">
      <c r="C2075"/>
      <c r="D2075"/>
      <c r="E2075"/>
      <c r="F2075"/>
      <c r="G2075"/>
    </row>
    <row r="2076" spans="3:7" x14ac:dyDescent="0.3">
      <c r="C2076"/>
      <c r="D2076"/>
      <c r="E2076"/>
      <c r="F2076"/>
      <c r="G2076"/>
    </row>
    <row r="2077" spans="3:7" x14ac:dyDescent="0.3">
      <c r="C2077"/>
      <c r="D2077"/>
      <c r="E2077"/>
      <c r="F2077"/>
      <c r="G2077"/>
    </row>
    <row r="2078" spans="3:7" x14ac:dyDescent="0.3">
      <c r="C2078"/>
      <c r="D2078"/>
      <c r="E2078"/>
      <c r="F2078"/>
      <c r="G2078"/>
    </row>
    <row r="2079" spans="3:7" x14ac:dyDescent="0.3">
      <c r="C2079"/>
      <c r="D2079"/>
      <c r="E2079"/>
      <c r="F2079"/>
      <c r="G2079"/>
    </row>
    <row r="2080" spans="3:7" x14ac:dyDescent="0.3">
      <c r="C2080"/>
      <c r="D2080"/>
      <c r="E2080"/>
      <c r="F2080"/>
      <c r="G2080"/>
    </row>
    <row r="2081" spans="3:7" x14ac:dyDescent="0.3">
      <c r="C2081"/>
      <c r="D2081"/>
      <c r="E2081"/>
      <c r="F2081"/>
      <c r="G2081"/>
    </row>
    <row r="2082" spans="3:7" x14ac:dyDescent="0.3">
      <c r="C2082"/>
      <c r="D2082"/>
      <c r="E2082"/>
      <c r="F2082"/>
      <c r="G2082"/>
    </row>
    <row r="2083" spans="3:7" x14ac:dyDescent="0.3">
      <c r="C2083"/>
      <c r="D2083"/>
      <c r="E2083"/>
      <c r="F2083"/>
      <c r="G2083"/>
    </row>
    <row r="2084" spans="3:7" x14ac:dyDescent="0.3">
      <c r="C2084"/>
      <c r="D2084"/>
      <c r="E2084"/>
      <c r="F2084"/>
      <c r="G2084"/>
    </row>
    <row r="2085" spans="3:7" x14ac:dyDescent="0.3">
      <c r="C2085"/>
      <c r="D2085"/>
      <c r="E2085"/>
      <c r="F2085"/>
      <c r="G2085"/>
    </row>
    <row r="2086" spans="3:7" x14ac:dyDescent="0.3">
      <c r="C2086"/>
      <c r="D2086"/>
      <c r="E2086"/>
      <c r="F2086"/>
      <c r="G2086"/>
    </row>
    <row r="2087" spans="3:7" x14ac:dyDescent="0.3">
      <c r="C2087"/>
      <c r="D2087"/>
      <c r="E2087"/>
      <c r="F2087"/>
      <c r="G2087"/>
    </row>
    <row r="2088" spans="3:7" x14ac:dyDescent="0.3">
      <c r="C2088"/>
      <c r="D2088"/>
      <c r="E2088"/>
      <c r="F2088"/>
      <c r="G2088"/>
    </row>
    <row r="2089" spans="3:7" x14ac:dyDescent="0.3">
      <c r="C2089"/>
      <c r="D2089"/>
      <c r="E2089"/>
      <c r="F2089"/>
      <c r="G2089"/>
    </row>
    <row r="2090" spans="3:7" x14ac:dyDescent="0.3">
      <c r="C2090"/>
      <c r="D2090"/>
      <c r="E2090"/>
      <c r="F2090"/>
      <c r="G2090"/>
    </row>
    <row r="2091" spans="3:7" x14ac:dyDescent="0.3">
      <c r="C2091"/>
      <c r="D2091"/>
      <c r="E2091"/>
      <c r="F2091"/>
      <c r="G2091"/>
    </row>
    <row r="2092" spans="3:7" x14ac:dyDescent="0.3">
      <c r="C2092"/>
      <c r="D2092"/>
      <c r="E2092"/>
      <c r="F2092"/>
      <c r="G2092"/>
    </row>
    <row r="2093" spans="3:7" x14ac:dyDescent="0.3">
      <c r="C2093"/>
      <c r="D2093"/>
      <c r="E2093"/>
      <c r="F2093"/>
      <c r="G2093"/>
    </row>
    <row r="2094" spans="3:7" x14ac:dyDescent="0.3">
      <c r="C2094"/>
      <c r="D2094"/>
      <c r="E2094"/>
      <c r="F2094"/>
      <c r="G2094"/>
    </row>
    <row r="2095" spans="3:7" x14ac:dyDescent="0.3">
      <c r="C2095"/>
      <c r="D2095"/>
      <c r="E2095"/>
      <c r="F2095"/>
      <c r="G2095"/>
    </row>
    <row r="2096" spans="3:7" x14ac:dyDescent="0.3">
      <c r="C2096"/>
      <c r="D2096"/>
      <c r="E2096"/>
      <c r="F2096"/>
      <c r="G2096"/>
    </row>
    <row r="2097" spans="3:7" x14ac:dyDescent="0.3">
      <c r="C2097"/>
      <c r="D2097"/>
      <c r="E2097"/>
      <c r="F2097"/>
      <c r="G2097"/>
    </row>
    <row r="2098" spans="3:7" x14ac:dyDescent="0.3">
      <c r="C2098"/>
      <c r="D2098"/>
      <c r="E2098"/>
      <c r="F2098"/>
      <c r="G2098"/>
    </row>
    <row r="2099" spans="3:7" x14ac:dyDescent="0.3">
      <c r="C2099"/>
      <c r="D2099"/>
      <c r="E2099"/>
      <c r="F2099"/>
      <c r="G2099"/>
    </row>
    <row r="2100" spans="3:7" x14ac:dyDescent="0.3">
      <c r="C2100"/>
      <c r="D2100"/>
      <c r="E2100"/>
      <c r="F2100"/>
      <c r="G2100"/>
    </row>
    <row r="2101" spans="3:7" x14ac:dyDescent="0.3">
      <c r="C2101"/>
      <c r="D2101"/>
      <c r="E2101"/>
      <c r="F2101"/>
      <c r="G2101"/>
    </row>
    <row r="2102" spans="3:7" x14ac:dyDescent="0.3">
      <c r="C2102"/>
      <c r="D2102"/>
      <c r="E2102"/>
      <c r="F2102"/>
      <c r="G2102"/>
    </row>
    <row r="2103" spans="3:7" x14ac:dyDescent="0.3">
      <c r="C2103"/>
      <c r="D2103"/>
      <c r="E2103"/>
      <c r="F2103"/>
      <c r="G2103"/>
    </row>
    <row r="2104" spans="3:7" x14ac:dyDescent="0.3">
      <c r="C2104"/>
      <c r="D2104"/>
      <c r="E2104"/>
      <c r="F2104"/>
      <c r="G2104"/>
    </row>
    <row r="2105" spans="3:7" x14ac:dyDescent="0.3">
      <c r="C2105"/>
      <c r="D2105"/>
      <c r="E2105"/>
      <c r="F2105"/>
      <c r="G2105"/>
    </row>
    <row r="2106" spans="3:7" x14ac:dyDescent="0.3">
      <c r="C2106"/>
      <c r="D2106"/>
      <c r="E2106"/>
      <c r="F2106"/>
      <c r="G2106"/>
    </row>
    <row r="2107" spans="3:7" x14ac:dyDescent="0.3">
      <c r="C2107"/>
      <c r="D2107"/>
      <c r="E2107"/>
      <c r="F2107"/>
      <c r="G2107"/>
    </row>
    <row r="2108" spans="3:7" x14ac:dyDescent="0.3">
      <c r="C2108"/>
      <c r="D2108"/>
      <c r="E2108"/>
      <c r="F2108"/>
      <c r="G2108"/>
    </row>
    <row r="2109" spans="3:7" x14ac:dyDescent="0.3">
      <c r="C2109"/>
      <c r="D2109"/>
      <c r="E2109"/>
      <c r="F2109"/>
      <c r="G2109"/>
    </row>
    <row r="2110" spans="3:7" x14ac:dyDescent="0.3">
      <c r="C2110"/>
      <c r="D2110"/>
      <c r="E2110"/>
      <c r="F2110"/>
      <c r="G2110"/>
    </row>
    <row r="2111" spans="3:7" x14ac:dyDescent="0.3">
      <c r="C2111"/>
      <c r="D2111"/>
      <c r="E2111"/>
      <c r="F2111"/>
      <c r="G2111"/>
    </row>
    <row r="2112" spans="3:7" x14ac:dyDescent="0.3">
      <c r="C2112"/>
      <c r="D2112"/>
      <c r="E2112"/>
      <c r="F2112"/>
      <c r="G2112"/>
    </row>
    <row r="2113" spans="3:7" x14ac:dyDescent="0.3">
      <c r="C2113"/>
      <c r="D2113"/>
      <c r="E2113"/>
      <c r="F2113"/>
      <c r="G2113"/>
    </row>
    <row r="2114" spans="3:7" x14ac:dyDescent="0.3">
      <c r="C2114"/>
      <c r="D2114"/>
      <c r="E2114"/>
      <c r="F2114"/>
      <c r="G2114"/>
    </row>
    <row r="2115" spans="3:7" x14ac:dyDescent="0.3">
      <c r="C2115"/>
      <c r="D2115"/>
      <c r="E2115"/>
      <c r="F2115"/>
      <c r="G2115"/>
    </row>
    <row r="2116" spans="3:7" x14ac:dyDescent="0.3">
      <c r="C2116"/>
      <c r="D2116"/>
      <c r="E2116"/>
      <c r="F2116"/>
      <c r="G2116"/>
    </row>
  </sheetData>
  <mergeCells count="6">
    <mergeCell ref="V157:AC157"/>
    <mergeCell ref="A2:H2"/>
    <mergeCell ref="L2:R2"/>
    <mergeCell ref="V12:AB12"/>
    <mergeCell ref="V39:AB39"/>
    <mergeCell ref="V65:AC65"/>
  </mergeCells>
  <conditionalFormatting pivot="1" sqref="Y18">
    <cfRule type="cellIs" dxfId="305" priority="6" operator="lessThan">
      <formula>0</formula>
    </cfRule>
  </conditionalFormatting>
  <conditionalFormatting pivot="1" sqref="Z68:Z69">
    <cfRule type="cellIs" dxfId="304" priority="5" operator="lessThan">
      <formula>0</formula>
    </cfRule>
  </conditionalFormatting>
  <conditionalFormatting pivot="1" sqref="W68">
    <cfRule type="dataBar" priority="4">
      <dataBar>
        <cfvo type="min"/>
        <cfvo type="max"/>
        <color theme="0" tint="-0.34998626667073579"/>
      </dataBar>
      <extLst>
        <ext xmlns:x14="http://schemas.microsoft.com/office/spreadsheetml/2009/9/main" uri="{B025F937-C7B1-47D3-B67F-A62EFF666E3E}">
          <x14:id>{CF582D80-8CC0-4EAE-8FF0-5FDBBBCD2F55}</x14:id>
        </ext>
      </extLst>
    </cfRule>
  </conditionalFormatting>
  <conditionalFormatting pivot="1">
    <cfRule type="dataBar" priority="3">
      <dataBar>
        <cfvo type="min"/>
        <cfvo type="max"/>
        <color rgb="FF63C384"/>
      </dataBar>
      <extLst>
        <ext xmlns:x14="http://schemas.microsoft.com/office/spreadsheetml/2009/9/main" uri="{B025F937-C7B1-47D3-B67F-A62EFF666E3E}">
          <x14:id>{69CB3C2B-0965-4CE3-ABB4-47E77D164148}</x14:id>
        </ext>
      </extLst>
    </cfRule>
  </conditionalFormatting>
  <conditionalFormatting pivot="1">
    <cfRule type="dataBar" priority="2">
      <dataBar>
        <cfvo type="min"/>
        <cfvo type="max"/>
        <color rgb="FFFFB628"/>
      </dataBar>
      <extLst>
        <ext xmlns:x14="http://schemas.microsoft.com/office/spreadsheetml/2009/9/main" uri="{B025F937-C7B1-47D3-B67F-A62EFF666E3E}">
          <x14:id>{BD8C0D6E-D8B3-4DA8-BE6A-E8A88010D142}</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CF582D80-8CC0-4EAE-8FF0-5FDBBBCD2F55}">
            <x14:dataBar minLength="0" maxLength="100" border="1" negativeBarBorderColorSameAsPositive="0">
              <x14:cfvo type="autoMin"/>
              <x14:cfvo type="autoMax"/>
              <x14:borderColor theme="0" tint="-0.249977111117893"/>
              <x14:negativeFillColor rgb="FFFF0000"/>
              <x14:negativeBorderColor rgb="FFFF0000"/>
              <x14:axisColor rgb="FF000000"/>
            </x14:dataBar>
          </x14:cfRule>
          <xm:sqref>W68</xm:sqref>
        </x14:conditionalFormatting>
        <x14:conditionalFormatting xmlns:xm="http://schemas.microsoft.com/office/excel/2006/main" pivot="1">
          <x14:cfRule type="dataBar" id="{69CB3C2B-0965-4CE3-ABB4-47E77D164148}">
            <x14:dataBar minLength="0" maxLength="100" border="1" negativeBarBorderColorSameAsPositive="0">
              <x14:cfvo type="autoMin"/>
              <x14:cfvo type="autoMax"/>
              <x14:borderColor rgb="FF63C384"/>
              <x14:negativeFillColor rgb="FFFF0000"/>
              <x14:negativeBorderColor rgb="FFFF0000"/>
              <x14:axisColor rgb="FF000000"/>
            </x14:dataBar>
          </x14:cfRule>
        </x14:conditionalFormatting>
        <x14:conditionalFormatting xmlns:xm="http://schemas.microsoft.com/office/excel/2006/main" pivot="1">
          <x14:cfRule type="dataBar" id="{BD8C0D6E-D8B3-4DA8-BE6A-E8A88010D142}">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s>
    </ex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BA823-5791-40A0-9D74-A40537D2AE8D}">
  <sheetPr>
    <tabColor rgb="FFFFFF00"/>
  </sheetPr>
  <dimension ref="A1:U1053"/>
  <sheetViews>
    <sheetView showGridLines="0" zoomScale="80" zoomScaleNormal="80" workbookViewId="0">
      <selection activeCell="D15" sqref="D15"/>
    </sheetView>
  </sheetViews>
  <sheetFormatPr defaultRowHeight="14.4" x14ac:dyDescent="0.3"/>
  <cols>
    <col min="1" max="1" width="36.33203125" bestFit="1" customWidth="1"/>
    <col min="2" max="2" width="12.88671875" bestFit="1" customWidth="1"/>
    <col min="3" max="3" width="9.44140625" bestFit="1" customWidth="1"/>
    <col min="4" max="4" width="16.33203125" bestFit="1" customWidth="1"/>
    <col min="5" max="5" width="19.44140625" bestFit="1" customWidth="1"/>
    <col min="6" max="6" width="28.77734375" bestFit="1" customWidth="1"/>
    <col min="7" max="7" width="14.21875" bestFit="1" customWidth="1"/>
    <col min="8" max="8" width="9.44140625" bestFit="1" customWidth="1"/>
    <col min="9" max="9" width="10.5546875" bestFit="1" customWidth="1"/>
    <col min="10" max="10" width="7.44140625" bestFit="1" customWidth="1"/>
    <col min="11" max="11" width="10.33203125" bestFit="1" customWidth="1"/>
    <col min="12" max="12" width="12.6640625" bestFit="1" customWidth="1"/>
    <col min="13" max="13" width="11.109375" bestFit="1" customWidth="1"/>
    <col min="21" max="21" width="72.77734375" bestFit="1" customWidth="1"/>
  </cols>
  <sheetData>
    <row r="1" spans="1:21" ht="18.600000000000001" thickBot="1" x14ac:dyDescent="0.4">
      <c r="A1" s="41" t="s">
        <v>1821</v>
      </c>
      <c r="B1" s="42"/>
      <c r="C1" s="42"/>
      <c r="D1" s="42"/>
      <c r="E1" s="42"/>
      <c r="F1" s="42"/>
      <c r="G1" s="42"/>
      <c r="H1" s="42"/>
      <c r="I1" s="42"/>
      <c r="J1" s="42"/>
      <c r="K1" s="42"/>
      <c r="L1" s="42"/>
      <c r="M1" s="43"/>
    </row>
    <row r="3" spans="1:21" ht="15.6" x14ac:dyDescent="0.3">
      <c r="A3" s="49" t="s">
        <v>1820</v>
      </c>
      <c r="B3" s="49" t="s">
        <v>2</v>
      </c>
      <c r="C3" s="49" t="s">
        <v>3</v>
      </c>
      <c r="D3" s="49" t="s">
        <v>4</v>
      </c>
      <c r="E3" s="49" t="s">
        <v>5</v>
      </c>
      <c r="F3" s="49" t="s">
        <v>6</v>
      </c>
      <c r="G3" s="49" t="s">
        <v>7</v>
      </c>
      <c r="H3" s="49" t="s">
        <v>8</v>
      </c>
      <c r="I3" s="49" t="s">
        <v>9</v>
      </c>
      <c r="J3" s="49" t="s">
        <v>10</v>
      </c>
      <c r="K3" s="49" t="s">
        <v>11</v>
      </c>
      <c r="L3" s="49" t="s">
        <v>12</v>
      </c>
      <c r="M3" s="49" t="s">
        <v>13</v>
      </c>
      <c r="U3" s="23" t="s">
        <v>1</v>
      </c>
    </row>
    <row r="4" spans="1:21" x14ac:dyDescent="0.3">
      <c r="A4" s="28" t="s">
        <v>33</v>
      </c>
      <c r="B4" s="26">
        <f>VLOOKUP($A4,Table1[[#All],[Title]:[Oscar Wins]],COLUMNS($A$3:B3),0)</f>
        <v>35818</v>
      </c>
      <c r="C4" s="27">
        <f>VLOOKUP($A4,Table1[[#All],[Title]:[Oscar Wins]],COLUMNS($A$3:C3),0)</f>
        <v>194</v>
      </c>
      <c r="D4" s="27" t="str">
        <f>VLOOKUP($A4,Table1[[#All],[Title]:[Oscar Wins]],COLUMNS($A$3:D3),0)</f>
        <v>Romance</v>
      </c>
      <c r="E4" s="27" t="str">
        <f>VLOOKUP($A4,Table1[[#All],[Title]:[Oscar Wins]],COLUMNS($A$3:E3),0)</f>
        <v>James Cameron</v>
      </c>
      <c r="F4" s="27" t="str">
        <f>VLOOKUP($A4,Table1[[#All],[Title]:[Oscar Wins]],COLUMNS($A$3:F3),0)</f>
        <v>20th Century Fox</v>
      </c>
      <c r="G4" s="27" t="str">
        <f>VLOOKUP($A4,Table1[[#All],[Title]:[Oscar Wins]],COLUMNS($A$3:G3),0)</f>
        <v>United States</v>
      </c>
      <c r="H4" s="27" t="str">
        <f>VLOOKUP($A4,Table1[[#All],[Title]:[Oscar Wins]],COLUMNS($A$3:H3),0)</f>
        <v>English</v>
      </c>
      <c r="I4" s="27">
        <f>VLOOKUP($A4,Table1[[#All],[Title]:[Oscar Wins]],COLUMNS($A$3:I3),0)</f>
        <v>12</v>
      </c>
      <c r="J4" s="27" t="str">
        <f>ROUND(VLOOKUP($A4,Table1[[#All],[Title]:[Oscar Wins]],COLUMNS($A$3:J3),0)/1000000,2)&amp;" M"</f>
        <v>200 M</v>
      </c>
      <c r="K4" s="27" t="str">
        <f>ROUND(VLOOKUP($A4,Table1[[#All],[Title]:[Oscar Wins]],COLUMNS($A$3:K3),0)/1000000,2)&amp;" M"</f>
        <v>2186.77 M</v>
      </c>
      <c r="L4" s="27">
        <f>VLOOKUP($A4,Table1[[#All],[Title]:[Oscar Wins]],COLUMNS($A$3:L3),0)</f>
        <v>14</v>
      </c>
      <c r="M4" s="27">
        <f>VLOOKUP($A4,Table1[[#All],[Title]:[Oscar Wins]],COLUMNS($A$3:M3),0)</f>
        <v>11</v>
      </c>
      <c r="U4" s="24">
        <v>10</v>
      </c>
    </row>
    <row r="5" spans="1:21" x14ac:dyDescent="0.3">
      <c r="A5" s="28" t="s">
        <v>197</v>
      </c>
      <c r="B5" s="26">
        <f>VLOOKUP($A5,Table1[[#All],[Title]:[Oscar Wins]],COLUMNS($A$3:B4),0)</f>
        <v>37972</v>
      </c>
      <c r="C5" s="27">
        <f>VLOOKUP($A5,Table1[[#All],[Title]:[Oscar Wins]],COLUMNS($A$3:C4),0)</f>
        <v>201</v>
      </c>
      <c r="D5" s="27" t="str">
        <f>VLOOKUP($A5,Table1[[#All],[Title]:[Oscar Wins]],COLUMNS($A$3:D4),0)</f>
        <v>Fantasy</v>
      </c>
      <c r="E5" s="27" t="str">
        <f>VLOOKUP($A5,Table1[[#All],[Title]:[Oscar Wins]],COLUMNS($A$3:E4),0)</f>
        <v>Peter Jackson</v>
      </c>
      <c r="F5" s="27" t="str">
        <f>VLOOKUP($A5,Table1[[#All],[Title]:[Oscar Wins]],COLUMNS($A$3:F4),0)</f>
        <v>WingNut Films</v>
      </c>
      <c r="G5" s="27" t="str">
        <f>VLOOKUP($A5,Table1[[#All],[Title]:[Oscar Wins]],COLUMNS($A$3:G4),0)</f>
        <v>New Zealand</v>
      </c>
      <c r="H5" s="27" t="str">
        <f>VLOOKUP($A5,Table1[[#All],[Title]:[Oscar Wins]],COLUMNS($A$3:H4),0)</f>
        <v>English</v>
      </c>
      <c r="I5" s="27" t="str">
        <f>VLOOKUP($A5,Table1[[#All],[Title]:[Oscar Wins]],COLUMNS($A$3:I4),0)</f>
        <v>12A</v>
      </c>
      <c r="J5" s="27" t="str">
        <f>ROUND(VLOOKUP($A5,Table1[[#All],[Title]:[Oscar Wins]],COLUMNS($A$3:J4),0)/1000000,2)&amp;" M"</f>
        <v>94 M</v>
      </c>
      <c r="K5" s="27" t="str">
        <f>ROUND(VLOOKUP($A5,Table1[[#All],[Title]:[Oscar Wins]],COLUMNS($A$3:K4),0)/1000000,2)&amp;" M"</f>
        <v>1119.93 M</v>
      </c>
      <c r="L5" s="27">
        <f>VLOOKUP($A5,Table1[[#All],[Title]:[Oscar Wins]],COLUMNS($A$3:L4),0)</f>
        <v>11</v>
      </c>
      <c r="M5" s="27">
        <f>VLOOKUP($A5,Table1[[#All],[Title]:[Oscar Wins]],COLUMNS($A$3:M4),0)</f>
        <v>11</v>
      </c>
      <c r="U5" s="24">
        <v>300</v>
      </c>
    </row>
    <row r="6" spans="1:21" x14ac:dyDescent="0.3">
      <c r="A6" s="28" t="s">
        <v>1093</v>
      </c>
      <c r="B6" s="26">
        <f>VLOOKUP($A6,Table1[[#All],[Title]:[Oscar Wins]],COLUMNS($A$3:B5),0)</f>
        <v>21872</v>
      </c>
      <c r="C6" s="27">
        <f>VLOOKUP($A6,Table1[[#All],[Title]:[Oscar Wins]],COLUMNS($A$3:C5),0)</f>
        <v>212</v>
      </c>
      <c r="D6" s="27" t="str">
        <f>VLOOKUP($A6,Table1[[#All],[Title]:[Oscar Wins]],COLUMNS($A$3:D5),0)</f>
        <v>Drama</v>
      </c>
      <c r="E6" s="27" t="str">
        <f>VLOOKUP($A6,Table1[[#All],[Title]:[Oscar Wins]],COLUMNS($A$3:E5),0)</f>
        <v>William Wyler</v>
      </c>
      <c r="F6" s="27" t="str">
        <f>VLOOKUP($A6,Table1[[#All],[Title]:[Oscar Wins]],COLUMNS($A$3:F5),0)</f>
        <v>Metro-Goldwyn-Mayer</v>
      </c>
      <c r="G6" s="27" t="str">
        <f>VLOOKUP($A6,Table1[[#All],[Title]:[Oscar Wins]],COLUMNS($A$3:G5),0)</f>
        <v>United States</v>
      </c>
      <c r="H6" s="27" t="str">
        <f>VLOOKUP($A6,Table1[[#All],[Title]:[Oscar Wins]],COLUMNS($A$3:H5),0)</f>
        <v>English</v>
      </c>
      <c r="I6" s="27" t="str">
        <f>VLOOKUP($A6,Table1[[#All],[Title]:[Oscar Wins]],COLUMNS($A$3:I5),0)</f>
        <v>PG</v>
      </c>
      <c r="J6" s="27" t="str">
        <f>ROUND(VLOOKUP($A6,Table1[[#All],[Title]:[Oscar Wins]],COLUMNS($A$3:J5),0)/1000000,2)&amp;" M"</f>
        <v>15.2 M</v>
      </c>
      <c r="K6" s="27" t="str">
        <f>ROUND(VLOOKUP($A6,Table1[[#All],[Title]:[Oscar Wins]],COLUMNS($A$3:K5),0)/1000000,2)&amp;" M"</f>
        <v>146.9 M</v>
      </c>
      <c r="L6" s="27">
        <f>VLOOKUP($A6,Table1[[#All],[Title]:[Oscar Wins]],COLUMNS($A$3:L5),0)</f>
        <v>12</v>
      </c>
      <c r="M6" s="27">
        <f>VLOOKUP($A6,Table1[[#All],[Title]:[Oscar Wins]],COLUMNS($A$3:M5),0)</f>
        <v>11</v>
      </c>
      <c r="U6" s="24">
        <v>2012</v>
      </c>
    </row>
    <row r="7" spans="1:21" x14ac:dyDescent="0.3">
      <c r="A7" s="28" t="s">
        <v>1076</v>
      </c>
      <c r="B7" s="26">
        <f>VLOOKUP($A7,Table1[[#All],[Title]:[Oscar Wins]],COLUMNS($A$3:B6),0)</f>
        <v>22572</v>
      </c>
      <c r="C7" s="27">
        <f>VLOOKUP($A7,Table1[[#All],[Title]:[Oscar Wins]],COLUMNS($A$3:C6),0)</f>
        <v>152</v>
      </c>
      <c r="D7" s="27" t="str">
        <f>VLOOKUP($A7,Table1[[#All],[Title]:[Oscar Wins]],COLUMNS($A$3:D6),0)</f>
        <v>Musical</v>
      </c>
      <c r="E7" s="27" t="str">
        <f>VLOOKUP($A7,Table1[[#All],[Title]:[Oscar Wins]],COLUMNS($A$3:E6),0)</f>
        <v>Robert Wise</v>
      </c>
      <c r="F7" s="27" t="str">
        <f>VLOOKUP($A7,Table1[[#All],[Title]:[Oscar Wins]],COLUMNS($A$3:F6),0)</f>
        <v>The Mirisch Production Company</v>
      </c>
      <c r="G7" s="27" t="str">
        <f>VLOOKUP($A7,Table1[[#All],[Title]:[Oscar Wins]],COLUMNS($A$3:G6),0)</f>
        <v>United States</v>
      </c>
      <c r="H7" s="27" t="str">
        <f>VLOOKUP($A7,Table1[[#All],[Title]:[Oscar Wins]],COLUMNS($A$3:H6),0)</f>
        <v>English</v>
      </c>
      <c r="I7" s="27" t="str">
        <f>VLOOKUP($A7,Table1[[#All],[Title]:[Oscar Wins]],COLUMNS($A$3:I6),0)</f>
        <v>PG</v>
      </c>
      <c r="J7" s="27" t="str">
        <f>ROUND(VLOOKUP($A7,Table1[[#All],[Title]:[Oscar Wins]],COLUMNS($A$3:J6),0)/1000000,2)&amp;" M"</f>
        <v>6 M</v>
      </c>
      <c r="K7" s="27" t="str">
        <f>ROUND(VLOOKUP($A7,Table1[[#All],[Title]:[Oscar Wins]],COLUMNS($A$3:K6),0)/1000000,2)&amp;" M"</f>
        <v>43.7 M</v>
      </c>
      <c r="L7" s="27">
        <f>VLOOKUP($A7,Table1[[#All],[Title]:[Oscar Wins]],COLUMNS($A$3:L6),0)</f>
        <v>11</v>
      </c>
      <c r="M7" s="27">
        <f>VLOOKUP($A7,Table1[[#All],[Title]:[Oscar Wins]],COLUMNS($A$3:M6),0)</f>
        <v>10</v>
      </c>
      <c r="U7" s="25" t="s">
        <v>723</v>
      </c>
    </row>
    <row r="8" spans="1:21" x14ac:dyDescent="0.3">
      <c r="A8" s="28" t="s">
        <v>1654</v>
      </c>
      <c r="B8" s="26">
        <f>VLOOKUP($A8,Table1[[#All],[Title]:[Oscar Wins]],COLUMNS($A$3:B7),0)</f>
        <v>35384</v>
      </c>
      <c r="C8" s="27">
        <f>VLOOKUP($A8,Table1[[#All],[Title]:[Oscar Wins]],COLUMNS($A$3:C7),0)</f>
        <v>162</v>
      </c>
      <c r="D8" s="27" t="str">
        <f>VLOOKUP($A8,Table1[[#All],[Title]:[Oscar Wins]],COLUMNS($A$3:D7),0)</f>
        <v>Romance</v>
      </c>
      <c r="E8" s="27" t="str">
        <f>VLOOKUP($A8,Table1[[#All],[Title]:[Oscar Wins]],COLUMNS($A$3:E7),0)</f>
        <v>Anthony Minghella</v>
      </c>
      <c r="F8" s="27" t="str">
        <f>VLOOKUP($A8,Table1[[#All],[Title]:[Oscar Wins]],COLUMNS($A$3:F7),0)</f>
        <v>Miramax Films</v>
      </c>
      <c r="G8" s="27" t="str">
        <f>VLOOKUP($A8,Table1[[#All],[Title]:[Oscar Wins]],COLUMNS($A$3:G7),0)</f>
        <v>United Kingdom</v>
      </c>
      <c r="H8" s="27" t="str">
        <f>VLOOKUP($A8,Table1[[#All],[Title]:[Oscar Wins]],COLUMNS($A$3:H7),0)</f>
        <v>English</v>
      </c>
      <c r="I8" s="27">
        <f>VLOOKUP($A8,Table1[[#All],[Title]:[Oscar Wins]],COLUMNS($A$3:I7),0)</f>
        <v>15</v>
      </c>
      <c r="J8" s="27" t="str">
        <f>ROUND(VLOOKUP($A8,Table1[[#All],[Title]:[Oscar Wins]],COLUMNS($A$3:J7),0)/1000000,2)&amp;" M"</f>
        <v>27 M</v>
      </c>
      <c r="K8" s="27" t="str">
        <f>ROUND(VLOOKUP($A8,Table1[[#All],[Title]:[Oscar Wins]],COLUMNS($A$3:K7),0)/1000000,2)&amp;" M"</f>
        <v>232 M</v>
      </c>
      <c r="L8" s="27">
        <f>VLOOKUP($A8,Table1[[#All],[Title]:[Oscar Wins]],COLUMNS($A$3:L7),0)</f>
        <v>12</v>
      </c>
      <c r="M8" s="27">
        <f>VLOOKUP($A8,Table1[[#All],[Title]:[Oscar Wins]],COLUMNS($A$3:M7),0)</f>
        <v>9</v>
      </c>
      <c r="U8" s="24" t="s">
        <v>1719</v>
      </c>
    </row>
    <row r="9" spans="1:21" x14ac:dyDescent="0.3">
      <c r="A9" s="28" t="s">
        <v>1793</v>
      </c>
      <c r="B9" s="26">
        <f>VLOOKUP($A9,Table1[[#All],[Title]:[Oscar Wins]],COLUMNS($A$3:B8),0)</f>
        <v>19933</v>
      </c>
      <c r="C9" s="27">
        <f>VLOOKUP($A9,Table1[[#All],[Title]:[Oscar Wins]],COLUMNS($A$3:C8),0)</f>
        <v>108</v>
      </c>
      <c r="D9" s="27" t="str">
        <f>VLOOKUP($A9,Table1[[#All],[Title]:[Oscar Wins]],COLUMNS($A$3:D8),0)</f>
        <v>Crime</v>
      </c>
      <c r="E9" s="27" t="str">
        <f>VLOOKUP($A9,Table1[[#All],[Title]:[Oscar Wins]],COLUMNS($A$3:E8),0)</f>
        <v>Elia Kazan</v>
      </c>
      <c r="F9" s="27" t="str">
        <f>VLOOKUP($A9,Table1[[#All],[Title]:[Oscar Wins]],COLUMNS($A$3:F8),0)</f>
        <v>Horizon Pictures</v>
      </c>
      <c r="G9" s="27" t="str">
        <f>VLOOKUP($A9,Table1[[#All],[Title]:[Oscar Wins]],COLUMNS($A$3:G8),0)</f>
        <v>United States</v>
      </c>
      <c r="H9" s="27" t="str">
        <f>VLOOKUP($A9,Table1[[#All],[Title]:[Oscar Wins]],COLUMNS($A$3:H8),0)</f>
        <v>English</v>
      </c>
      <c r="I9" s="27" t="str">
        <f>VLOOKUP($A9,Table1[[#All],[Title]:[Oscar Wins]],COLUMNS($A$3:I8),0)</f>
        <v>PG</v>
      </c>
      <c r="J9" s="27" t="str">
        <f>ROUND(VLOOKUP($A9,Table1[[#All],[Title]:[Oscar Wins]],COLUMNS($A$3:J8),0)/1000000,2)&amp;" M"</f>
        <v>0.91 M</v>
      </c>
      <c r="K9" s="27" t="str">
        <f>ROUND(VLOOKUP($A9,Table1[[#All],[Title]:[Oscar Wins]],COLUMNS($A$3:K8),0)/1000000,2)&amp;" M"</f>
        <v>9.6 M</v>
      </c>
      <c r="L9" s="27">
        <f>VLOOKUP($A9,Table1[[#All],[Title]:[Oscar Wins]],COLUMNS($A$3:L8),0)</f>
        <v>12</v>
      </c>
      <c r="M9" s="27">
        <f>VLOOKUP($A9,Table1[[#All],[Title]:[Oscar Wins]],COLUMNS($A$3:M8),0)</f>
        <v>8</v>
      </c>
      <c r="U9" s="24" t="s">
        <v>1401</v>
      </c>
    </row>
    <row r="10" spans="1:21" x14ac:dyDescent="0.3">
      <c r="A10" s="28" t="s">
        <v>1157</v>
      </c>
      <c r="B10" s="26">
        <f>VLOOKUP($A10,Table1[[#All],[Title]:[Oscar Wins]],COLUMNS($A$3:B9),0)</f>
        <v>14594</v>
      </c>
      <c r="C10" s="27">
        <f>VLOOKUP($A10,Table1[[#All],[Title]:[Oscar Wins]],COLUMNS($A$3:C9),0)</f>
        <v>221</v>
      </c>
      <c r="D10" s="27" t="str">
        <f>VLOOKUP($A10,Table1[[#All],[Title]:[Oscar Wins]],COLUMNS($A$3:D9),0)</f>
        <v>Romance</v>
      </c>
      <c r="E10" s="27" t="str">
        <f>VLOOKUP($A10,Table1[[#All],[Title]:[Oscar Wins]],COLUMNS($A$3:E9),0)</f>
        <v>Victor Fleming</v>
      </c>
      <c r="F10" s="27" t="str">
        <f>VLOOKUP($A10,Table1[[#All],[Title]:[Oscar Wins]],COLUMNS($A$3:F9),0)</f>
        <v>Selznick International Pictures</v>
      </c>
      <c r="G10" s="27" t="str">
        <f>VLOOKUP($A10,Table1[[#All],[Title]:[Oscar Wins]],COLUMNS($A$3:G9),0)</f>
        <v>United States</v>
      </c>
      <c r="H10" s="27" t="str">
        <f>VLOOKUP($A10,Table1[[#All],[Title]:[Oscar Wins]],COLUMNS($A$3:H9),0)</f>
        <v>English</v>
      </c>
      <c r="I10" s="27" t="str">
        <f>VLOOKUP($A10,Table1[[#All],[Title]:[Oscar Wins]],COLUMNS($A$3:I9),0)</f>
        <v>PG</v>
      </c>
      <c r="J10" s="27" t="str">
        <f>ROUND(VLOOKUP($A10,Table1[[#All],[Title]:[Oscar Wins]],COLUMNS($A$3:J9),0)/1000000,2)&amp;" M"</f>
        <v>3.85 M</v>
      </c>
      <c r="K10" s="27" t="str">
        <f>ROUND(VLOOKUP($A10,Table1[[#All],[Title]:[Oscar Wins]],COLUMNS($A$3:K9),0)/1000000,2)&amp;" M"</f>
        <v>198 M</v>
      </c>
      <c r="L10" s="27">
        <f>VLOOKUP($A10,Table1[[#All],[Title]:[Oscar Wins]],COLUMNS($A$3:L9),0)</f>
        <v>13</v>
      </c>
      <c r="M10" s="27">
        <f>VLOOKUP($A10,Table1[[#All],[Title]:[Oscar Wins]],COLUMNS($A$3:M9),0)</f>
        <v>8</v>
      </c>
      <c r="U10" s="25" t="s">
        <v>1330</v>
      </c>
    </row>
    <row r="11" spans="1:21" x14ac:dyDescent="0.3">
      <c r="A11" s="28" t="s">
        <v>998</v>
      </c>
      <c r="B11" s="26">
        <f>VLOOKUP($A11,Table1[[#All],[Title]:[Oscar Wins]],COLUMNS($A$3:B10),0)</f>
        <v>26342</v>
      </c>
      <c r="C11" s="27">
        <f>VLOOKUP($A11,Table1[[#All],[Title]:[Oscar Wins]],COLUMNS($A$3:C10),0)</f>
        <v>124</v>
      </c>
      <c r="D11" s="27" t="str">
        <f>VLOOKUP($A11,Table1[[#All],[Title]:[Oscar Wins]],COLUMNS($A$3:D10),0)</f>
        <v>Musical</v>
      </c>
      <c r="E11" s="27" t="str">
        <f>VLOOKUP($A11,Table1[[#All],[Title]:[Oscar Wins]],COLUMNS($A$3:E10),0)</f>
        <v>Bob Fosse</v>
      </c>
      <c r="F11" s="27" t="str">
        <f>VLOOKUP($A11,Table1[[#All],[Title]:[Oscar Wins]],COLUMNS($A$3:F10),0)</f>
        <v>Allied Artists</v>
      </c>
      <c r="G11" s="27" t="str">
        <f>VLOOKUP($A11,Table1[[#All],[Title]:[Oscar Wins]],COLUMNS($A$3:G10),0)</f>
        <v>United States</v>
      </c>
      <c r="H11" s="27" t="str">
        <f>VLOOKUP($A11,Table1[[#All],[Title]:[Oscar Wins]],COLUMNS($A$3:H10),0)</f>
        <v>English</v>
      </c>
      <c r="I11" s="27">
        <f>VLOOKUP($A11,Table1[[#All],[Title]:[Oscar Wins]],COLUMNS($A$3:I10),0)</f>
        <v>15</v>
      </c>
      <c r="J11" s="27" t="str">
        <f>ROUND(VLOOKUP($A11,Table1[[#All],[Title]:[Oscar Wins]],COLUMNS($A$3:J10),0)/1000000,2)&amp;" M"</f>
        <v>2.29 M</v>
      </c>
      <c r="K11" s="27" t="str">
        <f>ROUND(VLOOKUP($A11,Table1[[#All],[Title]:[Oscar Wins]],COLUMNS($A$3:K10),0)/1000000,2)&amp;" M"</f>
        <v>42.77 M</v>
      </c>
      <c r="L11" s="27">
        <f>VLOOKUP($A11,Table1[[#All],[Title]:[Oscar Wins]],COLUMNS($A$3:L10),0)</f>
        <v>10</v>
      </c>
      <c r="M11" s="27">
        <f>VLOOKUP($A11,Table1[[#All],[Title]:[Oscar Wins]],COLUMNS($A$3:M10),0)</f>
        <v>8</v>
      </c>
      <c r="U11" s="25" t="s">
        <v>1674</v>
      </c>
    </row>
    <row r="12" spans="1:21" x14ac:dyDescent="0.3">
      <c r="A12" s="28" t="s">
        <v>1385</v>
      </c>
      <c r="B12" s="26">
        <f>VLOOKUP($A12,Table1[[#All],[Title]:[Oscar Wins]],COLUMNS($A$3:B11),0)</f>
        <v>39690</v>
      </c>
      <c r="C12" s="27">
        <f>VLOOKUP($A12,Table1[[#All],[Title]:[Oscar Wins]],COLUMNS($A$3:C11),0)</f>
        <v>120</v>
      </c>
      <c r="D12" s="27" t="str">
        <f>VLOOKUP($A12,Table1[[#All],[Title]:[Oscar Wins]],COLUMNS($A$3:D11),0)</f>
        <v>Drama</v>
      </c>
      <c r="E12" s="27" t="str">
        <f>VLOOKUP($A12,Table1[[#All],[Title]:[Oscar Wins]],COLUMNS($A$3:E11),0)</f>
        <v>Danny Boyle</v>
      </c>
      <c r="F12" s="27" t="str">
        <f>VLOOKUP($A12,Table1[[#All],[Title]:[Oscar Wins]],COLUMNS($A$3:F11),0)</f>
        <v>FilmFour Productions</v>
      </c>
      <c r="G12" s="27" t="str">
        <f>VLOOKUP($A12,Table1[[#All],[Title]:[Oscar Wins]],COLUMNS($A$3:G11),0)</f>
        <v>United Kingdom</v>
      </c>
      <c r="H12" s="27" t="str">
        <f>VLOOKUP($A12,Table1[[#All],[Title]:[Oscar Wins]],COLUMNS($A$3:H11),0)</f>
        <v>English</v>
      </c>
      <c r="I12" s="27">
        <f>VLOOKUP($A12,Table1[[#All],[Title]:[Oscar Wins]],COLUMNS($A$3:I11),0)</f>
        <v>15</v>
      </c>
      <c r="J12" s="27" t="str">
        <f>ROUND(VLOOKUP($A12,Table1[[#All],[Title]:[Oscar Wins]],COLUMNS($A$3:J11),0)/1000000,2)&amp;" M"</f>
        <v>15 M</v>
      </c>
      <c r="K12" s="27" t="str">
        <f>ROUND(VLOOKUP($A12,Table1[[#All],[Title]:[Oscar Wins]],COLUMNS($A$3:K11),0)/1000000,2)&amp;" M"</f>
        <v>377.9 M</v>
      </c>
      <c r="L12" s="27">
        <f>VLOOKUP($A12,Table1[[#All],[Title]:[Oscar Wins]],COLUMNS($A$3:L11),0)</f>
        <v>10</v>
      </c>
      <c r="M12" s="27">
        <f>VLOOKUP($A12,Table1[[#All],[Title]:[Oscar Wins]],COLUMNS($A$3:M11),0)</f>
        <v>8</v>
      </c>
      <c r="U12" s="24" t="s">
        <v>1124</v>
      </c>
    </row>
    <row r="13" spans="1:21" x14ac:dyDescent="0.3">
      <c r="A13" s="28" t="s">
        <v>1127</v>
      </c>
      <c r="B13" s="26">
        <f>VLOOKUP($A13,Table1[[#All],[Title]:[Oscar Wins]],COLUMNS($A$3:B12),0)</f>
        <v>19576</v>
      </c>
      <c r="C13" s="27">
        <f>VLOOKUP($A13,Table1[[#All],[Title]:[Oscar Wins]],COLUMNS($A$3:C12),0)</f>
        <v>118</v>
      </c>
      <c r="D13" s="27" t="str">
        <f>VLOOKUP($A13,Table1[[#All],[Title]:[Oscar Wins]],COLUMNS($A$3:D12),0)</f>
        <v>Drama</v>
      </c>
      <c r="E13" s="27" t="str">
        <f>VLOOKUP($A13,Table1[[#All],[Title]:[Oscar Wins]],COLUMNS($A$3:E12),0)</f>
        <v>Fred Zinnemann</v>
      </c>
      <c r="F13" s="27" t="str">
        <f>VLOOKUP($A13,Table1[[#All],[Title]:[Oscar Wins]],COLUMNS($A$3:F12),0)</f>
        <v>Columbia Pictures</v>
      </c>
      <c r="G13" s="27" t="str">
        <f>VLOOKUP($A13,Table1[[#All],[Title]:[Oscar Wins]],COLUMNS($A$3:G12),0)</f>
        <v>United States</v>
      </c>
      <c r="H13" s="27" t="str">
        <f>VLOOKUP($A13,Table1[[#All],[Title]:[Oscar Wins]],COLUMNS($A$3:H12),0)</f>
        <v>English</v>
      </c>
      <c r="I13" s="27" t="str">
        <f>VLOOKUP($A13,Table1[[#All],[Title]:[Oscar Wins]],COLUMNS($A$3:I12),0)</f>
        <v>PG</v>
      </c>
      <c r="J13" s="27" t="str">
        <f>ROUND(VLOOKUP($A13,Table1[[#All],[Title]:[Oscar Wins]],COLUMNS($A$3:J12),0)/1000000,2)&amp;" M"</f>
        <v>2.5 M</v>
      </c>
      <c r="K13" s="27" t="str">
        <f>ROUND(VLOOKUP($A13,Table1[[#All],[Title]:[Oscar Wins]],COLUMNS($A$3:K12),0)/1000000,2)&amp;" M"</f>
        <v>30.5 M</v>
      </c>
      <c r="L13" s="27">
        <f>VLOOKUP($A13,Table1[[#All],[Title]:[Oscar Wins]],COLUMNS($A$3:L12),0)</f>
        <v>13</v>
      </c>
      <c r="M13" s="27">
        <f>VLOOKUP($A13,Table1[[#All],[Title]:[Oscar Wins]],COLUMNS($A$3:M12),0)</f>
        <v>8</v>
      </c>
      <c r="U13" s="24" t="s">
        <v>1025</v>
      </c>
    </row>
    <row r="14" spans="1:21" x14ac:dyDescent="0.3">
      <c r="A14" s="28" t="s">
        <v>401</v>
      </c>
      <c r="B14" s="26">
        <f>VLOOKUP($A14,Table1[[#All],[Title]:[Oscar Wins]],COLUMNS($A$3:B13),0)</f>
        <v>30287</v>
      </c>
      <c r="C14" s="27">
        <f>VLOOKUP($A14,Table1[[#All],[Title]:[Oscar Wins]],COLUMNS($A$3:C13),0)</f>
        <v>188</v>
      </c>
      <c r="D14" s="27" t="str">
        <f>VLOOKUP($A14,Table1[[#All],[Title]:[Oscar Wins]],COLUMNS($A$3:D13),0)</f>
        <v>Biography</v>
      </c>
      <c r="E14" s="27" t="str">
        <f>VLOOKUP($A14,Table1[[#All],[Title]:[Oscar Wins]],COLUMNS($A$3:E13),0)</f>
        <v>Richard Attenborough</v>
      </c>
      <c r="F14" s="27" t="str">
        <f>VLOOKUP($A14,Table1[[#All],[Title]:[Oscar Wins]],COLUMNS($A$3:F13),0)</f>
        <v>Goldcrest Films</v>
      </c>
      <c r="G14" s="27" t="str">
        <f>VLOOKUP($A14,Table1[[#All],[Title]:[Oscar Wins]],COLUMNS($A$3:G13),0)</f>
        <v>United Kingdom</v>
      </c>
      <c r="H14" s="27" t="str">
        <f>VLOOKUP($A14,Table1[[#All],[Title]:[Oscar Wins]],COLUMNS($A$3:H13),0)</f>
        <v>English</v>
      </c>
      <c r="I14" s="27" t="str">
        <f>VLOOKUP($A14,Table1[[#All],[Title]:[Oscar Wins]],COLUMNS($A$3:I13),0)</f>
        <v>PG</v>
      </c>
      <c r="J14" s="27" t="str">
        <f>ROUND(VLOOKUP($A14,Table1[[#All],[Title]:[Oscar Wins]],COLUMNS($A$3:J13),0)/1000000,2)&amp;" M"</f>
        <v>22 M</v>
      </c>
      <c r="K14" s="27" t="str">
        <f>ROUND(VLOOKUP($A14,Table1[[#All],[Title]:[Oscar Wins]],COLUMNS($A$3:K13),0)/1000000,2)&amp;" M"</f>
        <v>52.77 M</v>
      </c>
      <c r="L14" s="27">
        <f>VLOOKUP($A14,Table1[[#All],[Title]:[Oscar Wins]],COLUMNS($A$3:L13),0)</f>
        <v>11</v>
      </c>
      <c r="M14" s="27">
        <f>VLOOKUP($A14,Table1[[#All],[Title]:[Oscar Wins]],COLUMNS($A$3:M13),0)</f>
        <v>8</v>
      </c>
      <c r="U14" s="25" t="s">
        <v>1698</v>
      </c>
    </row>
    <row r="15" spans="1:21" x14ac:dyDescent="0.3">
      <c r="A15" s="28" t="s">
        <v>1054</v>
      </c>
      <c r="B15" s="26">
        <f>VLOOKUP($A15,Table1[[#All],[Title]:[Oscar Wins]],COLUMNS($A$3:B14),0)</f>
        <v>23690</v>
      </c>
      <c r="C15" s="27">
        <f>VLOOKUP($A15,Table1[[#All],[Title]:[Oscar Wins]],COLUMNS($A$3:C14),0)</f>
        <v>170</v>
      </c>
      <c r="D15" s="27" t="str">
        <f>VLOOKUP($A15,Table1[[#All],[Title]:[Oscar Wins]],COLUMNS($A$3:D14),0)</f>
        <v>Musical</v>
      </c>
      <c r="E15" s="27" t="str">
        <f>VLOOKUP($A15,Table1[[#All],[Title]:[Oscar Wins]],COLUMNS($A$3:E14),0)</f>
        <v>George Cukor</v>
      </c>
      <c r="F15" s="27" t="str">
        <f>VLOOKUP($A15,Table1[[#All],[Title]:[Oscar Wins]],COLUMNS($A$3:F14),0)</f>
        <v>Warner Bros. Pictures</v>
      </c>
      <c r="G15" s="27" t="str">
        <f>VLOOKUP($A15,Table1[[#All],[Title]:[Oscar Wins]],COLUMNS($A$3:G14),0)</f>
        <v>United States</v>
      </c>
      <c r="H15" s="27" t="str">
        <f>VLOOKUP($A15,Table1[[#All],[Title]:[Oscar Wins]],COLUMNS($A$3:H14),0)</f>
        <v>English</v>
      </c>
      <c r="I15" s="27" t="str">
        <f>VLOOKUP($A15,Table1[[#All],[Title]:[Oscar Wins]],COLUMNS($A$3:I14),0)</f>
        <v>U</v>
      </c>
      <c r="J15" s="27" t="str">
        <f>ROUND(VLOOKUP($A15,Table1[[#All],[Title]:[Oscar Wins]],COLUMNS($A$3:J14),0)/1000000,2)&amp;" M"</f>
        <v>17 M</v>
      </c>
      <c r="K15" s="27" t="str">
        <f>ROUND(VLOOKUP($A15,Table1[[#All],[Title]:[Oscar Wins]],COLUMNS($A$3:K14),0)/1000000,2)&amp;" M"</f>
        <v>72 M</v>
      </c>
      <c r="L15" s="27">
        <f>VLOOKUP($A15,Table1[[#All],[Title]:[Oscar Wins]],COLUMNS($A$3:L14),0)</f>
        <v>12</v>
      </c>
      <c r="M15" s="27">
        <f>VLOOKUP($A15,Table1[[#All],[Title]:[Oscar Wins]],COLUMNS($A$3:M14),0)</f>
        <v>8</v>
      </c>
      <c r="U15" s="25" t="s">
        <v>1760</v>
      </c>
    </row>
    <row r="16" spans="1:21" x14ac:dyDescent="0.3">
      <c r="A16" s="28" t="s">
        <v>709</v>
      </c>
      <c r="B16" s="26">
        <f>VLOOKUP($A16,Table1[[#All],[Title]:[Oscar Wins]],COLUMNS($A$3:B15),0)</f>
        <v>36132</v>
      </c>
      <c r="C16" s="27">
        <f>VLOOKUP($A16,Table1[[#All],[Title]:[Oscar Wins]],COLUMNS($A$3:C15),0)</f>
        <v>123</v>
      </c>
      <c r="D16" s="27" t="str">
        <f>VLOOKUP($A16,Table1[[#All],[Title]:[Oscar Wins]],COLUMNS($A$3:D15),0)</f>
        <v>Romantic Comedy</v>
      </c>
      <c r="E16" s="27" t="str">
        <f>VLOOKUP($A16,Table1[[#All],[Title]:[Oscar Wins]],COLUMNS($A$3:E15),0)</f>
        <v>John Madden</v>
      </c>
      <c r="F16" s="27" t="str">
        <f>VLOOKUP($A16,Table1[[#All],[Title]:[Oscar Wins]],COLUMNS($A$3:F15),0)</f>
        <v>The Bedford Falls Company</v>
      </c>
      <c r="G16" s="27" t="str">
        <f>VLOOKUP($A16,Table1[[#All],[Title]:[Oscar Wins]],COLUMNS($A$3:G15),0)</f>
        <v>United Kingdom</v>
      </c>
      <c r="H16" s="27" t="str">
        <f>VLOOKUP($A16,Table1[[#All],[Title]:[Oscar Wins]],COLUMNS($A$3:H15),0)</f>
        <v>English</v>
      </c>
      <c r="I16" s="27">
        <f>VLOOKUP($A16,Table1[[#All],[Title]:[Oscar Wins]],COLUMNS($A$3:I15),0)</f>
        <v>15</v>
      </c>
      <c r="J16" s="27" t="str">
        <f>ROUND(VLOOKUP($A16,Table1[[#All],[Title]:[Oscar Wins]],COLUMNS($A$3:J15),0)/1000000,2)&amp;" M"</f>
        <v>25 M</v>
      </c>
      <c r="K16" s="27" t="str">
        <f>ROUND(VLOOKUP($A16,Table1[[#All],[Title]:[Oscar Wins]],COLUMNS($A$3:K15),0)/1000000,2)&amp;" M"</f>
        <v>289.3 M</v>
      </c>
      <c r="L16" s="27">
        <f>VLOOKUP($A16,Table1[[#All],[Title]:[Oscar Wins]],COLUMNS($A$3:L15),0)</f>
        <v>13</v>
      </c>
      <c r="M16" s="27">
        <f>VLOOKUP($A16,Table1[[#All],[Title]:[Oscar Wins]],COLUMNS($A$3:M15),0)</f>
        <v>7</v>
      </c>
      <c r="U16" s="24" t="s">
        <v>1771</v>
      </c>
    </row>
    <row r="17" spans="1:21" x14ac:dyDescent="0.3">
      <c r="A17" s="28" t="s">
        <v>1014</v>
      </c>
      <c r="B17" s="26">
        <f>VLOOKUP($A17,Table1[[#All],[Title]:[Oscar Wins]],COLUMNS($A$3:B16),0)</f>
        <v>25660</v>
      </c>
      <c r="C17" s="27">
        <f>VLOOKUP($A17,Table1[[#All],[Title]:[Oscar Wins]],COLUMNS($A$3:C16),0)</f>
        <v>170</v>
      </c>
      <c r="D17" s="27" t="str">
        <f>VLOOKUP($A17,Table1[[#All],[Title]:[Oscar Wins]],COLUMNS($A$3:D16),0)</f>
        <v>Biography</v>
      </c>
      <c r="E17" s="27" t="str">
        <f>VLOOKUP($A17,Table1[[#All],[Title]:[Oscar Wins]],COLUMNS($A$3:E16),0)</f>
        <v>Franklin J. Schaffner</v>
      </c>
      <c r="F17" s="27" t="str">
        <f>VLOOKUP($A17,Table1[[#All],[Title]:[Oscar Wins]],COLUMNS($A$3:F16),0)</f>
        <v>20th Century Fox</v>
      </c>
      <c r="G17" s="27" t="str">
        <f>VLOOKUP($A17,Table1[[#All],[Title]:[Oscar Wins]],COLUMNS($A$3:G16),0)</f>
        <v>United States</v>
      </c>
      <c r="H17" s="27" t="str">
        <f>VLOOKUP($A17,Table1[[#All],[Title]:[Oscar Wins]],COLUMNS($A$3:H16),0)</f>
        <v>English</v>
      </c>
      <c r="I17" s="27" t="str">
        <f>VLOOKUP($A17,Table1[[#All],[Title]:[Oscar Wins]],COLUMNS($A$3:I16),0)</f>
        <v>PG</v>
      </c>
      <c r="J17" s="27" t="str">
        <f>ROUND(VLOOKUP($A17,Table1[[#All],[Title]:[Oscar Wins]],COLUMNS($A$3:J16),0)/1000000,2)&amp;" M"</f>
        <v>12.6 M</v>
      </c>
      <c r="K17" s="27" t="str">
        <f>ROUND(VLOOKUP($A17,Table1[[#All],[Title]:[Oscar Wins]],COLUMNS($A$3:K16),0)/1000000,2)&amp;" M"</f>
        <v>61.8 M</v>
      </c>
      <c r="L17" s="27">
        <f>VLOOKUP($A17,Table1[[#All],[Title]:[Oscar Wins]],COLUMNS($A$3:L16),0)</f>
        <v>10</v>
      </c>
      <c r="M17" s="27">
        <f>VLOOKUP($A17,Table1[[#All],[Title]:[Oscar Wins]],COLUMNS($A$3:M16),0)</f>
        <v>7</v>
      </c>
      <c r="U17" s="24" t="s">
        <v>444</v>
      </c>
    </row>
    <row r="18" spans="1:21" x14ac:dyDescent="0.3">
      <c r="A18" s="28" t="s">
        <v>1103</v>
      </c>
      <c r="B18" s="26">
        <f>VLOOKUP($A18,Table1[[#All],[Title]:[Oscar Wins]],COLUMNS($A$3:B17),0)</f>
        <v>21095</v>
      </c>
      <c r="C18" s="27">
        <f>VLOOKUP($A18,Table1[[#All],[Title]:[Oscar Wins]],COLUMNS($A$3:C17),0)</f>
        <v>161</v>
      </c>
      <c r="D18" s="27" t="str">
        <f>VLOOKUP($A18,Table1[[#All],[Title]:[Oscar Wins]],COLUMNS($A$3:D17),0)</f>
        <v>War</v>
      </c>
      <c r="E18" s="27" t="str">
        <f>VLOOKUP($A18,Table1[[#All],[Title]:[Oscar Wins]],COLUMNS($A$3:E17),0)</f>
        <v>David Lean</v>
      </c>
      <c r="F18" s="27" t="str">
        <f>VLOOKUP($A18,Table1[[#All],[Title]:[Oscar Wins]],COLUMNS($A$3:F17),0)</f>
        <v>Horizon Pictures</v>
      </c>
      <c r="G18" s="27" t="str">
        <f>VLOOKUP($A18,Table1[[#All],[Title]:[Oscar Wins]],COLUMNS($A$3:G17),0)</f>
        <v>United Kingdom</v>
      </c>
      <c r="H18" s="27" t="str">
        <f>VLOOKUP($A18,Table1[[#All],[Title]:[Oscar Wins]],COLUMNS($A$3:H17),0)</f>
        <v>English</v>
      </c>
      <c r="I18" s="27" t="str">
        <f>VLOOKUP($A18,Table1[[#All],[Title]:[Oscar Wins]],COLUMNS($A$3:I17),0)</f>
        <v>U</v>
      </c>
      <c r="J18" s="27" t="str">
        <f>ROUND(VLOOKUP($A18,Table1[[#All],[Title]:[Oscar Wins]],COLUMNS($A$3:J17),0)/1000000,2)&amp;" M"</f>
        <v>2.8 M</v>
      </c>
      <c r="K18" s="27" t="str">
        <f>ROUND(VLOOKUP($A18,Table1[[#All],[Title]:[Oscar Wins]],COLUMNS($A$3:K17),0)/1000000,2)&amp;" M"</f>
        <v>30.6 M</v>
      </c>
      <c r="L18" s="27">
        <f>VLOOKUP($A18,Table1[[#All],[Title]:[Oscar Wins]],COLUMNS($A$3:L17),0)</f>
        <v>8</v>
      </c>
      <c r="M18" s="27">
        <f>VLOOKUP($A18,Table1[[#All],[Title]:[Oscar Wins]],COLUMNS($A$3:M17),0)</f>
        <v>7</v>
      </c>
      <c r="U18" s="25" t="s">
        <v>1399</v>
      </c>
    </row>
    <row r="19" spans="1:21" x14ac:dyDescent="0.3">
      <c r="A19" s="28" t="s">
        <v>410</v>
      </c>
      <c r="B19" s="26">
        <f>VLOOKUP($A19,Table1[[#All],[Title]:[Oscar Wins]],COLUMNS($A$3:B18),0)</f>
        <v>33165</v>
      </c>
      <c r="C19" s="27">
        <f>VLOOKUP($A19,Table1[[#All],[Title]:[Oscar Wins]],COLUMNS($A$3:C18),0)</f>
        <v>180</v>
      </c>
      <c r="D19" s="27" t="str">
        <f>VLOOKUP($A19,Table1[[#All],[Title]:[Oscar Wins]],COLUMNS($A$3:D18),0)</f>
        <v>Western</v>
      </c>
      <c r="E19" s="27" t="str">
        <f>VLOOKUP($A19,Table1[[#All],[Title]:[Oscar Wins]],COLUMNS($A$3:E18),0)</f>
        <v>Kevin Costner</v>
      </c>
      <c r="F19" s="27" t="str">
        <f>VLOOKUP($A19,Table1[[#All],[Title]:[Oscar Wins]],COLUMNS($A$3:F18),0)</f>
        <v>Tig Productions</v>
      </c>
      <c r="G19" s="27" t="str">
        <f>VLOOKUP($A19,Table1[[#All],[Title]:[Oscar Wins]],COLUMNS($A$3:G18),0)</f>
        <v>United States</v>
      </c>
      <c r="H19" s="27" t="str">
        <f>VLOOKUP($A19,Table1[[#All],[Title]:[Oscar Wins]],COLUMNS($A$3:H18),0)</f>
        <v>English</v>
      </c>
      <c r="I19" s="27">
        <f>VLOOKUP($A19,Table1[[#All],[Title]:[Oscar Wins]],COLUMNS($A$3:I18),0)</f>
        <v>15</v>
      </c>
      <c r="J19" s="27" t="str">
        <f>ROUND(VLOOKUP($A19,Table1[[#All],[Title]:[Oscar Wins]],COLUMNS($A$3:J18),0)/1000000,2)&amp;" M"</f>
        <v>2 M</v>
      </c>
      <c r="K19" s="27" t="str">
        <f>ROUND(VLOOKUP($A19,Table1[[#All],[Title]:[Oscar Wins]],COLUMNS($A$3:K18),0)/1000000,2)&amp;" M"</f>
        <v>424.21 M</v>
      </c>
      <c r="L19" s="27">
        <f>VLOOKUP($A19,Table1[[#All],[Title]:[Oscar Wins]],COLUMNS($A$3:L18),0)</f>
        <v>12</v>
      </c>
      <c r="M19" s="27">
        <f>VLOOKUP($A19,Table1[[#All],[Title]:[Oscar Wins]],COLUMNS($A$3:M18),0)</f>
        <v>7</v>
      </c>
      <c r="U19" s="24" t="s">
        <v>1441</v>
      </c>
    </row>
    <row r="20" spans="1:21" x14ac:dyDescent="0.3">
      <c r="A20" s="28" t="s">
        <v>393</v>
      </c>
      <c r="B20" s="26">
        <f>VLOOKUP($A20,Table1[[#All],[Title]:[Oscar Wins]],COLUMNS($A$3:B19),0)</f>
        <v>34318</v>
      </c>
      <c r="C20" s="27">
        <f>VLOOKUP($A20,Table1[[#All],[Title]:[Oscar Wins]],COLUMNS($A$3:C19),0)</f>
        <v>197</v>
      </c>
      <c r="D20" s="27" t="str">
        <f>VLOOKUP($A20,Table1[[#All],[Title]:[Oscar Wins]],COLUMNS($A$3:D19),0)</f>
        <v>History</v>
      </c>
      <c r="E20" s="27" t="str">
        <f>VLOOKUP($A20,Table1[[#All],[Title]:[Oscar Wins]],COLUMNS($A$3:E19),0)</f>
        <v>Steven Spielberg</v>
      </c>
      <c r="F20" s="27" t="str">
        <f>VLOOKUP($A20,Table1[[#All],[Title]:[Oscar Wins]],COLUMNS($A$3:F19),0)</f>
        <v>Amblin Entertainment</v>
      </c>
      <c r="G20" s="27" t="str">
        <f>VLOOKUP($A20,Table1[[#All],[Title]:[Oscar Wins]],COLUMNS($A$3:G19),0)</f>
        <v>United States</v>
      </c>
      <c r="H20" s="27" t="str">
        <f>VLOOKUP($A20,Table1[[#All],[Title]:[Oscar Wins]],COLUMNS($A$3:H19),0)</f>
        <v>English</v>
      </c>
      <c r="I20" s="27">
        <f>VLOOKUP($A20,Table1[[#All],[Title]:[Oscar Wins]],COLUMNS($A$3:I19),0)</f>
        <v>15</v>
      </c>
      <c r="J20" s="27" t="str">
        <f>ROUND(VLOOKUP($A20,Table1[[#All],[Title]:[Oscar Wins]],COLUMNS($A$3:J19),0)/1000000,2)&amp;" M"</f>
        <v>22 M</v>
      </c>
      <c r="K20" s="27" t="str">
        <f>ROUND(VLOOKUP($A20,Table1[[#All],[Title]:[Oscar Wins]],COLUMNS($A$3:K19),0)/1000000,2)&amp;" M"</f>
        <v>321.2 M</v>
      </c>
      <c r="L20" s="27">
        <f>VLOOKUP($A20,Table1[[#All],[Title]:[Oscar Wins]],COLUMNS($A$3:L19),0)</f>
        <v>12</v>
      </c>
      <c r="M20" s="27">
        <f>VLOOKUP($A20,Table1[[#All],[Title]:[Oscar Wins]],COLUMNS($A$3:M19),0)</f>
        <v>7</v>
      </c>
      <c r="U20" s="24" t="s">
        <v>1747</v>
      </c>
    </row>
    <row r="21" spans="1:21" x14ac:dyDescent="0.3">
      <c r="A21" s="28" t="s">
        <v>564</v>
      </c>
      <c r="B21" s="26">
        <f>VLOOKUP($A21,Table1[[#All],[Title]:[Oscar Wins]],COLUMNS($A$3:B20),0)</f>
        <v>41551</v>
      </c>
      <c r="C21" s="27">
        <f>VLOOKUP($A21,Table1[[#All],[Title]:[Oscar Wins]],COLUMNS($A$3:C20),0)</f>
        <v>91</v>
      </c>
      <c r="D21" s="27" t="str">
        <f>VLOOKUP($A21,Table1[[#All],[Title]:[Oscar Wins]],COLUMNS($A$3:D20),0)</f>
        <v>Science Fiction</v>
      </c>
      <c r="E21" s="27" t="str">
        <f>VLOOKUP($A21,Table1[[#All],[Title]:[Oscar Wins]],COLUMNS($A$3:E20),0)</f>
        <v>Alfonso Cuaron</v>
      </c>
      <c r="F21" s="27" t="str">
        <f>VLOOKUP($A21,Table1[[#All],[Title]:[Oscar Wins]],COLUMNS($A$3:F20),0)</f>
        <v>Heyday Films</v>
      </c>
      <c r="G21" s="27" t="str">
        <f>VLOOKUP($A21,Table1[[#All],[Title]:[Oscar Wins]],COLUMNS($A$3:G20),0)</f>
        <v>United States</v>
      </c>
      <c r="H21" s="27" t="str">
        <f>VLOOKUP($A21,Table1[[#All],[Title]:[Oscar Wins]],COLUMNS($A$3:H20),0)</f>
        <v>English</v>
      </c>
      <c r="I21" s="27" t="str">
        <f>VLOOKUP($A21,Table1[[#All],[Title]:[Oscar Wins]],COLUMNS($A$3:I20),0)</f>
        <v>12A</v>
      </c>
      <c r="J21" s="27" t="str">
        <f>ROUND(VLOOKUP($A21,Table1[[#All],[Title]:[Oscar Wins]],COLUMNS($A$3:J20),0)/1000000,2)&amp;" M"</f>
        <v>100 M</v>
      </c>
      <c r="K21" s="27" t="str">
        <f>ROUND(VLOOKUP($A21,Table1[[#All],[Title]:[Oscar Wins]],COLUMNS($A$3:K20),0)/1000000,2)&amp;" M"</f>
        <v>723.2 M</v>
      </c>
      <c r="L21" s="27">
        <f>VLOOKUP($A21,Table1[[#All],[Title]:[Oscar Wins]],COLUMNS($A$3:L20),0)</f>
        <v>10</v>
      </c>
      <c r="M21" s="27">
        <f>VLOOKUP($A21,Table1[[#All],[Title]:[Oscar Wins]],COLUMNS($A$3:M20),0)</f>
        <v>7</v>
      </c>
      <c r="U21" s="24" t="s">
        <v>1324</v>
      </c>
    </row>
    <row r="22" spans="1:21" x14ac:dyDescent="0.3">
      <c r="A22" s="28" t="s">
        <v>463</v>
      </c>
      <c r="B22" s="26">
        <f>VLOOKUP($A22,Table1[[#All],[Title]:[Oscar Wins]],COLUMNS($A$3:B21),0)</f>
        <v>28270</v>
      </c>
      <c r="C22" s="27">
        <f>VLOOKUP($A22,Table1[[#All],[Title]:[Oscar Wins]],COLUMNS($A$3:C21),0)</f>
        <v>121</v>
      </c>
      <c r="D22" s="27" t="str">
        <f>VLOOKUP($A22,Table1[[#All],[Title]:[Oscar Wins]],COLUMNS($A$3:D21),0)</f>
        <v>Science Fiction</v>
      </c>
      <c r="E22" s="27" t="str">
        <f>VLOOKUP($A22,Table1[[#All],[Title]:[Oscar Wins]],COLUMNS($A$3:E21),0)</f>
        <v>George Lucas</v>
      </c>
      <c r="F22" s="27" t="str">
        <f>VLOOKUP($A22,Table1[[#All],[Title]:[Oscar Wins]],COLUMNS($A$3:F21),0)</f>
        <v>Lucasfilm</v>
      </c>
      <c r="G22" s="27" t="str">
        <f>VLOOKUP($A22,Table1[[#All],[Title]:[Oscar Wins]],COLUMNS($A$3:G21),0)</f>
        <v>United States</v>
      </c>
      <c r="H22" s="27" t="str">
        <f>VLOOKUP($A22,Table1[[#All],[Title]:[Oscar Wins]],COLUMNS($A$3:H21),0)</f>
        <v>English</v>
      </c>
      <c r="I22" s="27" t="str">
        <f>VLOOKUP($A22,Table1[[#All],[Title]:[Oscar Wins]],COLUMNS($A$3:I21),0)</f>
        <v>U</v>
      </c>
      <c r="J22" s="27" t="str">
        <f>ROUND(VLOOKUP($A22,Table1[[#All],[Title]:[Oscar Wins]],COLUMNS($A$3:J21),0)/1000000,2)&amp;" M"</f>
        <v>11 M</v>
      </c>
      <c r="K22" s="27" t="str">
        <f>ROUND(VLOOKUP($A22,Table1[[#All],[Title]:[Oscar Wins]],COLUMNS($A$3:K21),0)/1000000,2)&amp;" M"</f>
        <v>775.4 M</v>
      </c>
      <c r="L22" s="27">
        <f>VLOOKUP($A22,Table1[[#All],[Title]:[Oscar Wins]],COLUMNS($A$3:L21),0)</f>
        <v>11</v>
      </c>
      <c r="M22" s="27">
        <f>VLOOKUP($A22,Table1[[#All],[Title]:[Oscar Wins]],COLUMNS($A$3:M21),0)</f>
        <v>7</v>
      </c>
      <c r="U22" s="24" t="s">
        <v>889</v>
      </c>
    </row>
    <row r="23" spans="1:21" x14ac:dyDescent="0.3">
      <c r="A23" s="28" t="s">
        <v>1068</v>
      </c>
      <c r="B23" s="26">
        <f>VLOOKUP($A23,Table1[[#All],[Title]:[Oscar Wins]],COLUMNS($A$3:B22),0)</f>
        <v>22990</v>
      </c>
      <c r="C23" s="27">
        <f>VLOOKUP($A23,Table1[[#All],[Title]:[Oscar Wins]],COLUMNS($A$3:C22),0)</f>
        <v>222</v>
      </c>
      <c r="D23" s="27" t="str">
        <f>VLOOKUP($A23,Table1[[#All],[Title]:[Oscar Wins]],COLUMNS($A$3:D22),0)</f>
        <v>Biography</v>
      </c>
      <c r="E23" s="27" t="str">
        <f>VLOOKUP($A23,Table1[[#All],[Title]:[Oscar Wins]],COLUMNS($A$3:E22),0)</f>
        <v>David Lean</v>
      </c>
      <c r="F23" s="27" t="str">
        <f>VLOOKUP($A23,Table1[[#All],[Title]:[Oscar Wins]],COLUMNS($A$3:F22),0)</f>
        <v>Horizon Pictures</v>
      </c>
      <c r="G23" s="27" t="str">
        <f>VLOOKUP($A23,Table1[[#All],[Title]:[Oscar Wins]],COLUMNS($A$3:G22),0)</f>
        <v>United Kingdom</v>
      </c>
      <c r="H23" s="27" t="str">
        <f>VLOOKUP($A23,Table1[[#All],[Title]:[Oscar Wins]],COLUMNS($A$3:H22),0)</f>
        <v>English</v>
      </c>
      <c r="I23" s="27" t="str">
        <f>VLOOKUP($A23,Table1[[#All],[Title]:[Oscar Wins]],COLUMNS($A$3:I22),0)</f>
        <v>PG</v>
      </c>
      <c r="J23" s="27" t="str">
        <f>ROUND(VLOOKUP($A23,Table1[[#All],[Title]:[Oscar Wins]],COLUMNS($A$3:J22),0)/1000000,2)&amp;" M"</f>
        <v>15 M</v>
      </c>
      <c r="K23" s="27" t="str">
        <f>ROUND(VLOOKUP($A23,Table1[[#All],[Title]:[Oscar Wins]],COLUMNS($A$3:K22),0)/1000000,2)&amp;" M"</f>
        <v>70 M</v>
      </c>
      <c r="L23" s="27">
        <f>VLOOKUP($A23,Table1[[#All],[Title]:[Oscar Wins]],COLUMNS($A$3:L22),0)</f>
        <v>10</v>
      </c>
      <c r="M23" s="27">
        <f>VLOOKUP($A23,Table1[[#All],[Title]:[Oscar Wins]],COLUMNS($A$3:M22),0)</f>
        <v>7</v>
      </c>
      <c r="U23" s="25" t="s">
        <v>906</v>
      </c>
    </row>
    <row r="24" spans="1:21" x14ac:dyDescent="0.3">
      <c r="A24" s="28" t="s">
        <v>858</v>
      </c>
      <c r="B24" s="26">
        <f>VLOOKUP($A24,Table1[[#All],[Title]:[Oscar Wins]],COLUMNS($A$3:B23),0)</f>
        <v>31399</v>
      </c>
      <c r="C24" s="27">
        <f>VLOOKUP($A24,Table1[[#All],[Title]:[Oscar Wins]],COLUMNS($A$3:C23),0)</f>
        <v>161</v>
      </c>
      <c r="D24" s="27" t="str">
        <f>VLOOKUP($A24,Table1[[#All],[Title]:[Oscar Wins]],COLUMNS($A$3:D23),0)</f>
        <v>Romance</v>
      </c>
      <c r="E24" s="27" t="str">
        <f>VLOOKUP($A24,Table1[[#All],[Title]:[Oscar Wins]],COLUMNS($A$3:E23),0)</f>
        <v>Sydney Pollack</v>
      </c>
      <c r="F24" s="27" t="str">
        <f>VLOOKUP($A24,Table1[[#All],[Title]:[Oscar Wins]],COLUMNS($A$3:F23),0)</f>
        <v>Mirage Studios</v>
      </c>
      <c r="G24" s="27" t="str">
        <f>VLOOKUP($A24,Table1[[#All],[Title]:[Oscar Wins]],COLUMNS($A$3:G23),0)</f>
        <v>United States</v>
      </c>
      <c r="H24" s="27" t="str">
        <f>VLOOKUP($A24,Table1[[#All],[Title]:[Oscar Wins]],COLUMNS($A$3:H23),0)</f>
        <v>English</v>
      </c>
      <c r="I24" s="27" t="str">
        <f>VLOOKUP($A24,Table1[[#All],[Title]:[Oscar Wins]],COLUMNS($A$3:I23),0)</f>
        <v>PG</v>
      </c>
      <c r="J24" s="27" t="str">
        <f>ROUND(VLOOKUP($A24,Table1[[#All],[Title]:[Oscar Wins]],COLUMNS($A$3:J23),0)/1000000,2)&amp;" M"</f>
        <v>28 M</v>
      </c>
      <c r="K24" s="27" t="str">
        <f>ROUND(VLOOKUP($A24,Table1[[#All],[Title]:[Oscar Wins]],COLUMNS($A$3:K23),0)/1000000,2)&amp;" M"</f>
        <v>128.5 M</v>
      </c>
      <c r="L24" s="27">
        <f>VLOOKUP($A24,Table1[[#All],[Title]:[Oscar Wins]],COLUMNS($A$3:L23),0)</f>
        <v>11</v>
      </c>
      <c r="M24" s="27">
        <f>VLOOKUP($A24,Table1[[#All],[Title]:[Oscar Wins]],COLUMNS($A$3:M23),0)</f>
        <v>7</v>
      </c>
      <c r="U24" s="25" t="s">
        <v>226</v>
      </c>
    </row>
    <row r="25" spans="1:21" x14ac:dyDescent="0.3">
      <c r="A25" s="28" t="s">
        <v>982</v>
      </c>
      <c r="B25" s="26">
        <f>VLOOKUP($A25,Table1[[#All],[Title]:[Oscar Wins]],COLUMNS($A$3:B24),0)</f>
        <v>27024</v>
      </c>
      <c r="C25" s="27">
        <f>VLOOKUP($A25,Table1[[#All],[Title]:[Oscar Wins]],COLUMNS($A$3:C24),0)</f>
        <v>129</v>
      </c>
      <c r="D25" s="27" t="str">
        <f>VLOOKUP($A25,Table1[[#All],[Title]:[Oscar Wins]],COLUMNS($A$3:D24),0)</f>
        <v>Crime</v>
      </c>
      <c r="E25" s="27" t="str">
        <f>VLOOKUP($A25,Table1[[#All],[Title]:[Oscar Wins]],COLUMNS($A$3:E24),0)</f>
        <v>George Roy Hill</v>
      </c>
      <c r="F25" s="27" t="str">
        <f>VLOOKUP($A25,Table1[[#All],[Title]:[Oscar Wins]],COLUMNS($A$3:F24),0)</f>
        <v>Universal Pictures</v>
      </c>
      <c r="G25" s="27" t="str">
        <f>VLOOKUP($A25,Table1[[#All],[Title]:[Oscar Wins]],COLUMNS($A$3:G24),0)</f>
        <v>United States</v>
      </c>
      <c r="H25" s="27" t="str">
        <f>VLOOKUP($A25,Table1[[#All],[Title]:[Oscar Wins]],COLUMNS($A$3:H24),0)</f>
        <v>English</v>
      </c>
      <c r="I25" s="27" t="str">
        <f>VLOOKUP($A25,Table1[[#All],[Title]:[Oscar Wins]],COLUMNS($A$3:I24),0)</f>
        <v>PG</v>
      </c>
      <c r="J25" s="27" t="str">
        <f>ROUND(VLOOKUP($A25,Table1[[#All],[Title]:[Oscar Wins]],COLUMNS($A$3:J24),0)/1000000,2)&amp;" M"</f>
        <v>5.5 M</v>
      </c>
      <c r="K25" s="27" t="str">
        <f>ROUND(VLOOKUP($A25,Table1[[#All],[Title]:[Oscar Wins]],COLUMNS($A$3:K24),0)/1000000,2)&amp;" M"</f>
        <v>159.6 M</v>
      </c>
      <c r="L25" s="27">
        <f>VLOOKUP($A25,Table1[[#All],[Title]:[Oscar Wins]],COLUMNS($A$3:L24),0)</f>
        <v>10</v>
      </c>
      <c r="M25" s="27">
        <f>VLOOKUP($A25,Table1[[#All],[Title]:[Oscar Wins]],COLUMNS($A$3:M24),0)</f>
        <v>7</v>
      </c>
      <c r="U25" s="25" t="s">
        <v>948</v>
      </c>
    </row>
    <row r="26" spans="1:21" x14ac:dyDescent="0.3">
      <c r="A26" s="28" t="s">
        <v>1663</v>
      </c>
      <c r="B26" s="26">
        <f>VLOOKUP($A26,Table1[[#All],[Title]:[Oscar Wins]],COLUMNS($A$3:B25),0)</f>
        <v>39695</v>
      </c>
      <c r="C26" s="27">
        <f>VLOOKUP($A26,Table1[[#All],[Title]:[Oscar Wins]],COLUMNS($A$3:C25),0)</f>
        <v>131</v>
      </c>
      <c r="D26" s="27" t="str">
        <f>VLOOKUP($A26,Table1[[#All],[Title]:[Oscar Wins]],COLUMNS($A$3:D25),0)</f>
        <v>War</v>
      </c>
      <c r="E26" s="27" t="str">
        <f>VLOOKUP($A26,Table1[[#All],[Title]:[Oscar Wins]],COLUMNS($A$3:E25),0)</f>
        <v>Kathryn Bigelow</v>
      </c>
      <c r="F26" s="27" t="str">
        <f>VLOOKUP($A26,Table1[[#All],[Title]:[Oscar Wins]],COLUMNS($A$3:F25),0)</f>
        <v>Summit Entertainment</v>
      </c>
      <c r="G26" s="27" t="str">
        <f>VLOOKUP($A26,Table1[[#All],[Title]:[Oscar Wins]],COLUMNS($A$3:G25),0)</f>
        <v>United States</v>
      </c>
      <c r="H26" s="27" t="str">
        <f>VLOOKUP($A26,Table1[[#All],[Title]:[Oscar Wins]],COLUMNS($A$3:H25),0)</f>
        <v>English</v>
      </c>
      <c r="I26" s="27">
        <f>VLOOKUP($A26,Table1[[#All],[Title]:[Oscar Wins]],COLUMNS($A$3:I25),0)</f>
        <v>15</v>
      </c>
      <c r="J26" s="27" t="str">
        <f>ROUND(VLOOKUP($A26,Table1[[#All],[Title]:[Oscar Wins]],COLUMNS($A$3:J25),0)/1000000,2)&amp;" M"</f>
        <v>15 M</v>
      </c>
      <c r="K26" s="27" t="str">
        <f>ROUND(VLOOKUP($A26,Table1[[#All],[Title]:[Oscar Wins]],COLUMNS($A$3:K25),0)/1000000,2)&amp;" M"</f>
        <v>49.2 M</v>
      </c>
      <c r="L26" s="27">
        <f>VLOOKUP($A26,Table1[[#All],[Title]:[Oscar Wins]],COLUMNS($A$3:L25),0)</f>
        <v>9</v>
      </c>
      <c r="M26" s="27">
        <f>VLOOKUP($A26,Table1[[#All],[Title]:[Oscar Wins]],COLUMNS($A$3:M25),0)</f>
        <v>6</v>
      </c>
      <c r="U26" s="24" t="s">
        <v>704</v>
      </c>
    </row>
    <row r="27" spans="1:21" x14ac:dyDescent="0.3">
      <c r="A27" s="28" t="s">
        <v>978</v>
      </c>
      <c r="B27" s="26">
        <f>VLOOKUP($A27,Table1[[#All],[Title]:[Oscar Wins]],COLUMNS($A$3:B26),0)</f>
        <v>27375</v>
      </c>
      <c r="C27" s="27">
        <f>VLOOKUP($A27,Table1[[#All],[Title]:[Oscar Wins]],COLUMNS($A$3:C26),0)</f>
        <v>202</v>
      </c>
      <c r="D27" s="27" t="str">
        <f>VLOOKUP($A27,Table1[[#All],[Title]:[Oscar Wins]],COLUMNS($A$3:D26),0)</f>
        <v>Crime</v>
      </c>
      <c r="E27" s="27" t="str">
        <f>VLOOKUP($A27,Table1[[#All],[Title]:[Oscar Wins]],COLUMNS($A$3:E26),0)</f>
        <v>Francis Ford Coppola</v>
      </c>
      <c r="F27" s="27" t="str">
        <f>VLOOKUP($A27,Table1[[#All],[Title]:[Oscar Wins]],COLUMNS($A$3:F26),0)</f>
        <v>Paramount Pictures</v>
      </c>
      <c r="G27" s="27" t="str">
        <f>VLOOKUP($A27,Table1[[#All],[Title]:[Oscar Wins]],COLUMNS($A$3:G26),0)</f>
        <v>United States</v>
      </c>
      <c r="H27" s="27" t="str">
        <f>VLOOKUP($A27,Table1[[#All],[Title]:[Oscar Wins]],COLUMNS($A$3:H26),0)</f>
        <v>English</v>
      </c>
      <c r="I27" s="27">
        <f>VLOOKUP($A27,Table1[[#All],[Title]:[Oscar Wins]],COLUMNS($A$3:I26),0)</f>
        <v>18</v>
      </c>
      <c r="J27" s="27" t="str">
        <f>ROUND(VLOOKUP($A27,Table1[[#All],[Title]:[Oscar Wins]],COLUMNS($A$3:J26),0)/1000000,2)&amp;" M"</f>
        <v>13 M</v>
      </c>
      <c r="K27" s="27" t="str">
        <f>ROUND(VLOOKUP($A27,Table1[[#All],[Title]:[Oscar Wins]],COLUMNS($A$3:K26),0)/1000000,2)&amp;" M"</f>
        <v>57.3 M</v>
      </c>
      <c r="L27" s="27">
        <f>VLOOKUP($A27,Table1[[#All],[Title]:[Oscar Wins]],COLUMNS($A$3:L26),0)</f>
        <v>11</v>
      </c>
      <c r="M27" s="27">
        <f>VLOOKUP($A27,Table1[[#All],[Title]:[Oscar Wins]],COLUMNS($A$3:M26),0)</f>
        <v>6</v>
      </c>
      <c r="U27" s="24" t="s">
        <v>1006</v>
      </c>
    </row>
    <row r="28" spans="1:21" x14ac:dyDescent="0.3">
      <c r="A28" s="28" t="s">
        <v>1796</v>
      </c>
      <c r="B28" s="26">
        <f>VLOOKUP($A28,Table1[[#All],[Title]:[Oscar Wins]],COLUMNS($A$3:B27),0)</f>
        <v>18854</v>
      </c>
      <c r="C28" s="27">
        <f>VLOOKUP($A28,Table1[[#All],[Title]:[Oscar Wins]],COLUMNS($A$3:C27),0)</f>
        <v>122</v>
      </c>
      <c r="D28" s="27" t="str">
        <f>VLOOKUP($A28,Table1[[#All],[Title]:[Oscar Wins]],COLUMNS($A$3:D27),0)</f>
        <v>Drama</v>
      </c>
      <c r="E28" s="27" t="str">
        <f>VLOOKUP($A28,Table1[[#All],[Title]:[Oscar Wins]],COLUMNS($A$3:E27),0)</f>
        <v>George Stevens</v>
      </c>
      <c r="F28" s="27" t="str">
        <f>VLOOKUP($A28,Table1[[#All],[Title]:[Oscar Wins]],COLUMNS($A$3:F27),0)</f>
        <v>Paramount Pictures</v>
      </c>
      <c r="G28" s="27" t="str">
        <f>VLOOKUP($A28,Table1[[#All],[Title]:[Oscar Wins]],COLUMNS($A$3:G27),0)</f>
        <v>United States</v>
      </c>
      <c r="H28" s="27" t="str">
        <f>VLOOKUP($A28,Table1[[#All],[Title]:[Oscar Wins]],COLUMNS($A$3:H27),0)</f>
        <v>English</v>
      </c>
      <c r="I28" s="27" t="str">
        <f>VLOOKUP($A28,Table1[[#All],[Title]:[Oscar Wins]],COLUMNS($A$3:I27),0)</f>
        <v>PG</v>
      </c>
      <c r="J28" s="27" t="str">
        <f>ROUND(VLOOKUP($A28,Table1[[#All],[Title]:[Oscar Wins]],COLUMNS($A$3:J27),0)/1000000,2)&amp;" M"</f>
        <v>2.3 M</v>
      </c>
      <c r="K28" s="27" t="str">
        <f>ROUND(VLOOKUP($A28,Table1[[#All],[Title]:[Oscar Wins]],COLUMNS($A$3:K27),0)/1000000,2)&amp;" M"</f>
        <v>7 M</v>
      </c>
      <c r="L28" s="27">
        <f>VLOOKUP($A28,Table1[[#All],[Title]:[Oscar Wins]],COLUMNS($A$3:L27),0)</f>
        <v>9</v>
      </c>
      <c r="M28" s="27">
        <f>VLOOKUP($A28,Table1[[#All],[Title]:[Oscar Wins]],COLUMNS($A$3:M27),0)</f>
        <v>6</v>
      </c>
      <c r="U28" s="24" t="s">
        <v>1104</v>
      </c>
    </row>
    <row r="29" spans="1:21" x14ac:dyDescent="0.3">
      <c r="A29" s="28" t="s">
        <v>1596</v>
      </c>
      <c r="B29" s="26">
        <f>VLOOKUP($A29,Table1[[#All],[Title]:[Oscar Wins]],COLUMNS($A$3:B28),0)</f>
        <v>42131</v>
      </c>
      <c r="C29" s="27">
        <f>VLOOKUP($A29,Table1[[#All],[Title]:[Oscar Wins]],COLUMNS($A$3:C28),0)</f>
        <v>120</v>
      </c>
      <c r="D29" s="27" t="str">
        <f>VLOOKUP($A29,Table1[[#All],[Title]:[Oscar Wins]],COLUMNS($A$3:D28),0)</f>
        <v>Action</v>
      </c>
      <c r="E29" s="27" t="str">
        <f>VLOOKUP($A29,Table1[[#All],[Title]:[Oscar Wins]],COLUMNS($A$3:E28),0)</f>
        <v>George Miller</v>
      </c>
      <c r="F29" s="27" t="str">
        <f>VLOOKUP($A29,Table1[[#All],[Title]:[Oscar Wins]],COLUMNS($A$3:F28),0)</f>
        <v>Kennedy Miller</v>
      </c>
      <c r="G29" s="27" t="str">
        <f>VLOOKUP($A29,Table1[[#All],[Title]:[Oscar Wins]],COLUMNS($A$3:G28),0)</f>
        <v>Australia</v>
      </c>
      <c r="H29" s="27" t="str">
        <f>VLOOKUP($A29,Table1[[#All],[Title]:[Oscar Wins]],COLUMNS($A$3:H28),0)</f>
        <v>English</v>
      </c>
      <c r="I29" s="27">
        <f>VLOOKUP($A29,Table1[[#All],[Title]:[Oscar Wins]],COLUMNS($A$3:I28),0)</f>
        <v>15</v>
      </c>
      <c r="J29" s="27" t="str">
        <f>ROUND(VLOOKUP($A29,Table1[[#All],[Title]:[Oscar Wins]],COLUMNS($A$3:J28),0)/1000000,2)&amp;" M"</f>
        <v>150 M</v>
      </c>
      <c r="K29" s="27" t="str">
        <f>ROUND(VLOOKUP($A29,Table1[[#All],[Title]:[Oscar Wins]],COLUMNS($A$3:K28),0)/1000000,2)&amp;" M"</f>
        <v>378.4 M</v>
      </c>
      <c r="L29" s="27">
        <f>VLOOKUP($A29,Table1[[#All],[Title]:[Oscar Wins]],COLUMNS($A$3:L28),0)</f>
        <v>10</v>
      </c>
      <c r="M29" s="27">
        <f>VLOOKUP($A29,Table1[[#All],[Title]:[Oscar Wins]],COLUMNS($A$3:M28),0)</f>
        <v>6</v>
      </c>
      <c r="U29" s="25" t="s">
        <v>777</v>
      </c>
    </row>
    <row r="30" spans="1:21" x14ac:dyDescent="0.3">
      <c r="A30" s="28" t="s">
        <v>178</v>
      </c>
      <c r="B30" s="26">
        <f>VLOOKUP($A30,Table1[[#All],[Title]:[Oscar Wins]],COLUMNS($A$3:B29),0)</f>
        <v>33466</v>
      </c>
      <c r="C30" s="27">
        <f>VLOOKUP($A30,Table1[[#All],[Title]:[Oscar Wins]],COLUMNS($A$3:C29),0)</f>
        <v>136</v>
      </c>
      <c r="D30" s="27" t="str">
        <f>VLOOKUP($A30,Table1[[#All],[Title]:[Oscar Wins]],COLUMNS($A$3:D29),0)</f>
        <v>Science Fiction</v>
      </c>
      <c r="E30" s="27" t="str">
        <f>VLOOKUP($A30,Table1[[#All],[Title]:[Oscar Wins]],COLUMNS($A$3:E29),0)</f>
        <v>James Cameron</v>
      </c>
      <c r="F30" s="27" t="str">
        <f>VLOOKUP($A30,Table1[[#All],[Title]:[Oscar Wins]],COLUMNS($A$3:F29),0)</f>
        <v>Carolco Pictures</v>
      </c>
      <c r="G30" s="27" t="str">
        <f>VLOOKUP($A30,Table1[[#All],[Title]:[Oscar Wins]],COLUMNS($A$3:G29),0)</f>
        <v>United States</v>
      </c>
      <c r="H30" s="27" t="str">
        <f>VLOOKUP($A30,Table1[[#All],[Title]:[Oscar Wins]],COLUMNS($A$3:H29),0)</f>
        <v>English</v>
      </c>
      <c r="I30" s="27">
        <f>VLOOKUP($A30,Table1[[#All],[Title]:[Oscar Wins]],COLUMNS($A$3:I29),0)</f>
        <v>15</v>
      </c>
      <c r="J30" s="27" t="str">
        <f>ROUND(VLOOKUP($A30,Table1[[#All],[Title]:[Oscar Wins]],COLUMNS($A$3:J29),0)/1000000,2)&amp;" M"</f>
        <v>100 M</v>
      </c>
      <c r="K30" s="27" t="str">
        <f>ROUND(VLOOKUP($A30,Table1[[#All],[Title]:[Oscar Wins]],COLUMNS($A$3:K29),0)/1000000,2)&amp;" M"</f>
        <v>516.82 M</v>
      </c>
      <c r="L30" s="27">
        <f>VLOOKUP($A30,Table1[[#All],[Title]:[Oscar Wins]],COLUMNS($A$3:L29),0)</f>
        <v>4</v>
      </c>
      <c r="M30" s="27">
        <f>VLOOKUP($A30,Table1[[#All],[Title]:[Oscar Wins]],COLUMNS($A$3:M29),0)</f>
        <v>6</v>
      </c>
      <c r="U30" s="25" t="s">
        <v>1375</v>
      </c>
    </row>
    <row r="31" spans="1:21" x14ac:dyDescent="0.3">
      <c r="U31" s="24" t="s">
        <v>1056</v>
      </c>
    </row>
    <row r="32" spans="1:21" x14ac:dyDescent="0.3">
      <c r="U32" s="24" t="s">
        <v>1057</v>
      </c>
    </row>
    <row r="33" spans="21:21" x14ac:dyDescent="0.3">
      <c r="U33" s="24" t="s">
        <v>353</v>
      </c>
    </row>
    <row r="34" spans="21:21" x14ac:dyDescent="0.3">
      <c r="U34" s="24" t="s">
        <v>1395</v>
      </c>
    </row>
    <row r="35" spans="21:21" x14ac:dyDescent="0.3">
      <c r="U35" s="24" t="s">
        <v>1398</v>
      </c>
    </row>
    <row r="36" spans="21:21" x14ac:dyDescent="0.3">
      <c r="U36" s="24" t="s">
        <v>1703</v>
      </c>
    </row>
    <row r="37" spans="21:21" x14ac:dyDescent="0.3">
      <c r="U37" s="24" t="s">
        <v>1796</v>
      </c>
    </row>
    <row r="38" spans="21:21" x14ac:dyDescent="0.3">
      <c r="U38" s="24" t="s">
        <v>1360</v>
      </c>
    </row>
    <row r="39" spans="21:21" x14ac:dyDescent="0.3">
      <c r="U39" s="24" t="s">
        <v>1138</v>
      </c>
    </row>
    <row r="40" spans="21:21" x14ac:dyDescent="0.3">
      <c r="U40" s="24" t="s">
        <v>1469</v>
      </c>
    </row>
    <row r="41" spans="21:21" x14ac:dyDescent="0.3">
      <c r="U41" s="24" t="s">
        <v>1473</v>
      </c>
    </row>
    <row r="42" spans="21:21" x14ac:dyDescent="0.3">
      <c r="U42" s="24" t="s">
        <v>712</v>
      </c>
    </row>
    <row r="43" spans="21:21" x14ac:dyDescent="0.3">
      <c r="U43" s="25" t="s">
        <v>910</v>
      </c>
    </row>
    <row r="44" spans="21:21" x14ac:dyDescent="0.3">
      <c r="U44" s="24" t="s">
        <v>1012</v>
      </c>
    </row>
    <row r="45" spans="21:21" x14ac:dyDescent="0.3">
      <c r="U45" s="25" t="s">
        <v>979</v>
      </c>
    </row>
    <row r="46" spans="21:21" x14ac:dyDescent="0.3">
      <c r="U46" s="24" t="s">
        <v>769</v>
      </c>
    </row>
    <row r="47" spans="21:21" x14ac:dyDescent="0.3">
      <c r="U47" s="25" t="s">
        <v>169</v>
      </c>
    </row>
    <row r="48" spans="21:21" x14ac:dyDescent="0.3">
      <c r="U48" s="24" t="s">
        <v>602</v>
      </c>
    </row>
    <row r="49" spans="21:21" x14ac:dyDescent="0.3">
      <c r="U49" s="24" t="s">
        <v>472</v>
      </c>
    </row>
    <row r="50" spans="21:21" x14ac:dyDescent="0.3">
      <c r="U50" s="24" t="s">
        <v>304</v>
      </c>
    </row>
    <row r="51" spans="21:21" x14ac:dyDescent="0.3">
      <c r="U51" s="25" t="s">
        <v>418</v>
      </c>
    </row>
    <row r="52" spans="21:21" x14ac:dyDescent="0.3">
      <c r="U52" s="25" t="s">
        <v>1169</v>
      </c>
    </row>
    <row r="53" spans="21:21" x14ac:dyDescent="0.3">
      <c r="U53" s="25" t="s">
        <v>955</v>
      </c>
    </row>
    <row r="54" spans="21:21" x14ac:dyDescent="0.3">
      <c r="U54" s="25" t="s">
        <v>465</v>
      </c>
    </row>
    <row r="55" spans="21:21" x14ac:dyDescent="0.3">
      <c r="U55" s="24" t="s">
        <v>431</v>
      </c>
    </row>
    <row r="56" spans="21:21" x14ac:dyDescent="0.3">
      <c r="U56" s="24" t="s">
        <v>183</v>
      </c>
    </row>
    <row r="57" spans="21:21" x14ac:dyDescent="0.3">
      <c r="U57" s="25" t="s">
        <v>986</v>
      </c>
    </row>
    <row r="58" spans="21:21" x14ac:dyDescent="0.3">
      <c r="U58" s="24" t="s">
        <v>1544</v>
      </c>
    </row>
    <row r="59" spans="21:21" x14ac:dyDescent="0.3">
      <c r="U59" s="24" t="s">
        <v>1527</v>
      </c>
    </row>
    <row r="60" spans="21:21" x14ac:dyDescent="0.3">
      <c r="U60" s="25" t="s">
        <v>1468</v>
      </c>
    </row>
    <row r="61" spans="21:21" x14ac:dyDescent="0.3">
      <c r="U61" s="24" t="s">
        <v>882</v>
      </c>
    </row>
    <row r="62" spans="21:21" x14ac:dyDescent="0.3">
      <c r="U62" s="25" t="s">
        <v>1763</v>
      </c>
    </row>
    <row r="63" spans="21:21" x14ac:dyDescent="0.3">
      <c r="U63" s="25" t="s">
        <v>394</v>
      </c>
    </row>
    <row r="64" spans="21:21" x14ac:dyDescent="0.3">
      <c r="U64" s="25" t="s">
        <v>627</v>
      </c>
    </row>
    <row r="65" spans="21:21" x14ac:dyDescent="0.3">
      <c r="U65" s="24" t="s">
        <v>1163</v>
      </c>
    </row>
    <row r="66" spans="21:21" x14ac:dyDescent="0.3">
      <c r="U66" s="24" t="s">
        <v>893</v>
      </c>
    </row>
    <row r="67" spans="21:21" x14ac:dyDescent="0.3">
      <c r="U67" s="25" t="s">
        <v>1146</v>
      </c>
    </row>
    <row r="68" spans="21:21" x14ac:dyDescent="0.3">
      <c r="U68" s="25" t="s">
        <v>952</v>
      </c>
    </row>
    <row r="69" spans="21:21" x14ac:dyDescent="0.3">
      <c r="U69" s="25" t="s">
        <v>1745</v>
      </c>
    </row>
    <row r="70" spans="21:21" x14ac:dyDescent="0.3">
      <c r="U70" s="24" t="s">
        <v>911</v>
      </c>
    </row>
    <row r="71" spans="21:21" x14ac:dyDescent="0.3">
      <c r="U71" s="25" t="s">
        <v>922</v>
      </c>
    </row>
    <row r="72" spans="21:21" x14ac:dyDescent="0.3">
      <c r="U72" s="24" t="s">
        <v>328</v>
      </c>
    </row>
    <row r="73" spans="21:21" x14ac:dyDescent="0.3">
      <c r="U73" s="24" t="s">
        <v>265</v>
      </c>
    </row>
    <row r="74" spans="21:21" x14ac:dyDescent="0.3">
      <c r="U74" s="25" t="s">
        <v>90</v>
      </c>
    </row>
    <row r="75" spans="21:21" x14ac:dyDescent="0.3">
      <c r="U75" s="25" t="s">
        <v>156</v>
      </c>
    </row>
    <row r="76" spans="21:21" x14ac:dyDescent="0.3">
      <c r="U76" s="25" t="s">
        <v>897</v>
      </c>
    </row>
    <row r="77" spans="21:21" x14ac:dyDescent="0.3">
      <c r="U77" s="24" t="s">
        <v>1358</v>
      </c>
    </row>
    <row r="78" spans="21:21" x14ac:dyDescent="0.3">
      <c r="U78" s="25" t="s">
        <v>699</v>
      </c>
    </row>
    <row r="79" spans="21:21" x14ac:dyDescent="0.3">
      <c r="U79" s="25" t="s">
        <v>616</v>
      </c>
    </row>
    <row r="80" spans="21:21" x14ac:dyDescent="0.3">
      <c r="U80" s="24" t="s">
        <v>1177</v>
      </c>
    </row>
    <row r="81" spans="21:21" x14ac:dyDescent="0.3">
      <c r="U81" s="25" t="s">
        <v>409</v>
      </c>
    </row>
    <row r="82" spans="21:21" x14ac:dyDescent="0.3">
      <c r="U82" s="25" t="s">
        <v>333</v>
      </c>
    </row>
    <row r="83" spans="21:21" x14ac:dyDescent="0.3">
      <c r="U83" s="24" t="s">
        <v>332</v>
      </c>
    </row>
    <row r="84" spans="21:21" x14ac:dyDescent="0.3">
      <c r="U84" s="25" t="s">
        <v>1770</v>
      </c>
    </row>
    <row r="85" spans="21:21" x14ac:dyDescent="0.3">
      <c r="U85" s="25" t="s">
        <v>672</v>
      </c>
    </row>
    <row r="86" spans="21:21" x14ac:dyDescent="0.3">
      <c r="U86" s="24" t="s">
        <v>1639</v>
      </c>
    </row>
    <row r="87" spans="21:21" x14ac:dyDescent="0.3">
      <c r="U87" s="25" t="s">
        <v>1641</v>
      </c>
    </row>
    <row r="88" spans="21:21" x14ac:dyDescent="0.3">
      <c r="U88" s="25" t="s">
        <v>775</v>
      </c>
    </row>
    <row r="89" spans="21:21" x14ac:dyDescent="0.3">
      <c r="U89" s="25" t="s">
        <v>806</v>
      </c>
    </row>
    <row r="90" spans="21:21" x14ac:dyDescent="0.3">
      <c r="U90" s="24" t="s">
        <v>1422</v>
      </c>
    </row>
    <row r="91" spans="21:21" x14ac:dyDescent="0.3">
      <c r="U91" s="25" t="s">
        <v>78</v>
      </c>
    </row>
    <row r="92" spans="21:21" x14ac:dyDescent="0.3">
      <c r="U92" s="24" t="s">
        <v>736</v>
      </c>
    </row>
    <row r="93" spans="21:21" x14ac:dyDescent="0.3">
      <c r="U93" s="24" t="s">
        <v>776</v>
      </c>
    </row>
    <row r="94" spans="21:21" x14ac:dyDescent="0.3">
      <c r="U94" s="24" t="s">
        <v>1189</v>
      </c>
    </row>
    <row r="95" spans="21:21" x14ac:dyDescent="0.3">
      <c r="U95" s="24" t="s">
        <v>1338</v>
      </c>
    </row>
    <row r="96" spans="21:21" x14ac:dyDescent="0.3">
      <c r="U96" s="24" t="s">
        <v>1333</v>
      </c>
    </row>
    <row r="97" spans="21:21" x14ac:dyDescent="0.3">
      <c r="U97" s="25" t="s">
        <v>786</v>
      </c>
    </row>
    <row r="98" spans="21:21" x14ac:dyDescent="0.3">
      <c r="U98" s="25" t="s">
        <v>1009</v>
      </c>
    </row>
    <row r="99" spans="21:21" x14ac:dyDescent="0.3">
      <c r="U99" s="24" t="s">
        <v>59</v>
      </c>
    </row>
    <row r="100" spans="21:21" x14ac:dyDescent="0.3">
      <c r="U100" s="25" t="s">
        <v>827</v>
      </c>
    </row>
    <row r="101" spans="21:21" x14ac:dyDescent="0.3">
      <c r="U101" s="25" t="s">
        <v>1093</v>
      </c>
    </row>
    <row r="102" spans="21:21" x14ac:dyDescent="0.3">
      <c r="U102" s="25" t="s">
        <v>56</v>
      </c>
    </row>
    <row r="103" spans="21:21" x14ac:dyDescent="0.3">
      <c r="U103" s="25" t="s">
        <v>865</v>
      </c>
    </row>
    <row r="104" spans="21:21" x14ac:dyDescent="0.3">
      <c r="U104" s="24" t="s">
        <v>830</v>
      </c>
    </row>
    <row r="105" spans="21:21" x14ac:dyDescent="0.3">
      <c r="U105" s="24" t="s">
        <v>819</v>
      </c>
    </row>
    <row r="106" spans="21:21" x14ac:dyDescent="0.3">
      <c r="U106" s="24" t="s">
        <v>1629</v>
      </c>
    </row>
    <row r="107" spans="21:21" x14ac:dyDescent="0.3">
      <c r="U107" s="24" t="s">
        <v>1615</v>
      </c>
    </row>
    <row r="108" spans="21:21" x14ac:dyDescent="0.3">
      <c r="U108" s="25" t="s">
        <v>1614</v>
      </c>
    </row>
    <row r="109" spans="21:21" x14ac:dyDescent="0.3">
      <c r="U109" s="24" t="s">
        <v>1697</v>
      </c>
    </row>
    <row r="110" spans="21:21" x14ac:dyDescent="0.3">
      <c r="U110" s="25" t="s">
        <v>191</v>
      </c>
    </row>
    <row r="111" spans="21:21" x14ac:dyDescent="0.3">
      <c r="U111" s="25" t="s">
        <v>1672</v>
      </c>
    </row>
    <row r="112" spans="21:21" x14ac:dyDescent="0.3">
      <c r="U112" s="25" t="s">
        <v>321</v>
      </c>
    </row>
    <row r="113" spans="21:21" x14ac:dyDescent="0.3">
      <c r="U113" s="25" t="s">
        <v>309</v>
      </c>
    </row>
    <row r="114" spans="21:21" x14ac:dyDescent="0.3">
      <c r="U114" s="25" t="s">
        <v>375</v>
      </c>
    </row>
    <row r="115" spans="21:21" x14ac:dyDescent="0.3">
      <c r="U115" s="24" t="s">
        <v>1531</v>
      </c>
    </row>
    <row r="116" spans="21:21" x14ac:dyDescent="0.3">
      <c r="U116" s="24" t="s">
        <v>972</v>
      </c>
    </row>
    <row r="117" spans="21:21" x14ac:dyDescent="0.3">
      <c r="U117" s="25" t="s">
        <v>184</v>
      </c>
    </row>
    <row r="118" spans="21:21" x14ac:dyDescent="0.3">
      <c r="U118" s="25" t="s">
        <v>1501</v>
      </c>
    </row>
    <row r="119" spans="21:21" x14ac:dyDescent="0.3">
      <c r="U119" s="24" t="s">
        <v>1677</v>
      </c>
    </row>
    <row r="120" spans="21:21" x14ac:dyDescent="0.3">
      <c r="U120" s="24" t="s">
        <v>1039</v>
      </c>
    </row>
    <row r="121" spans="21:21" x14ac:dyDescent="0.3">
      <c r="U121" s="24" t="s">
        <v>1711</v>
      </c>
    </row>
    <row r="122" spans="21:21" x14ac:dyDescent="0.3">
      <c r="U122" s="25" t="s">
        <v>413</v>
      </c>
    </row>
    <row r="123" spans="21:21" x14ac:dyDescent="0.3">
      <c r="U123" s="25" t="s">
        <v>813</v>
      </c>
    </row>
    <row r="124" spans="21:21" x14ac:dyDescent="0.3">
      <c r="U124" s="25" t="s">
        <v>782</v>
      </c>
    </row>
    <row r="125" spans="21:21" x14ac:dyDescent="0.3">
      <c r="U125" s="24" t="s">
        <v>244</v>
      </c>
    </row>
    <row r="126" spans="21:21" x14ac:dyDescent="0.3">
      <c r="U126" s="24" t="s">
        <v>1465</v>
      </c>
    </row>
    <row r="127" spans="21:21" x14ac:dyDescent="0.3">
      <c r="U127" s="25" t="s">
        <v>1228</v>
      </c>
    </row>
    <row r="128" spans="21:21" x14ac:dyDescent="0.3">
      <c r="U128" s="25" t="s">
        <v>438</v>
      </c>
    </row>
    <row r="129" spans="21:21" x14ac:dyDescent="0.3">
      <c r="U129" s="24" t="s">
        <v>1294</v>
      </c>
    </row>
    <row r="130" spans="21:21" x14ac:dyDescent="0.3">
      <c r="U130" s="24" t="s">
        <v>1569</v>
      </c>
    </row>
    <row r="131" spans="21:21" x14ac:dyDescent="0.3">
      <c r="U131" s="24" t="s">
        <v>1503</v>
      </c>
    </row>
    <row r="132" spans="21:21" x14ac:dyDescent="0.3">
      <c r="U132" s="25" t="s">
        <v>218</v>
      </c>
    </row>
    <row r="133" spans="21:21" x14ac:dyDescent="0.3">
      <c r="U133" s="24" t="s">
        <v>1030</v>
      </c>
    </row>
    <row r="134" spans="21:21" x14ac:dyDescent="0.3">
      <c r="U134" s="24" t="s">
        <v>1017</v>
      </c>
    </row>
    <row r="135" spans="21:21" x14ac:dyDescent="0.3">
      <c r="U135" s="25" t="s">
        <v>998</v>
      </c>
    </row>
    <row r="136" spans="21:21" x14ac:dyDescent="0.3">
      <c r="U136" s="25" t="s">
        <v>1254</v>
      </c>
    </row>
    <row r="137" spans="21:21" x14ac:dyDescent="0.3">
      <c r="U137" s="24" t="s">
        <v>794</v>
      </c>
    </row>
    <row r="138" spans="21:21" x14ac:dyDescent="0.3">
      <c r="U138" s="24" t="s">
        <v>1185</v>
      </c>
    </row>
    <row r="139" spans="21:21" x14ac:dyDescent="0.3">
      <c r="U139" s="24" t="s">
        <v>541</v>
      </c>
    </row>
    <row r="140" spans="21:21" x14ac:dyDescent="0.3">
      <c r="U140" s="25" t="s">
        <v>1208</v>
      </c>
    </row>
    <row r="141" spans="21:21" x14ac:dyDescent="0.3">
      <c r="U141" s="25" t="s">
        <v>653</v>
      </c>
    </row>
    <row r="142" spans="21:21" x14ac:dyDescent="0.3">
      <c r="U142" s="24" t="s">
        <v>598</v>
      </c>
    </row>
    <row r="143" spans="21:21" x14ac:dyDescent="0.3">
      <c r="U143" s="24" t="s">
        <v>1151</v>
      </c>
    </row>
    <row r="144" spans="21:21" x14ac:dyDescent="0.3">
      <c r="U144" s="25" t="s">
        <v>312</v>
      </c>
    </row>
    <row r="145" spans="21:21" x14ac:dyDescent="0.3">
      <c r="U145" s="25" t="s">
        <v>175</v>
      </c>
    </row>
    <row r="146" spans="21:21" x14ac:dyDescent="0.3">
      <c r="U146" s="25" t="s">
        <v>738</v>
      </c>
    </row>
    <row r="147" spans="21:21" x14ac:dyDescent="0.3">
      <c r="U147" s="24" t="s">
        <v>214</v>
      </c>
    </row>
    <row r="148" spans="21:21" x14ac:dyDescent="0.3">
      <c r="U148" s="25" t="s">
        <v>1470</v>
      </c>
    </row>
    <row r="149" spans="21:21" x14ac:dyDescent="0.3">
      <c r="U149" s="25" t="s">
        <v>180</v>
      </c>
    </row>
    <row r="150" spans="21:21" x14ac:dyDescent="0.3">
      <c r="U150" s="25" t="s">
        <v>1776</v>
      </c>
    </row>
    <row r="151" spans="21:21" x14ac:dyDescent="0.3">
      <c r="U151" s="25" t="s">
        <v>1530</v>
      </c>
    </row>
    <row r="152" spans="21:21" x14ac:dyDescent="0.3">
      <c r="U152" s="24" t="s">
        <v>1384</v>
      </c>
    </row>
    <row r="153" spans="21:21" x14ac:dyDescent="0.3">
      <c r="U153" s="24" t="s">
        <v>901</v>
      </c>
    </row>
    <row r="154" spans="21:21" x14ac:dyDescent="0.3">
      <c r="U154" s="24" t="s">
        <v>80</v>
      </c>
    </row>
    <row r="155" spans="21:21" x14ac:dyDescent="0.3">
      <c r="U155" s="25" t="s">
        <v>1742</v>
      </c>
    </row>
    <row r="156" spans="21:21" x14ac:dyDescent="0.3">
      <c r="U156" s="25" t="s">
        <v>1446</v>
      </c>
    </row>
    <row r="157" spans="21:21" x14ac:dyDescent="0.3">
      <c r="U157" s="24" t="s">
        <v>1447</v>
      </c>
    </row>
    <row r="158" spans="21:21" x14ac:dyDescent="0.3">
      <c r="U158" s="25" t="s">
        <v>1567</v>
      </c>
    </row>
    <row r="159" spans="21:21" x14ac:dyDescent="0.3">
      <c r="U159" s="24" t="s">
        <v>227</v>
      </c>
    </row>
    <row r="160" spans="21:21" x14ac:dyDescent="0.3">
      <c r="U160" s="25" t="s">
        <v>1652</v>
      </c>
    </row>
    <row r="161" spans="21:21" x14ac:dyDescent="0.3">
      <c r="U161" s="25" t="s">
        <v>1143</v>
      </c>
    </row>
    <row r="162" spans="21:21" x14ac:dyDescent="0.3">
      <c r="U162" s="25" t="s">
        <v>210</v>
      </c>
    </row>
    <row r="163" spans="21:21" x14ac:dyDescent="0.3">
      <c r="U163" s="24" t="s">
        <v>1217</v>
      </c>
    </row>
    <row r="164" spans="21:21" x14ac:dyDescent="0.3">
      <c r="U164" s="25" t="s">
        <v>1203</v>
      </c>
    </row>
    <row r="165" spans="21:21" x14ac:dyDescent="0.3">
      <c r="U165" s="24" t="s">
        <v>797</v>
      </c>
    </row>
    <row r="166" spans="21:21" x14ac:dyDescent="0.3">
      <c r="U166" s="25" t="s">
        <v>1282</v>
      </c>
    </row>
    <row r="167" spans="21:21" x14ac:dyDescent="0.3">
      <c r="U167" s="24" t="s">
        <v>274</v>
      </c>
    </row>
    <row r="168" spans="21:21" x14ac:dyDescent="0.3">
      <c r="U168" s="25" t="s">
        <v>1058</v>
      </c>
    </row>
    <row r="169" spans="21:21" x14ac:dyDescent="0.3">
      <c r="U169" s="25" t="s">
        <v>1563</v>
      </c>
    </row>
    <row r="170" spans="21:21" x14ac:dyDescent="0.3">
      <c r="U170" s="24" t="s">
        <v>217</v>
      </c>
    </row>
    <row r="171" spans="21:21" x14ac:dyDescent="0.3">
      <c r="U171" s="25" t="s">
        <v>273</v>
      </c>
    </row>
    <row r="172" spans="21:21" x14ac:dyDescent="0.3">
      <c r="U172" s="24" t="s">
        <v>946</v>
      </c>
    </row>
    <row r="173" spans="21:21" x14ac:dyDescent="0.3">
      <c r="U173" s="24" t="s">
        <v>1762</v>
      </c>
    </row>
    <row r="174" spans="21:21" x14ac:dyDescent="0.3">
      <c r="U174" s="25" t="s">
        <v>1767</v>
      </c>
    </row>
    <row r="175" spans="21:21" x14ac:dyDescent="0.3">
      <c r="U175" s="24" t="s">
        <v>825</v>
      </c>
    </row>
    <row r="176" spans="21:21" x14ac:dyDescent="0.3">
      <c r="U176" s="25" t="s">
        <v>860</v>
      </c>
    </row>
    <row r="177" spans="21:21" x14ac:dyDescent="0.3">
      <c r="U177" s="25" t="s">
        <v>430</v>
      </c>
    </row>
    <row r="178" spans="21:21" x14ac:dyDescent="0.3">
      <c r="U178" s="25" t="s">
        <v>1417</v>
      </c>
    </row>
    <row r="179" spans="21:21" x14ac:dyDescent="0.3">
      <c r="U179" s="25" t="s">
        <v>816</v>
      </c>
    </row>
    <row r="180" spans="21:21" x14ac:dyDescent="0.3">
      <c r="U180" s="24" t="s">
        <v>1429</v>
      </c>
    </row>
    <row r="181" spans="21:21" x14ac:dyDescent="0.3">
      <c r="U181" s="25" t="s">
        <v>1435</v>
      </c>
    </row>
    <row r="182" spans="21:21" x14ac:dyDescent="0.3">
      <c r="U182" s="24" t="s">
        <v>1434</v>
      </c>
    </row>
    <row r="183" spans="21:21" x14ac:dyDescent="0.3">
      <c r="U183" s="24" t="s">
        <v>235</v>
      </c>
    </row>
    <row r="184" spans="21:21" x14ac:dyDescent="0.3">
      <c r="U184" s="25" t="s">
        <v>1546</v>
      </c>
    </row>
    <row r="185" spans="21:21" x14ac:dyDescent="0.3">
      <c r="U185" s="24" t="s">
        <v>1517</v>
      </c>
    </row>
    <row r="186" spans="21:21" x14ac:dyDescent="0.3">
      <c r="U186" s="24" t="s">
        <v>1723</v>
      </c>
    </row>
    <row r="187" spans="21:21" x14ac:dyDescent="0.3">
      <c r="U187" s="24" t="s">
        <v>1265</v>
      </c>
    </row>
    <row r="188" spans="21:21" x14ac:dyDescent="0.3">
      <c r="U188" s="25" t="s">
        <v>296</v>
      </c>
    </row>
    <row r="189" spans="21:21" x14ac:dyDescent="0.3">
      <c r="U189" s="24" t="s">
        <v>843</v>
      </c>
    </row>
    <row r="190" spans="21:21" x14ac:dyDescent="0.3">
      <c r="U190" s="25" t="s">
        <v>821</v>
      </c>
    </row>
    <row r="191" spans="21:21" x14ac:dyDescent="0.3">
      <c r="U191" s="24" t="s">
        <v>1547</v>
      </c>
    </row>
    <row r="192" spans="21:21" x14ac:dyDescent="0.3">
      <c r="U192" s="25" t="s">
        <v>435</v>
      </c>
    </row>
    <row r="193" spans="21:21" x14ac:dyDescent="0.3">
      <c r="U193" s="25" t="s">
        <v>1321</v>
      </c>
    </row>
    <row r="194" spans="21:21" x14ac:dyDescent="0.3">
      <c r="U194" s="24" t="s">
        <v>1498</v>
      </c>
    </row>
    <row r="195" spans="21:21" x14ac:dyDescent="0.3">
      <c r="U195" s="24" t="s">
        <v>410</v>
      </c>
    </row>
    <row r="196" spans="21:21" x14ac:dyDescent="0.3">
      <c r="U196" s="25" t="s">
        <v>1630</v>
      </c>
    </row>
    <row r="197" spans="21:21" x14ac:dyDescent="0.3">
      <c r="U197" s="24" t="s">
        <v>460</v>
      </c>
    </row>
    <row r="198" spans="21:21" x14ac:dyDescent="0.3">
      <c r="U198" s="25" t="s">
        <v>937</v>
      </c>
    </row>
    <row r="199" spans="21:21" x14ac:dyDescent="0.3">
      <c r="U199" s="25" t="s">
        <v>547</v>
      </c>
    </row>
    <row r="200" spans="21:21" x14ac:dyDescent="0.3">
      <c r="U200" s="24" t="s">
        <v>1476</v>
      </c>
    </row>
    <row r="201" spans="21:21" x14ac:dyDescent="0.3">
      <c r="U201" s="24" t="s">
        <v>1687</v>
      </c>
    </row>
    <row r="202" spans="21:21" x14ac:dyDescent="0.3">
      <c r="U202" s="25" t="s">
        <v>1368</v>
      </c>
    </row>
    <row r="203" spans="21:21" x14ac:dyDescent="0.3">
      <c r="U203" s="25" t="s">
        <v>809</v>
      </c>
    </row>
    <row r="204" spans="21:21" x14ac:dyDescent="0.3">
      <c r="U204" s="24" t="s">
        <v>1193</v>
      </c>
    </row>
    <row r="205" spans="21:21" x14ac:dyDescent="0.3">
      <c r="U205" s="24" t="s">
        <v>1493</v>
      </c>
    </row>
    <row r="206" spans="21:21" x14ac:dyDescent="0.3">
      <c r="U206" s="25" t="s">
        <v>221</v>
      </c>
    </row>
    <row r="207" spans="21:21" x14ac:dyDescent="0.3">
      <c r="U207" s="25" t="s">
        <v>1337</v>
      </c>
    </row>
    <row r="208" spans="21:21" x14ac:dyDescent="0.3">
      <c r="U208" s="24" t="s">
        <v>298</v>
      </c>
    </row>
    <row r="209" spans="21:21" x14ac:dyDescent="0.3">
      <c r="U209" s="24" t="s">
        <v>996</v>
      </c>
    </row>
    <row r="210" spans="21:21" x14ac:dyDescent="0.3">
      <c r="U210" s="25" t="s">
        <v>1535</v>
      </c>
    </row>
    <row r="211" spans="21:21" x14ac:dyDescent="0.3">
      <c r="U211" s="25" t="s">
        <v>613</v>
      </c>
    </row>
    <row r="212" spans="21:21" x14ac:dyDescent="0.3">
      <c r="U212" s="25" t="s">
        <v>555</v>
      </c>
    </row>
    <row r="213" spans="21:21" x14ac:dyDescent="0.3">
      <c r="U213" s="24" t="s">
        <v>1290</v>
      </c>
    </row>
    <row r="214" spans="21:21" x14ac:dyDescent="0.3">
      <c r="U214" s="25" t="s">
        <v>481</v>
      </c>
    </row>
    <row r="215" spans="21:21" x14ac:dyDescent="0.3">
      <c r="U215" s="24" t="s">
        <v>83</v>
      </c>
    </row>
    <row r="216" spans="21:21" x14ac:dyDescent="0.3">
      <c r="U216" s="24" t="s">
        <v>377</v>
      </c>
    </row>
    <row r="217" spans="21:21" x14ac:dyDescent="0.3">
      <c r="U217" s="24" t="s">
        <v>262</v>
      </c>
    </row>
    <row r="218" spans="21:21" x14ac:dyDescent="0.3">
      <c r="U218" s="24" t="s">
        <v>207</v>
      </c>
    </row>
    <row r="219" spans="21:21" x14ac:dyDescent="0.3">
      <c r="U219" s="24" t="s">
        <v>687</v>
      </c>
    </row>
    <row r="220" spans="21:21" x14ac:dyDescent="0.3">
      <c r="U220" s="24" t="s">
        <v>1004</v>
      </c>
    </row>
    <row r="221" spans="21:21" x14ac:dyDescent="0.3">
      <c r="U221" s="24" t="s">
        <v>1350</v>
      </c>
    </row>
    <row r="222" spans="21:21" x14ac:dyDescent="0.3">
      <c r="U222" s="25" t="s">
        <v>1352</v>
      </c>
    </row>
    <row r="223" spans="21:21" x14ac:dyDescent="0.3">
      <c r="U223" s="24" t="s">
        <v>1381</v>
      </c>
    </row>
    <row r="224" spans="21:21" x14ac:dyDescent="0.3">
      <c r="U224" s="25" t="s">
        <v>1611</v>
      </c>
    </row>
    <row r="225" spans="21:21" x14ac:dyDescent="0.3">
      <c r="U225" s="25" t="s">
        <v>1201</v>
      </c>
    </row>
    <row r="226" spans="21:21" x14ac:dyDescent="0.3">
      <c r="U226" s="25" t="s">
        <v>1051</v>
      </c>
    </row>
    <row r="227" spans="21:21" x14ac:dyDescent="0.3">
      <c r="U227" s="24" t="s">
        <v>967</v>
      </c>
    </row>
    <row r="228" spans="21:21" x14ac:dyDescent="0.3">
      <c r="U228" s="24" t="s">
        <v>1568</v>
      </c>
    </row>
    <row r="229" spans="21:21" x14ac:dyDescent="0.3">
      <c r="U229" s="24" t="s">
        <v>752</v>
      </c>
    </row>
    <row r="230" spans="21:21" x14ac:dyDescent="0.3">
      <c r="U230" s="25" t="s">
        <v>1491</v>
      </c>
    </row>
    <row r="231" spans="21:21" x14ac:dyDescent="0.3">
      <c r="U231" s="25" t="s">
        <v>1371</v>
      </c>
    </row>
    <row r="232" spans="21:21" x14ac:dyDescent="0.3">
      <c r="U232" s="25" t="s">
        <v>451</v>
      </c>
    </row>
    <row r="233" spans="21:21" x14ac:dyDescent="0.3">
      <c r="U233" s="24" t="s">
        <v>707</v>
      </c>
    </row>
    <row r="234" spans="21:21" x14ac:dyDescent="0.3">
      <c r="U234" s="25" t="s">
        <v>512</v>
      </c>
    </row>
    <row r="235" spans="21:21" x14ac:dyDescent="0.3">
      <c r="U235" s="24" t="s">
        <v>1508</v>
      </c>
    </row>
    <row r="236" spans="21:21" x14ac:dyDescent="0.3">
      <c r="U236" s="24" t="s">
        <v>1167</v>
      </c>
    </row>
    <row r="237" spans="21:21" x14ac:dyDescent="0.3">
      <c r="U237" s="25" t="s">
        <v>1271</v>
      </c>
    </row>
    <row r="238" spans="21:21" x14ac:dyDescent="0.3">
      <c r="U238" s="25" t="s">
        <v>1572</v>
      </c>
    </row>
    <row r="239" spans="21:21" x14ac:dyDescent="0.3">
      <c r="U239" s="24" t="s">
        <v>1534</v>
      </c>
    </row>
    <row r="240" spans="21:21" x14ac:dyDescent="0.3">
      <c r="U240" s="25" t="s">
        <v>1466</v>
      </c>
    </row>
    <row r="241" spans="21:21" x14ac:dyDescent="0.3">
      <c r="U241" s="25" t="s">
        <v>750</v>
      </c>
    </row>
    <row r="242" spans="21:21" x14ac:dyDescent="0.3">
      <c r="U242" s="24" t="s">
        <v>1599</v>
      </c>
    </row>
    <row r="243" spans="21:21" x14ac:dyDescent="0.3">
      <c r="U243" s="24" t="s">
        <v>464</v>
      </c>
    </row>
    <row r="244" spans="21:21" x14ac:dyDescent="0.3">
      <c r="U244" s="25" t="s">
        <v>976</v>
      </c>
    </row>
    <row r="245" spans="21:21" x14ac:dyDescent="0.3">
      <c r="U245" s="24" t="s">
        <v>1020</v>
      </c>
    </row>
    <row r="246" spans="21:21" x14ac:dyDescent="0.3">
      <c r="U246" s="24" t="s">
        <v>1738</v>
      </c>
    </row>
    <row r="247" spans="21:21" x14ac:dyDescent="0.3">
      <c r="U247" s="24" t="s">
        <v>1079</v>
      </c>
    </row>
    <row r="248" spans="21:21" x14ac:dyDescent="0.3">
      <c r="U248" s="25" t="s">
        <v>1383</v>
      </c>
    </row>
    <row r="249" spans="21:21" x14ac:dyDescent="0.3">
      <c r="U249" s="24" t="s">
        <v>1467</v>
      </c>
    </row>
    <row r="250" spans="21:21" x14ac:dyDescent="0.3">
      <c r="U250" s="25" t="s">
        <v>1419</v>
      </c>
    </row>
    <row r="251" spans="21:21" x14ac:dyDescent="0.3">
      <c r="U251" s="25" t="s">
        <v>1800</v>
      </c>
    </row>
    <row r="252" spans="21:21" x14ac:dyDescent="0.3">
      <c r="U252" s="24" t="s">
        <v>300</v>
      </c>
    </row>
    <row r="253" spans="21:21" x14ac:dyDescent="0.3">
      <c r="U253" s="25" t="s">
        <v>1248</v>
      </c>
    </row>
    <row r="254" spans="21:21" x14ac:dyDescent="0.3">
      <c r="U254" s="24" t="s">
        <v>404</v>
      </c>
    </row>
    <row r="255" spans="21:21" x14ac:dyDescent="0.3">
      <c r="U255" s="25" t="s">
        <v>730</v>
      </c>
    </row>
    <row r="256" spans="21:21" x14ac:dyDescent="0.3">
      <c r="U256" s="24" t="s">
        <v>1411</v>
      </c>
    </row>
    <row r="257" spans="21:21" x14ac:dyDescent="0.3">
      <c r="U257" s="25" t="s">
        <v>37</v>
      </c>
    </row>
    <row r="258" spans="21:21" x14ac:dyDescent="0.3">
      <c r="U258" s="25" t="s">
        <v>281</v>
      </c>
    </row>
    <row r="259" spans="21:21" x14ac:dyDescent="0.3">
      <c r="U259" s="25" t="s">
        <v>933</v>
      </c>
    </row>
    <row r="260" spans="21:21" x14ac:dyDescent="0.3">
      <c r="U260" s="25" t="s">
        <v>1649</v>
      </c>
    </row>
    <row r="261" spans="21:21" x14ac:dyDescent="0.3">
      <c r="U261" s="24" t="s">
        <v>1679</v>
      </c>
    </row>
    <row r="262" spans="21:21" x14ac:dyDescent="0.3">
      <c r="U262" s="24" t="s">
        <v>1506</v>
      </c>
    </row>
    <row r="263" spans="21:21" x14ac:dyDescent="0.3">
      <c r="U263" s="25" t="s">
        <v>1295</v>
      </c>
    </row>
    <row r="264" spans="21:21" x14ac:dyDescent="0.3">
      <c r="U264" s="24" t="s">
        <v>1637</v>
      </c>
    </row>
    <row r="265" spans="21:21" x14ac:dyDescent="0.3">
      <c r="U265" s="24" t="s">
        <v>1785</v>
      </c>
    </row>
    <row r="266" spans="21:21" x14ac:dyDescent="0.3">
      <c r="U266" s="24" t="s">
        <v>483</v>
      </c>
    </row>
    <row r="267" spans="21:21" x14ac:dyDescent="0.3">
      <c r="U267" s="25" t="s">
        <v>560</v>
      </c>
    </row>
    <row r="268" spans="21:21" x14ac:dyDescent="0.3">
      <c r="U268" s="25" t="s">
        <v>593</v>
      </c>
    </row>
    <row r="269" spans="21:21" x14ac:dyDescent="0.3">
      <c r="U269" s="25" t="s">
        <v>829</v>
      </c>
    </row>
    <row r="270" spans="21:21" x14ac:dyDescent="0.3">
      <c r="U270" s="24" t="s">
        <v>851</v>
      </c>
    </row>
    <row r="271" spans="21:21" x14ac:dyDescent="0.3">
      <c r="U271" s="24" t="s">
        <v>1001</v>
      </c>
    </row>
    <row r="272" spans="21:21" x14ac:dyDescent="0.3">
      <c r="U272" s="24" t="s">
        <v>267</v>
      </c>
    </row>
    <row r="273" spans="21:21" x14ac:dyDescent="0.3">
      <c r="U273" s="24" t="s">
        <v>98</v>
      </c>
    </row>
    <row r="274" spans="21:21" x14ac:dyDescent="0.3">
      <c r="U274" s="25" t="s">
        <v>1186</v>
      </c>
    </row>
    <row r="275" spans="21:21" x14ac:dyDescent="0.3">
      <c r="U275" s="25" t="s">
        <v>668</v>
      </c>
    </row>
    <row r="276" spans="21:21" x14ac:dyDescent="0.3">
      <c r="U276" s="24" t="s">
        <v>1243</v>
      </c>
    </row>
    <row r="277" spans="21:21" x14ac:dyDescent="0.3">
      <c r="U277" s="24" t="s">
        <v>310</v>
      </c>
    </row>
    <row r="278" spans="21:21" x14ac:dyDescent="0.3">
      <c r="U278" s="24" t="s">
        <v>1514</v>
      </c>
    </row>
    <row r="279" spans="21:21" x14ac:dyDescent="0.3">
      <c r="U279" s="24" t="s">
        <v>876</v>
      </c>
    </row>
    <row r="280" spans="21:21" x14ac:dyDescent="0.3">
      <c r="U280" s="24" t="s">
        <v>1759</v>
      </c>
    </row>
    <row r="281" spans="21:21" x14ac:dyDescent="0.3">
      <c r="U281" s="25" t="s">
        <v>530</v>
      </c>
    </row>
    <row r="282" spans="21:21" x14ac:dyDescent="0.3">
      <c r="U282" s="25" t="s">
        <v>1291</v>
      </c>
    </row>
    <row r="283" spans="21:21" x14ac:dyDescent="0.3">
      <c r="U283" s="25" t="s">
        <v>872</v>
      </c>
    </row>
    <row r="284" spans="21:21" x14ac:dyDescent="0.3">
      <c r="U284" s="25" t="s">
        <v>1456</v>
      </c>
    </row>
    <row r="285" spans="21:21" x14ac:dyDescent="0.3">
      <c r="U285" s="25" t="s">
        <v>1149</v>
      </c>
    </row>
    <row r="286" spans="21:21" x14ac:dyDescent="0.3">
      <c r="U286" s="25" t="s">
        <v>378</v>
      </c>
    </row>
    <row r="287" spans="21:21" x14ac:dyDescent="0.3">
      <c r="U287" s="25" t="s">
        <v>499</v>
      </c>
    </row>
    <row r="288" spans="21:21" x14ac:dyDescent="0.3">
      <c r="U288" s="25" t="s">
        <v>1165</v>
      </c>
    </row>
    <row r="289" spans="21:21" x14ac:dyDescent="0.3">
      <c r="U289" s="25" t="s">
        <v>406</v>
      </c>
    </row>
    <row r="290" spans="21:21" x14ac:dyDescent="0.3">
      <c r="U290" s="24" t="s">
        <v>1127</v>
      </c>
    </row>
    <row r="291" spans="21:21" x14ac:dyDescent="0.3">
      <c r="U291" s="25" t="s">
        <v>1355</v>
      </c>
    </row>
    <row r="292" spans="21:21" x14ac:dyDescent="0.3">
      <c r="U292" s="24" t="s">
        <v>509</v>
      </c>
    </row>
    <row r="293" spans="21:21" x14ac:dyDescent="0.3">
      <c r="U293" s="24" t="s">
        <v>649</v>
      </c>
    </row>
    <row r="294" spans="21:21" x14ac:dyDescent="0.3">
      <c r="U294" s="25" t="s">
        <v>551</v>
      </c>
    </row>
    <row r="295" spans="21:21" x14ac:dyDescent="0.3">
      <c r="U295" s="25" t="s">
        <v>1505</v>
      </c>
    </row>
    <row r="296" spans="21:21" x14ac:dyDescent="0.3">
      <c r="U296" s="25" t="s">
        <v>1175</v>
      </c>
    </row>
    <row r="297" spans="21:21" x14ac:dyDescent="0.3">
      <c r="U297" s="24" t="s">
        <v>1675</v>
      </c>
    </row>
    <row r="298" spans="21:21" x14ac:dyDescent="0.3">
      <c r="U298" s="24" t="s">
        <v>1246</v>
      </c>
    </row>
    <row r="299" spans="21:21" x14ac:dyDescent="0.3">
      <c r="U299" s="24" t="s">
        <v>401</v>
      </c>
    </row>
    <row r="300" spans="21:21" x14ac:dyDescent="0.3">
      <c r="U300" s="24" t="s">
        <v>189</v>
      </c>
    </row>
    <row r="301" spans="21:21" x14ac:dyDescent="0.3">
      <c r="U301" s="25" t="s">
        <v>1791</v>
      </c>
    </row>
    <row r="302" spans="21:21" x14ac:dyDescent="0.3">
      <c r="U302" s="25" t="s">
        <v>1131</v>
      </c>
    </row>
    <row r="303" spans="21:21" x14ac:dyDescent="0.3">
      <c r="U303" s="25" t="s">
        <v>357</v>
      </c>
    </row>
    <row r="304" spans="21:21" x14ac:dyDescent="0.3">
      <c r="U304" s="25" t="s">
        <v>799</v>
      </c>
    </row>
    <row r="305" spans="21:21" x14ac:dyDescent="0.3">
      <c r="U305" s="24" t="s">
        <v>369</v>
      </c>
    </row>
    <row r="306" spans="21:21" x14ac:dyDescent="0.3">
      <c r="U306" s="25" t="s">
        <v>811</v>
      </c>
    </row>
    <row r="307" spans="21:21" x14ac:dyDescent="0.3">
      <c r="U307" s="25" t="s">
        <v>1788</v>
      </c>
    </row>
    <row r="308" spans="21:21" x14ac:dyDescent="0.3">
      <c r="U308" s="24" t="s">
        <v>186</v>
      </c>
    </row>
    <row r="309" spans="21:21" x14ac:dyDescent="0.3">
      <c r="U309" s="25" t="s">
        <v>701</v>
      </c>
    </row>
    <row r="310" spans="21:21" x14ac:dyDescent="0.3">
      <c r="U310" s="25" t="s">
        <v>276</v>
      </c>
    </row>
    <row r="311" spans="21:21" x14ac:dyDescent="0.3">
      <c r="U311" s="25" t="s">
        <v>505</v>
      </c>
    </row>
    <row r="312" spans="21:21" x14ac:dyDescent="0.3">
      <c r="U312" s="25" t="s">
        <v>1157</v>
      </c>
    </row>
    <row r="313" spans="21:21" x14ac:dyDescent="0.3">
      <c r="U313" s="25" t="s">
        <v>831</v>
      </c>
    </row>
    <row r="314" spans="21:21" x14ac:dyDescent="0.3">
      <c r="U314" s="25" t="s">
        <v>487</v>
      </c>
    </row>
    <row r="315" spans="21:21" x14ac:dyDescent="0.3">
      <c r="U315" s="24" t="s">
        <v>1159</v>
      </c>
    </row>
    <row r="316" spans="21:21" x14ac:dyDescent="0.3">
      <c r="U316" s="25" t="s">
        <v>389</v>
      </c>
    </row>
    <row r="317" spans="21:21" x14ac:dyDescent="0.3">
      <c r="U317" s="24" t="s">
        <v>1525</v>
      </c>
    </row>
    <row r="318" spans="21:21" x14ac:dyDescent="0.3">
      <c r="U318" s="25" t="s">
        <v>1048</v>
      </c>
    </row>
    <row r="319" spans="21:21" x14ac:dyDescent="0.3">
      <c r="U319" s="25" t="s">
        <v>564</v>
      </c>
    </row>
    <row r="320" spans="21:21" x14ac:dyDescent="0.3">
      <c r="U320" s="25" t="s">
        <v>930</v>
      </c>
    </row>
    <row r="321" spans="21:21" x14ac:dyDescent="0.3">
      <c r="U321" s="25" t="s">
        <v>1232</v>
      </c>
    </row>
    <row r="322" spans="21:21" x14ac:dyDescent="0.3">
      <c r="U322" s="24" t="s">
        <v>867</v>
      </c>
    </row>
    <row r="323" spans="21:21" x14ac:dyDescent="0.3">
      <c r="U323" s="25" t="s">
        <v>1712</v>
      </c>
    </row>
    <row r="324" spans="21:21" x14ac:dyDescent="0.3">
      <c r="U324" s="25" t="s">
        <v>536</v>
      </c>
    </row>
    <row r="325" spans="21:21" x14ac:dyDescent="0.3">
      <c r="U325" s="25" t="s">
        <v>1107</v>
      </c>
    </row>
    <row r="326" spans="21:21" x14ac:dyDescent="0.3">
      <c r="U326" s="24" t="s">
        <v>1121</v>
      </c>
    </row>
    <row r="327" spans="21:21" x14ac:dyDescent="0.3">
      <c r="U327" s="24" t="s">
        <v>1234</v>
      </c>
    </row>
    <row r="328" spans="21:21" x14ac:dyDescent="0.3">
      <c r="U328" s="25" t="s">
        <v>632</v>
      </c>
    </row>
    <row r="329" spans="21:21" x14ac:dyDescent="0.3">
      <c r="U329" s="25" t="s">
        <v>1516</v>
      </c>
    </row>
    <row r="330" spans="21:21" x14ac:dyDescent="0.3">
      <c r="U330" s="24" t="s">
        <v>684</v>
      </c>
    </row>
    <row r="331" spans="21:21" x14ac:dyDescent="0.3">
      <c r="U331" s="25" t="s">
        <v>1704</v>
      </c>
    </row>
    <row r="332" spans="21:21" x14ac:dyDescent="0.3">
      <c r="U332" s="24" t="s">
        <v>654</v>
      </c>
    </row>
    <row r="333" spans="21:21" x14ac:dyDescent="0.3">
      <c r="U333" s="24" t="s">
        <v>1597</v>
      </c>
    </row>
    <row r="334" spans="21:21" x14ac:dyDescent="0.3">
      <c r="U334" s="25" t="s">
        <v>1292</v>
      </c>
    </row>
    <row r="335" spans="21:21" x14ac:dyDescent="0.3">
      <c r="U335" s="25" t="s">
        <v>1293</v>
      </c>
    </row>
    <row r="336" spans="21:21" x14ac:dyDescent="0.3">
      <c r="U336" s="24" t="s">
        <v>182</v>
      </c>
    </row>
    <row r="337" spans="21:21" x14ac:dyDescent="0.3">
      <c r="U337" s="25" t="s">
        <v>603</v>
      </c>
    </row>
    <row r="338" spans="21:21" x14ac:dyDescent="0.3">
      <c r="U338" s="25" t="s">
        <v>583</v>
      </c>
    </row>
    <row r="339" spans="21:21" x14ac:dyDescent="0.3">
      <c r="U339" s="25" t="s">
        <v>76</v>
      </c>
    </row>
    <row r="340" spans="21:21" x14ac:dyDescent="0.3">
      <c r="U340" s="24" t="s">
        <v>617</v>
      </c>
    </row>
    <row r="341" spans="21:21" x14ac:dyDescent="0.3">
      <c r="U341" s="24" t="s">
        <v>51</v>
      </c>
    </row>
    <row r="342" spans="21:21" x14ac:dyDescent="0.3">
      <c r="U342" s="25" t="s">
        <v>120</v>
      </c>
    </row>
    <row r="343" spans="21:21" x14ac:dyDescent="0.3">
      <c r="U343" s="24" t="s">
        <v>112</v>
      </c>
    </row>
    <row r="344" spans="21:21" x14ac:dyDescent="0.3">
      <c r="U344" s="25" t="s">
        <v>1522</v>
      </c>
    </row>
    <row r="345" spans="21:21" x14ac:dyDescent="0.3">
      <c r="U345" s="25" t="s">
        <v>284</v>
      </c>
    </row>
    <row r="346" spans="21:21" x14ac:dyDescent="0.3">
      <c r="U346" s="24" t="s">
        <v>419</v>
      </c>
    </row>
    <row r="347" spans="21:21" x14ac:dyDescent="0.3">
      <c r="U347" s="24" t="s">
        <v>428</v>
      </c>
    </row>
    <row r="348" spans="21:21" x14ac:dyDescent="0.3">
      <c r="U348" s="24" t="s">
        <v>1116</v>
      </c>
    </row>
    <row r="349" spans="21:21" x14ac:dyDescent="0.3">
      <c r="U349" s="24" t="s">
        <v>1376</v>
      </c>
    </row>
    <row r="350" spans="21:21" x14ac:dyDescent="0.3">
      <c r="U350" s="25" t="s">
        <v>659</v>
      </c>
    </row>
    <row r="351" spans="21:21" x14ac:dyDescent="0.3">
      <c r="U351" s="24" t="s">
        <v>801</v>
      </c>
    </row>
    <row r="352" spans="21:21" x14ac:dyDescent="0.3">
      <c r="U352" s="24" t="s">
        <v>773</v>
      </c>
    </row>
    <row r="353" spans="21:21" x14ac:dyDescent="0.3">
      <c r="U353" s="24" t="s">
        <v>810</v>
      </c>
    </row>
    <row r="354" spans="21:21" x14ac:dyDescent="0.3">
      <c r="U354" s="24" t="s">
        <v>787</v>
      </c>
    </row>
    <row r="355" spans="21:21" x14ac:dyDescent="0.3">
      <c r="U355" s="24" t="s">
        <v>424</v>
      </c>
    </row>
    <row r="356" spans="21:21" x14ac:dyDescent="0.3">
      <c r="U356" s="24" t="s">
        <v>1765</v>
      </c>
    </row>
    <row r="357" spans="21:21" x14ac:dyDescent="0.3">
      <c r="U357" s="25" t="s">
        <v>795</v>
      </c>
    </row>
    <row r="358" spans="21:21" x14ac:dyDescent="0.3">
      <c r="U358" s="24" t="s">
        <v>459</v>
      </c>
    </row>
    <row r="359" spans="21:21" x14ac:dyDescent="0.3">
      <c r="U359" s="25" t="s">
        <v>689</v>
      </c>
    </row>
    <row r="360" spans="21:21" x14ac:dyDescent="0.3">
      <c r="U360" s="24" t="s">
        <v>1060</v>
      </c>
    </row>
    <row r="361" spans="21:21" x14ac:dyDescent="0.3">
      <c r="U361" s="24" t="s">
        <v>614</v>
      </c>
    </row>
    <row r="362" spans="21:21" x14ac:dyDescent="0.3">
      <c r="U362" s="25" t="s">
        <v>1586</v>
      </c>
    </row>
    <row r="363" spans="21:21" x14ac:dyDescent="0.3">
      <c r="U363" s="24" t="s">
        <v>440</v>
      </c>
    </row>
    <row r="364" spans="21:21" x14ac:dyDescent="0.3">
      <c r="U364" s="24" t="s">
        <v>67</v>
      </c>
    </row>
    <row r="365" spans="21:21" x14ac:dyDescent="0.3">
      <c r="U365" s="24" t="s">
        <v>172</v>
      </c>
    </row>
    <row r="366" spans="21:21" x14ac:dyDescent="0.3">
      <c r="U366" s="25" t="s">
        <v>674</v>
      </c>
    </row>
    <row r="367" spans="21:21" x14ac:dyDescent="0.3">
      <c r="U367" s="25" t="s">
        <v>1772</v>
      </c>
    </row>
    <row r="368" spans="21:21" x14ac:dyDescent="0.3">
      <c r="U368" s="24" t="s">
        <v>572</v>
      </c>
    </row>
    <row r="369" spans="21:21" x14ac:dyDescent="0.3">
      <c r="U369" s="24" t="s">
        <v>618</v>
      </c>
    </row>
    <row r="370" spans="21:21" x14ac:dyDescent="0.3">
      <c r="U370" s="25" t="s">
        <v>650</v>
      </c>
    </row>
    <row r="371" spans="21:21" x14ac:dyDescent="0.3">
      <c r="U371" s="24" t="s">
        <v>1327</v>
      </c>
    </row>
    <row r="372" spans="21:21" x14ac:dyDescent="0.3">
      <c r="U372" s="24" t="s">
        <v>1801</v>
      </c>
    </row>
    <row r="373" spans="21:21" x14ac:dyDescent="0.3">
      <c r="U373" s="24" t="s">
        <v>604</v>
      </c>
    </row>
    <row r="374" spans="21:21" x14ac:dyDescent="0.3">
      <c r="U374" s="24" t="s">
        <v>760</v>
      </c>
    </row>
    <row r="375" spans="21:21" x14ac:dyDescent="0.3">
      <c r="U375" s="24" t="s">
        <v>230</v>
      </c>
    </row>
    <row r="376" spans="21:21" x14ac:dyDescent="0.3">
      <c r="U376" s="25" t="s">
        <v>1603</v>
      </c>
    </row>
    <row r="377" spans="21:21" x14ac:dyDescent="0.3">
      <c r="U377" s="25" t="s">
        <v>533</v>
      </c>
    </row>
    <row r="378" spans="21:21" x14ac:dyDescent="0.3">
      <c r="U378" s="25" t="s">
        <v>319</v>
      </c>
    </row>
    <row r="379" spans="21:21" x14ac:dyDescent="0.3">
      <c r="U379" s="24" t="s">
        <v>374</v>
      </c>
    </row>
    <row r="380" spans="21:21" x14ac:dyDescent="0.3">
      <c r="U380" s="24" t="s">
        <v>1610</v>
      </c>
    </row>
    <row r="381" spans="21:21" x14ac:dyDescent="0.3">
      <c r="U381" s="25" t="s">
        <v>1710</v>
      </c>
    </row>
    <row r="382" spans="21:21" x14ac:dyDescent="0.3">
      <c r="U382" s="25" t="s">
        <v>1479</v>
      </c>
    </row>
    <row r="383" spans="21:21" x14ac:dyDescent="0.3">
      <c r="U383" s="24" t="s">
        <v>1180</v>
      </c>
    </row>
    <row r="384" spans="21:21" x14ac:dyDescent="0.3">
      <c r="U384" s="24" t="s">
        <v>550</v>
      </c>
    </row>
    <row r="385" spans="21:21" x14ac:dyDescent="0.3">
      <c r="U385" s="25" t="s">
        <v>753</v>
      </c>
    </row>
    <row r="386" spans="21:21" x14ac:dyDescent="0.3">
      <c r="U386" s="25" t="s">
        <v>289</v>
      </c>
    </row>
    <row r="387" spans="21:21" x14ac:dyDescent="0.3">
      <c r="U387" s="25" t="s">
        <v>1526</v>
      </c>
    </row>
    <row r="388" spans="21:21" x14ac:dyDescent="0.3">
      <c r="U388" s="25" t="s">
        <v>1660</v>
      </c>
    </row>
    <row r="389" spans="21:21" x14ac:dyDescent="0.3">
      <c r="U389" s="24" t="s">
        <v>1315</v>
      </c>
    </row>
    <row r="390" spans="21:21" x14ac:dyDescent="0.3">
      <c r="U390" s="25" t="s">
        <v>1317</v>
      </c>
    </row>
    <row r="391" spans="21:21" x14ac:dyDescent="0.3">
      <c r="U391" s="24" t="s">
        <v>1318</v>
      </c>
    </row>
    <row r="392" spans="21:21" x14ac:dyDescent="0.3">
      <c r="U392" s="25" t="s">
        <v>642</v>
      </c>
    </row>
    <row r="393" spans="21:21" x14ac:dyDescent="0.3">
      <c r="U393" s="25" t="s">
        <v>609</v>
      </c>
    </row>
    <row r="394" spans="21:21" x14ac:dyDescent="0.3">
      <c r="U394" s="24" t="s">
        <v>553</v>
      </c>
    </row>
    <row r="395" spans="21:21" x14ac:dyDescent="0.3">
      <c r="U395" s="25" t="s">
        <v>1320</v>
      </c>
    </row>
    <row r="396" spans="21:21" x14ac:dyDescent="0.3">
      <c r="U396" s="24" t="s">
        <v>1390</v>
      </c>
    </row>
    <row r="397" spans="21:21" x14ac:dyDescent="0.3">
      <c r="U397" s="25" t="s">
        <v>1062</v>
      </c>
    </row>
    <row r="398" spans="21:21" x14ac:dyDescent="0.3">
      <c r="U398" s="24" t="s">
        <v>1224</v>
      </c>
    </row>
    <row r="399" spans="21:21" x14ac:dyDescent="0.3">
      <c r="U399" s="24" t="s">
        <v>1132</v>
      </c>
    </row>
    <row r="400" spans="21:21" x14ac:dyDescent="0.3">
      <c r="U400" s="24" t="s">
        <v>1529</v>
      </c>
    </row>
    <row r="401" spans="21:21" x14ac:dyDescent="0.3">
      <c r="U401" s="25" t="s">
        <v>1634</v>
      </c>
    </row>
    <row r="402" spans="21:21" x14ac:dyDescent="0.3">
      <c r="U402" s="24" t="s">
        <v>1633</v>
      </c>
    </row>
    <row r="403" spans="21:21" x14ac:dyDescent="0.3">
      <c r="U403" s="25" t="s">
        <v>1609</v>
      </c>
    </row>
    <row r="404" spans="21:21" x14ac:dyDescent="0.3">
      <c r="U404" s="25" t="s">
        <v>248</v>
      </c>
    </row>
    <row r="405" spans="21:21" x14ac:dyDescent="0.3">
      <c r="U405" s="24" t="s">
        <v>1778</v>
      </c>
    </row>
    <row r="406" spans="21:21" x14ac:dyDescent="0.3">
      <c r="U406" s="25" t="s">
        <v>1605</v>
      </c>
    </row>
    <row r="407" spans="21:21" x14ac:dyDescent="0.3">
      <c r="U407" s="24" t="s">
        <v>962</v>
      </c>
    </row>
    <row r="408" spans="21:21" x14ac:dyDescent="0.3">
      <c r="U408" s="24" t="s">
        <v>935</v>
      </c>
    </row>
    <row r="409" spans="21:21" x14ac:dyDescent="0.3">
      <c r="U409" s="24" t="s">
        <v>728</v>
      </c>
    </row>
    <row r="410" spans="21:21" x14ac:dyDescent="0.3">
      <c r="U410" s="24" t="s">
        <v>790</v>
      </c>
    </row>
    <row r="411" spans="21:21" x14ac:dyDescent="0.3">
      <c r="U411" s="25" t="s">
        <v>1423</v>
      </c>
    </row>
    <row r="412" spans="21:21" x14ac:dyDescent="0.3">
      <c r="U412" s="25" t="s">
        <v>1237</v>
      </c>
    </row>
    <row r="413" spans="21:21" x14ac:dyDescent="0.3">
      <c r="U413" s="25" t="s">
        <v>1389</v>
      </c>
    </row>
    <row r="414" spans="21:21" x14ac:dyDescent="0.3">
      <c r="U414" s="24" t="s">
        <v>1690</v>
      </c>
    </row>
    <row r="415" spans="21:21" x14ac:dyDescent="0.3">
      <c r="U415" s="24" t="s">
        <v>1552</v>
      </c>
    </row>
    <row r="416" spans="21:21" x14ac:dyDescent="0.3">
      <c r="U416" s="25" t="s">
        <v>1786</v>
      </c>
    </row>
    <row r="417" spans="21:21" x14ac:dyDescent="0.3">
      <c r="U417" s="24" t="s">
        <v>740</v>
      </c>
    </row>
    <row r="418" spans="21:21" x14ac:dyDescent="0.3">
      <c r="U418" s="24" t="s">
        <v>1424</v>
      </c>
    </row>
    <row r="419" spans="21:21" x14ac:dyDescent="0.3">
      <c r="U419" s="24" t="s">
        <v>1730</v>
      </c>
    </row>
    <row r="420" spans="21:21" x14ac:dyDescent="0.3">
      <c r="U420" s="25" t="s">
        <v>14</v>
      </c>
    </row>
    <row r="421" spans="21:21" x14ac:dyDescent="0.3">
      <c r="U421" s="25" t="s">
        <v>682</v>
      </c>
    </row>
    <row r="422" spans="21:21" x14ac:dyDescent="0.3">
      <c r="U422" s="24" t="s">
        <v>1173</v>
      </c>
    </row>
    <row r="423" spans="21:21" x14ac:dyDescent="0.3">
      <c r="U423" s="25" t="s">
        <v>1662</v>
      </c>
    </row>
    <row r="424" spans="21:21" x14ac:dyDescent="0.3">
      <c r="U424" s="24" t="s">
        <v>523</v>
      </c>
    </row>
    <row r="425" spans="21:21" x14ac:dyDescent="0.3">
      <c r="U425" s="25" t="s">
        <v>1520</v>
      </c>
    </row>
    <row r="426" spans="21:21" x14ac:dyDescent="0.3">
      <c r="U426" s="25" t="s">
        <v>1449</v>
      </c>
    </row>
    <row r="427" spans="21:21" x14ac:dyDescent="0.3">
      <c r="U427" s="25" t="s">
        <v>1495</v>
      </c>
    </row>
    <row r="428" spans="21:21" x14ac:dyDescent="0.3">
      <c r="U428" s="25" t="s">
        <v>301</v>
      </c>
    </row>
    <row r="429" spans="21:21" x14ac:dyDescent="0.3">
      <c r="U429" s="24" t="s">
        <v>308</v>
      </c>
    </row>
    <row r="430" spans="21:21" x14ac:dyDescent="0.3">
      <c r="U430" s="24" t="s">
        <v>1374</v>
      </c>
    </row>
    <row r="431" spans="21:21" x14ac:dyDescent="0.3">
      <c r="U431" s="25" t="s">
        <v>387</v>
      </c>
    </row>
    <row r="432" spans="21:21" x14ac:dyDescent="0.3">
      <c r="U432" s="24" t="s">
        <v>1621</v>
      </c>
    </row>
    <row r="433" spans="21:21" x14ac:dyDescent="0.3">
      <c r="U433" s="24" t="s">
        <v>26</v>
      </c>
    </row>
    <row r="434" spans="21:21" x14ac:dyDescent="0.3">
      <c r="U434" s="24" t="s">
        <v>1349</v>
      </c>
    </row>
    <row r="435" spans="21:21" x14ac:dyDescent="0.3">
      <c r="U435" s="24" t="s">
        <v>1144</v>
      </c>
    </row>
    <row r="436" spans="21:21" x14ac:dyDescent="0.3">
      <c r="U436" s="24" t="s">
        <v>159</v>
      </c>
    </row>
    <row r="437" spans="21:21" x14ac:dyDescent="0.3">
      <c r="U437" s="24" t="s">
        <v>1448</v>
      </c>
    </row>
    <row r="438" spans="21:21" x14ac:dyDescent="0.3">
      <c r="U438" s="24" t="s">
        <v>1602</v>
      </c>
    </row>
    <row r="439" spans="21:21" x14ac:dyDescent="0.3">
      <c r="U439" s="24" t="s">
        <v>1262</v>
      </c>
    </row>
    <row r="440" spans="21:21" x14ac:dyDescent="0.3">
      <c r="U440" s="25" t="s">
        <v>1724</v>
      </c>
    </row>
    <row r="441" spans="21:21" x14ac:dyDescent="0.3">
      <c r="U441" s="24" t="s">
        <v>917</v>
      </c>
    </row>
    <row r="442" spans="21:21" x14ac:dyDescent="0.3">
      <c r="U442" s="24" t="s">
        <v>1363</v>
      </c>
    </row>
    <row r="443" spans="21:21" x14ac:dyDescent="0.3">
      <c r="U443" s="24" t="s">
        <v>630</v>
      </c>
    </row>
    <row r="444" spans="21:21" x14ac:dyDescent="0.3">
      <c r="U444" s="24" t="s">
        <v>591</v>
      </c>
    </row>
    <row r="445" spans="21:21" x14ac:dyDescent="0.3">
      <c r="U445" s="25" t="s">
        <v>1489</v>
      </c>
    </row>
    <row r="446" spans="21:21" x14ac:dyDescent="0.3">
      <c r="U446" s="24" t="s">
        <v>1590</v>
      </c>
    </row>
    <row r="447" spans="21:21" x14ac:dyDescent="0.3">
      <c r="U447" s="25" t="s">
        <v>1122</v>
      </c>
    </row>
    <row r="448" spans="21:21" x14ac:dyDescent="0.3">
      <c r="U448" s="25" t="s">
        <v>212</v>
      </c>
    </row>
    <row r="449" spans="21:21" x14ac:dyDescent="0.3">
      <c r="U449" s="25" t="s">
        <v>1068</v>
      </c>
    </row>
    <row r="450" spans="21:21" x14ac:dyDescent="0.3">
      <c r="U450" s="25" t="s">
        <v>1453</v>
      </c>
    </row>
    <row r="451" spans="21:21" x14ac:dyDescent="0.3">
      <c r="U451" s="24" t="s">
        <v>1671</v>
      </c>
    </row>
    <row r="452" spans="21:21" x14ac:dyDescent="0.3">
      <c r="U452" s="24" t="s">
        <v>427</v>
      </c>
    </row>
    <row r="453" spans="21:21" x14ac:dyDescent="0.3">
      <c r="U453" s="25" t="s">
        <v>1735</v>
      </c>
    </row>
    <row r="454" spans="21:21" x14ac:dyDescent="0.3">
      <c r="U454" s="25" t="s">
        <v>433</v>
      </c>
    </row>
    <row r="455" spans="21:21" x14ac:dyDescent="0.3">
      <c r="U455" s="24" t="s">
        <v>434</v>
      </c>
    </row>
    <row r="456" spans="21:21" x14ac:dyDescent="0.3">
      <c r="U456" s="24" t="s">
        <v>350</v>
      </c>
    </row>
    <row r="457" spans="21:21" x14ac:dyDescent="0.3">
      <c r="U457" s="24" t="s">
        <v>87</v>
      </c>
    </row>
    <row r="458" spans="21:21" x14ac:dyDescent="0.3">
      <c r="U458" s="25" t="s">
        <v>456</v>
      </c>
    </row>
    <row r="459" spans="21:21" x14ac:dyDescent="0.3">
      <c r="U459" s="25" t="s">
        <v>713</v>
      </c>
    </row>
    <row r="460" spans="21:21" x14ac:dyDescent="0.3">
      <c r="U460" s="24" t="s">
        <v>334</v>
      </c>
    </row>
    <row r="461" spans="21:21" x14ac:dyDescent="0.3">
      <c r="U461" s="24" t="s">
        <v>1404</v>
      </c>
    </row>
    <row r="462" spans="21:21" x14ac:dyDescent="0.3">
      <c r="U462" s="25" t="s">
        <v>1472</v>
      </c>
    </row>
    <row r="463" spans="21:21" x14ac:dyDescent="0.3">
      <c r="U463" s="24" t="s">
        <v>485</v>
      </c>
    </row>
    <row r="464" spans="21:21" x14ac:dyDescent="0.3">
      <c r="U464" s="24" t="s">
        <v>153</v>
      </c>
    </row>
    <row r="465" spans="21:21" x14ac:dyDescent="0.3">
      <c r="U465" s="25" t="s">
        <v>1665</v>
      </c>
    </row>
    <row r="466" spans="21:21" x14ac:dyDescent="0.3">
      <c r="U466" s="24" t="s">
        <v>1215</v>
      </c>
    </row>
    <row r="467" spans="21:21" x14ac:dyDescent="0.3">
      <c r="U467" s="24" t="s">
        <v>1336</v>
      </c>
    </row>
    <row r="468" spans="21:21" x14ac:dyDescent="0.3">
      <c r="U468" s="24" t="s">
        <v>807</v>
      </c>
    </row>
    <row r="469" spans="21:21" x14ac:dyDescent="0.3">
      <c r="U469" s="25" t="s">
        <v>1717</v>
      </c>
    </row>
    <row r="470" spans="21:21" x14ac:dyDescent="0.3">
      <c r="U470" s="25" t="s">
        <v>1011</v>
      </c>
    </row>
    <row r="471" spans="21:21" x14ac:dyDescent="0.3">
      <c r="U471" s="24" t="s">
        <v>1556</v>
      </c>
    </row>
    <row r="472" spans="21:21" x14ac:dyDescent="0.3">
      <c r="U472" s="25" t="s">
        <v>1593</v>
      </c>
    </row>
    <row r="473" spans="21:21" x14ac:dyDescent="0.3">
      <c r="U473" s="24" t="s">
        <v>1594</v>
      </c>
    </row>
    <row r="474" spans="21:21" x14ac:dyDescent="0.3">
      <c r="U474" s="25" t="s">
        <v>1595</v>
      </c>
    </row>
    <row r="475" spans="21:21" x14ac:dyDescent="0.3">
      <c r="U475" s="24" t="s">
        <v>1596</v>
      </c>
    </row>
    <row r="476" spans="21:21" x14ac:dyDescent="0.3">
      <c r="U476" s="24" t="s">
        <v>658</v>
      </c>
    </row>
    <row r="477" spans="21:21" x14ac:dyDescent="0.3">
      <c r="U477" s="25" t="s">
        <v>578</v>
      </c>
    </row>
    <row r="478" spans="21:21" x14ac:dyDescent="0.3">
      <c r="U478" s="24" t="s">
        <v>639</v>
      </c>
    </row>
    <row r="479" spans="21:21" x14ac:dyDescent="0.3">
      <c r="U479" s="24" t="s">
        <v>1406</v>
      </c>
    </row>
    <row r="480" spans="21:21" x14ac:dyDescent="0.3">
      <c r="U480" s="25" t="s">
        <v>1751</v>
      </c>
    </row>
    <row r="481" spans="21:21" x14ac:dyDescent="0.3">
      <c r="U481" s="24" t="s">
        <v>538</v>
      </c>
    </row>
    <row r="482" spans="21:21" x14ac:dyDescent="0.3">
      <c r="U482" s="24" t="s">
        <v>1566</v>
      </c>
    </row>
    <row r="483" spans="21:21" x14ac:dyDescent="0.3">
      <c r="U483" s="24" t="s">
        <v>635</v>
      </c>
    </row>
    <row r="484" spans="21:21" x14ac:dyDescent="0.3">
      <c r="U484" s="24" t="s">
        <v>565</v>
      </c>
    </row>
    <row r="485" spans="21:21" x14ac:dyDescent="0.3">
      <c r="U485" s="25" t="s">
        <v>299</v>
      </c>
    </row>
    <row r="486" spans="21:21" x14ac:dyDescent="0.3">
      <c r="U486" s="25" t="s">
        <v>1726</v>
      </c>
    </row>
    <row r="487" spans="21:21" x14ac:dyDescent="0.3">
      <c r="U487" s="24" t="s">
        <v>1734</v>
      </c>
    </row>
    <row r="488" spans="21:21" x14ac:dyDescent="0.3">
      <c r="U488" s="24" t="s">
        <v>1628</v>
      </c>
    </row>
    <row r="489" spans="21:21" x14ac:dyDescent="0.3">
      <c r="U489" s="24" t="s">
        <v>106</v>
      </c>
    </row>
    <row r="490" spans="21:21" x14ac:dyDescent="0.3">
      <c r="U490" s="25" t="s">
        <v>1676</v>
      </c>
    </row>
    <row r="491" spans="21:21" x14ac:dyDescent="0.3">
      <c r="U491" s="25" t="s">
        <v>1577</v>
      </c>
    </row>
    <row r="492" spans="21:21" x14ac:dyDescent="0.3">
      <c r="U492" s="25" t="s">
        <v>663</v>
      </c>
    </row>
    <row r="493" spans="21:21" x14ac:dyDescent="0.3">
      <c r="U493" s="24" t="s">
        <v>690</v>
      </c>
    </row>
    <row r="494" spans="21:21" x14ac:dyDescent="0.3">
      <c r="U494" s="24" t="s">
        <v>496</v>
      </c>
    </row>
    <row r="495" spans="21:21" x14ac:dyDescent="0.3">
      <c r="U495" s="24" t="s">
        <v>205</v>
      </c>
    </row>
    <row r="496" spans="21:21" x14ac:dyDescent="0.3">
      <c r="U496" s="25" t="s">
        <v>582</v>
      </c>
    </row>
    <row r="497" spans="21:21" x14ac:dyDescent="0.3">
      <c r="U497" s="24" t="s">
        <v>91</v>
      </c>
    </row>
    <row r="498" spans="21:21" x14ac:dyDescent="0.3">
      <c r="U498" s="25" t="s">
        <v>101</v>
      </c>
    </row>
    <row r="499" spans="21:21" x14ac:dyDescent="0.3">
      <c r="U499" s="25" t="s">
        <v>1018</v>
      </c>
    </row>
    <row r="500" spans="21:21" x14ac:dyDescent="0.3">
      <c r="U500" s="25" t="s">
        <v>960</v>
      </c>
    </row>
    <row r="501" spans="21:21" x14ac:dyDescent="0.3">
      <c r="U501" s="24" t="s">
        <v>1484</v>
      </c>
    </row>
    <row r="502" spans="21:21" x14ac:dyDescent="0.3">
      <c r="U502" s="25" t="s">
        <v>363</v>
      </c>
    </row>
    <row r="503" spans="21:21" x14ac:dyDescent="0.3">
      <c r="U503" s="25" t="s">
        <v>1178</v>
      </c>
    </row>
    <row r="504" spans="21:21" x14ac:dyDescent="0.3">
      <c r="U504" s="25" t="s">
        <v>177</v>
      </c>
    </row>
    <row r="505" spans="21:21" x14ac:dyDescent="0.3">
      <c r="U505" s="24" t="s">
        <v>1233</v>
      </c>
    </row>
    <row r="506" spans="21:21" x14ac:dyDescent="0.3">
      <c r="U506" s="25" t="s">
        <v>1627</v>
      </c>
    </row>
    <row r="507" spans="21:21" x14ac:dyDescent="0.3">
      <c r="U507" s="24" t="s">
        <v>219</v>
      </c>
    </row>
    <row r="508" spans="21:21" x14ac:dyDescent="0.3">
      <c r="U508" s="25" t="s">
        <v>589</v>
      </c>
    </row>
    <row r="509" spans="21:21" x14ac:dyDescent="0.3">
      <c r="U509" s="25" t="s">
        <v>1181</v>
      </c>
    </row>
    <row r="510" spans="21:21" x14ac:dyDescent="0.3">
      <c r="U510" s="24" t="s">
        <v>134</v>
      </c>
    </row>
    <row r="511" spans="21:21" x14ac:dyDescent="0.3">
      <c r="U511" s="25" t="s">
        <v>131</v>
      </c>
    </row>
    <row r="512" spans="21:21" x14ac:dyDescent="0.3">
      <c r="U512" s="25" t="s">
        <v>1638</v>
      </c>
    </row>
    <row r="513" spans="21:21" x14ac:dyDescent="0.3">
      <c r="U513" s="25" t="s">
        <v>1377</v>
      </c>
    </row>
    <row r="514" spans="21:21" x14ac:dyDescent="0.3">
      <c r="U514" s="24" t="s">
        <v>562</v>
      </c>
    </row>
    <row r="515" spans="21:21" x14ac:dyDescent="0.3">
      <c r="U515" s="25" t="s">
        <v>141</v>
      </c>
    </row>
    <row r="516" spans="21:21" x14ac:dyDescent="0.3">
      <c r="U516" s="25" t="s">
        <v>1249</v>
      </c>
    </row>
    <row r="517" spans="21:21" x14ac:dyDescent="0.3">
      <c r="U517" s="24" t="s">
        <v>1251</v>
      </c>
    </row>
    <row r="518" spans="21:21" x14ac:dyDescent="0.3">
      <c r="U518" s="24" t="s">
        <v>355</v>
      </c>
    </row>
    <row r="519" spans="21:21" x14ac:dyDescent="0.3">
      <c r="U519" s="24" t="s">
        <v>832</v>
      </c>
    </row>
    <row r="520" spans="21:21" x14ac:dyDescent="0.3">
      <c r="U520" s="25" t="s">
        <v>1136</v>
      </c>
    </row>
    <row r="521" spans="21:21" x14ac:dyDescent="0.3">
      <c r="U521" s="25" t="s">
        <v>162</v>
      </c>
    </row>
    <row r="522" spans="21:21" x14ac:dyDescent="0.3">
      <c r="U522" s="25" t="s">
        <v>1752</v>
      </c>
    </row>
    <row r="523" spans="21:21" x14ac:dyDescent="0.3">
      <c r="U523" s="25" t="s">
        <v>1227</v>
      </c>
    </row>
    <row r="524" spans="21:21" x14ac:dyDescent="0.3">
      <c r="U524" s="24" t="s">
        <v>756</v>
      </c>
    </row>
    <row r="525" spans="21:21" x14ac:dyDescent="0.3">
      <c r="U525" s="25" t="s">
        <v>705</v>
      </c>
    </row>
    <row r="526" spans="21:21" x14ac:dyDescent="0.3">
      <c r="U526" s="25" t="s">
        <v>229</v>
      </c>
    </row>
    <row r="527" spans="21:21" x14ac:dyDescent="0.3">
      <c r="U527" s="25" t="s">
        <v>1513</v>
      </c>
    </row>
    <row r="528" spans="21:21" x14ac:dyDescent="0.3">
      <c r="U528" s="25" t="s">
        <v>1072</v>
      </c>
    </row>
    <row r="529" spans="21:21" x14ac:dyDescent="0.3">
      <c r="U529" s="24" t="s">
        <v>714</v>
      </c>
    </row>
    <row r="530" spans="21:21" x14ac:dyDescent="0.3">
      <c r="U530" s="24" t="s">
        <v>675</v>
      </c>
    </row>
    <row r="531" spans="21:21" x14ac:dyDescent="0.3">
      <c r="U531" s="24" t="s">
        <v>1054</v>
      </c>
    </row>
    <row r="532" spans="21:21" x14ac:dyDescent="0.3">
      <c r="U532" s="24" t="s">
        <v>932</v>
      </c>
    </row>
    <row r="533" spans="21:21" x14ac:dyDescent="0.3">
      <c r="U533" s="25" t="s">
        <v>646</v>
      </c>
    </row>
    <row r="534" spans="21:21" x14ac:dyDescent="0.3">
      <c r="U534" s="24" t="s">
        <v>1656</v>
      </c>
    </row>
    <row r="535" spans="21:21" x14ac:dyDescent="0.3">
      <c r="U535" s="25" t="s">
        <v>344</v>
      </c>
    </row>
    <row r="536" spans="21:21" x14ac:dyDescent="0.3">
      <c r="U536" s="24" t="s">
        <v>1578</v>
      </c>
    </row>
    <row r="537" spans="21:21" x14ac:dyDescent="0.3">
      <c r="U537" s="24" t="s">
        <v>651</v>
      </c>
    </row>
    <row r="538" spans="21:21" x14ac:dyDescent="0.3">
      <c r="U538" s="24" t="s">
        <v>1042</v>
      </c>
    </row>
    <row r="539" spans="21:21" x14ac:dyDescent="0.3">
      <c r="U539" s="25" t="s">
        <v>500</v>
      </c>
    </row>
    <row r="540" spans="21:21" x14ac:dyDescent="0.3">
      <c r="U540" s="24" t="s">
        <v>1480</v>
      </c>
    </row>
    <row r="541" spans="21:21" x14ac:dyDescent="0.3">
      <c r="U541" s="25" t="s">
        <v>1096</v>
      </c>
    </row>
    <row r="542" spans="21:21" x14ac:dyDescent="0.3">
      <c r="U542" s="24" t="s">
        <v>696</v>
      </c>
    </row>
    <row r="543" spans="21:21" x14ac:dyDescent="0.3">
      <c r="U543" s="25" t="s">
        <v>1281</v>
      </c>
    </row>
    <row r="544" spans="21:21" x14ac:dyDescent="0.3">
      <c r="U544" s="24" t="s">
        <v>388</v>
      </c>
    </row>
    <row r="545" spans="21:21" x14ac:dyDescent="0.3">
      <c r="U545" s="24" t="s">
        <v>1092</v>
      </c>
    </row>
    <row r="546" spans="21:21" x14ac:dyDescent="0.3">
      <c r="U546" s="25" t="s">
        <v>149</v>
      </c>
    </row>
    <row r="547" spans="21:21" x14ac:dyDescent="0.3">
      <c r="U547" s="25" t="s">
        <v>216</v>
      </c>
    </row>
    <row r="548" spans="21:21" x14ac:dyDescent="0.3">
      <c r="U548" s="25" t="s">
        <v>379</v>
      </c>
    </row>
    <row r="549" spans="21:21" x14ac:dyDescent="0.3">
      <c r="U549" s="25" t="s">
        <v>1119</v>
      </c>
    </row>
    <row r="550" spans="21:21" x14ac:dyDescent="0.3">
      <c r="U550" s="24" t="s">
        <v>1033</v>
      </c>
    </row>
    <row r="551" spans="21:21" x14ac:dyDescent="0.3">
      <c r="U551" s="24" t="s">
        <v>1623</v>
      </c>
    </row>
    <row r="552" spans="21:21" x14ac:dyDescent="0.3">
      <c r="U552" s="24" t="s">
        <v>473</v>
      </c>
    </row>
    <row r="553" spans="21:21" x14ac:dyDescent="0.3">
      <c r="U553" s="25" t="s">
        <v>1793</v>
      </c>
    </row>
    <row r="554" spans="21:21" x14ac:dyDescent="0.3">
      <c r="U554" s="25" t="s">
        <v>1458</v>
      </c>
    </row>
    <row r="555" spans="21:21" x14ac:dyDescent="0.3">
      <c r="U555" s="24" t="s">
        <v>1457</v>
      </c>
    </row>
    <row r="556" spans="21:21" x14ac:dyDescent="0.3">
      <c r="U556" s="24" t="s">
        <v>528</v>
      </c>
    </row>
    <row r="557" spans="21:21" x14ac:dyDescent="0.3">
      <c r="U557" s="25" t="s">
        <v>965</v>
      </c>
    </row>
    <row r="558" spans="21:21" x14ac:dyDescent="0.3">
      <c r="U558" s="25" t="s">
        <v>1084</v>
      </c>
    </row>
    <row r="559" spans="21:21" x14ac:dyDescent="0.3">
      <c r="U559" s="25" t="s">
        <v>1782</v>
      </c>
    </row>
    <row r="560" spans="21:21" x14ac:dyDescent="0.3">
      <c r="U560" s="24" t="s">
        <v>1305</v>
      </c>
    </row>
    <row r="561" spans="21:21" x14ac:dyDescent="0.3">
      <c r="U561" s="25" t="s">
        <v>1310</v>
      </c>
    </row>
    <row r="562" spans="21:21" x14ac:dyDescent="0.3">
      <c r="U562" s="24" t="s">
        <v>1574</v>
      </c>
    </row>
    <row r="563" spans="21:21" x14ac:dyDescent="0.3">
      <c r="U563" s="24" t="s">
        <v>385</v>
      </c>
    </row>
    <row r="564" spans="21:21" x14ac:dyDescent="0.3">
      <c r="U564" s="24" t="s">
        <v>858</v>
      </c>
    </row>
    <row r="565" spans="21:21" x14ac:dyDescent="0.3">
      <c r="U565" s="25" t="s">
        <v>1802</v>
      </c>
    </row>
    <row r="566" spans="21:21" x14ac:dyDescent="0.3">
      <c r="U566" s="24" t="s">
        <v>1485</v>
      </c>
    </row>
    <row r="567" spans="21:21" x14ac:dyDescent="0.3">
      <c r="U567" s="25" t="s">
        <v>1486</v>
      </c>
    </row>
    <row r="568" spans="21:21" x14ac:dyDescent="0.3">
      <c r="U568" s="25" t="s">
        <v>1022</v>
      </c>
    </row>
    <row r="569" spans="21:21" x14ac:dyDescent="0.3">
      <c r="U569" s="24" t="s">
        <v>490</v>
      </c>
    </row>
    <row r="570" spans="21:21" x14ac:dyDescent="0.3">
      <c r="U570" s="24" t="s">
        <v>987</v>
      </c>
    </row>
    <row r="571" spans="21:21" x14ac:dyDescent="0.3">
      <c r="U571" s="24" t="s">
        <v>1537</v>
      </c>
    </row>
    <row r="572" spans="21:21" x14ac:dyDescent="0.3">
      <c r="U572" s="25" t="s">
        <v>1645</v>
      </c>
    </row>
    <row r="573" spans="21:21" x14ac:dyDescent="0.3">
      <c r="U573" s="25" t="s">
        <v>1509</v>
      </c>
    </row>
    <row r="574" spans="21:21" x14ac:dyDescent="0.3">
      <c r="U574" s="24" t="s">
        <v>323</v>
      </c>
    </row>
    <row r="575" spans="21:21" x14ac:dyDescent="0.3">
      <c r="U575" s="25" t="s">
        <v>1014</v>
      </c>
    </row>
    <row r="576" spans="21:21" x14ac:dyDescent="0.3">
      <c r="U576" s="24" t="s">
        <v>1296</v>
      </c>
    </row>
    <row r="577" spans="21:21" x14ac:dyDescent="0.3">
      <c r="U577" s="25" t="s">
        <v>44</v>
      </c>
    </row>
    <row r="578" spans="21:21" x14ac:dyDescent="0.3">
      <c r="U578" s="24" t="s">
        <v>1130</v>
      </c>
    </row>
    <row r="579" spans="21:21" x14ac:dyDescent="0.3">
      <c r="U579" s="24" t="s">
        <v>1780</v>
      </c>
    </row>
    <row r="580" spans="21:21" x14ac:dyDescent="0.3">
      <c r="U580" s="24" t="s">
        <v>765</v>
      </c>
    </row>
    <row r="581" spans="21:21" x14ac:dyDescent="0.3">
      <c r="U581" s="25" t="s">
        <v>64</v>
      </c>
    </row>
    <row r="582" spans="21:21" x14ac:dyDescent="0.3">
      <c r="U582" s="24" t="s">
        <v>125</v>
      </c>
    </row>
    <row r="583" spans="21:21" x14ac:dyDescent="0.3">
      <c r="U583" s="25" t="s">
        <v>82</v>
      </c>
    </row>
    <row r="584" spans="21:21" x14ac:dyDescent="0.3">
      <c r="U584" s="25" t="s">
        <v>585</v>
      </c>
    </row>
    <row r="585" spans="21:21" x14ac:dyDescent="0.3">
      <c r="U585" s="25" t="s">
        <v>1035</v>
      </c>
    </row>
    <row r="586" spans="21:21" x14ac:dyDescent="0.3">
      <c r="U586" s="25" t="s">
        <v>846</v>
      </c>
    </row>
    <row r="587" spans="21:21" x14ac:dyDescent="0.3">
      <c r="U587" s="25" t="s">
        <v>734</v>
      </c>
    </row>
    <row r="588" spans="21:21" x14ac:dyDescent="0.3">
      <c r="U588" s="25" t="s">
        <v>1658</v>
      </c>
    </row>
    <row r="589" spans="21:21" x14ac:dyDescent="0.3">
      <c r="U589" s="24" t="s">
        <v>870</v>
      </c>
    </row>
    <row r="590" spans="21:21" x14ac:dyDescent="0.3">
      <c r="U590" s="24" t="s">
        <v>1255</v>
      </c>
    </row>
    <row r="591" spans="21:21" x14ac:dyDescent="0.3">
      <c r="U591" s="25" t="s">
        <v>891</v>
      </c>
    </row>
    <row r="592" spans="21:21" x14ac:dyDescent="0.3">
      <c r="U592" s="25" t="s">
        <v>886</v>
      </c>
    </row>
    <row r="593" spans="21:21" x14ac:dyDescent="0.3">
      <c r="U593" s="24" t="s">
        <v>1426</v>
      </c>
    </row>
    <row r="594" spans="21:21" x14ac:dyDescent="0.3">
      <c r="U594" s="25" t="s">
        <v>802</v>
      </c>
    </row>
    <row r="595" spans="21:21" x14ac:dyDescent="0.3">
      <c r="U595" s="25" t="s">
        <v>1721</v>
      </c>
    </row>
    <row r="596" spans="21:21" x14ac:dyDescent="0.3">
      <c r="U596" s="25" t="s">
        <v>913</v>
      </c>
    </row>
    <row r="597" spans="21:21" x14ac:dyDescent="0.3">
      <c r="U597" s="25" t="s">
        <v>1670</v>
      </c>
    </row>
    <row r="598" spans="21:21" x14ac:dyDescent="0.3">
      <c r="U598" s="25" t="s">
        <v>1087</v>
      </c>
    </row>
    <row r="599" spans="21:21" x14ac:dyDescent="0.3">
      <c r="U599" s="25" t="s">
        <v>475</v>
      </c>
    </row>
    <row r="600" spans="21:21" x14ac:dyDescent="0.3">
      <c r="U600" s="25" t="s">
        <v>1438</v>
      </c>
    </row>
    <row r="601" spans="21:21" x14ac:dyDescent="0.3">
      <c r="U601" s="25" t="s">
        <v>1708</v>
      </c>
    </row>
    <row r="602" spans="21:21" x14ac:dyDescent="0.3">
      <c r="U602" s="25" t="s">
        <v>640</v>
      </c>
    </row>
    <row r="603" spans="21:21" x14ac:dyDescent="0.3">
      <c r="U603" s="24" t="s">
        <v>416</v>
      </c>
    </row>
    <row r="604" spans="21:21" x14ac:dyDescent="0.3">
      <c r="U604" s="24" t="s">
        <v>408</v>
      </c>
    </row>
    <row r="605" spans="21:21" x14ac:dyDescent="0.3">
      <c r="U605" s="24" t="s">
        <v>814</v>
      </c>
    </row>
    <row r="606" spans="21:21" x14ac:dyDescent="0.3">
      <c r="U606" s="25" t="s">
        <v>853</v>
      </c>
    </row>
    <row r="607" spans="21:21" x14ac:dyDescent="0.3">
      <c r="U607" s="25" t="s">
        <v>524</v>
      </c>
    </row>
    <row r="608" spans="21:21" x14ac:dyDescent="0.3">
      <c r="U608" s="24" t="s">
        <v>726</v>
      </c>
    </row>
    <row r="609" spans="21:21" x14ac:dyDescent="0.3">
      <c r="U609" s="25" t="s">
        <v>1322</v>
      </c>
    </row>
    <row r="610" spans="21:21" x14ac:dyDescent="0.3">
      <c r="U610" s="25" t="s">
        <v>71</v>
      </c>
    </row>
    <row r="611" spans="21:21" x14ac:dyDescent="0.3">
      <c r="U611" s="25" t="s">
        <v>1427</v>
      </c>
    </row>
    <row r="612" spans="21:21" x14ac:dyDescent="0.3">
      <c r="U612" s="24" t="s">
        <v>1789</v>
      </c>
    </row>
    <row r="613" spans="21:21" x14ac:dyDescent="0.3">
      <c r="U613" s="24" t="s">
        <v>1297</v>
      </c>
    </row>
    <row r="614" spans="21:21" x14ac:dyDescent="0.3">
      <c r="U614" s="25" t="s">
        <v>1298</v>
      </c>
    </row>
    <row r="615" spans="21:21" x14ac:dyDescent="0.3">
      <c r="U615" s="25" t="s">
        <v>1425</v>
      </c>
    </row>
    <row r="616" spans="21:21" x14ac:dyDescent="0.3">
      <c r="U616" s="25" t="s">
        <v>1432</v>
      </c>
    </row>
    <row r="617" spans="21:21" x14ac:dyDescent="0.3">
      <c r="U617" s="24" t="s">
        <v>510</v>
      </c>
    </row>
    <row r="618" spans="21:21" x14ac:dyDescent="0.3">
      <c r="U618" s="24" t="s">
        <v>940</v>
      </c>
    </row>
    <row r="619" spans="21:21" x14ac:dyDescent="0.3">
      <c r="U619" s="25" t="s">
        <v>442</v>
      </c>
    </row>
    <row r="620" spans="21:21" x14ac:dyDescent="0.3">
      <c r="U620" s="24" t="s">
        <v>223</v>
      </c>
    </row>
    <row r="621" spans="21:21" x14ac:dyDescent="0.3">
      <c r="U621" s="25" t="s">
        <v>991</v>
      </c>
    </row>
    <row r="622" spans="21:21" x14ac:dyDescent="0.3">
      <c r="U622" s="24" t="s">
        <v>313</v>
      </c>
    </row>
    <row r="623" spans="21:21" x14ac:dyDescent="0.3">
      <c r="U623" s="25" t="s">
        <v>1561</v>
      </c>
    </row>
    <row r="624" spans="21:21" x14ac:dyDescent="0.3">
      <c r="U624" s="25" t="s">
        <v>1667</v>
      </c>
    </row>
    <row r="625" spans="21:21" x14ac:dyDescent="0.3">
      <c r="U625" s="24" t="s">
        <v>954</v>
      </c>
    </row>
    <row r="626" spans="21:21" x14ac:dyDescent="0.3">
      <c r="U626" s="24" t="s">
        <v>921</v>
      </c>
    </row>
    <row r="627" spans="21:21" x14ac:dyDescent="0.3">
      <c r="U627" s="25" t="s">
        <v>885</v>
      </c>
    </row>
    <row r="628" spans="21:21" x14ac:dyDescent="0.3">
      <c r="U628" s="24" t="s">
        <v>855</v>
      </c>
    </row>
    <row r="629" spans="21:21" x14ac:dyDescent="0.3">
      <c r="U629" s="24" t="s">
        <v>1643</v>
      </c>
    </row>
    <row r="630" spans="21:21" x14ac:dyDescent="0.3">
      <c r="U630" s="24" t="s">
        <v>873</v>
      </c>
    </row>
    <row r="631" spans="21:21" x14ac:dyDescent="0.3">
      <c r="U631" s="25" t="s">
        <v>1031</v>
      </c>
    </row>
    <row r="632" spans="21:21" x14ac:dyDescent="0.3">
      <c r="U632" s="24" t="s">
        <v>1258</v>
      </c>
    </row>
    <row r="633" spans="21:21" x14ac:dyDescent="0.3">
      <c r="U633" s="24" t="s">
        <v>476</v>
      </c>
    </row>
    <row r="634" spans="21:21" x14ac:dyDescent="0.3">
      <c r="U634" s="24" t="s">
        <v>1749</v>
      </c>
    </row>
    <row r="635" spans="21:21" x14ac:dyDescent="0.3">
      <c r="U635" s="25" t="s">
        <v>349</v>
      </c>
    </row>
    <row r="636" spans="21:21" x14ac:dyDescent="0.3">
      <c r="U636" s="25" t="s">
        <v>203</v>
      </c>
    </row>
    <row r="637" spans="21:21" x14ac:dyDescent="0.3">
      <c r="U637" s="24" t="s">
        <v>199</v>
      </c>
    </row>
    <row r="638" spans="21:21" x14ac:dyDescent="0.3">
      <c r="U638" s="25" t="s">
        <v>1409</v>
      </c>
    </row>
    <row r="639" spans="21:21" x14ac:dyDescent="0.3">
      <c r="U639" s="24" t="s">
        <v>1798</v>
      </c>
    </row>
    <row r="640" spans="21:21" x14ac:dyDescent="0.3">
      <c r="U640" s="24" t="s">
        <v>1147</v>
      </c>
    </row>
    <row r="641" spans="21:21" x14ac:dyDescent="0.3">
      <c r="U641" s="25" t="s">
        <v>947</v>
      </c>
    </row>
    <row r="642" spans="21:21" x14ac:dyDescent="0.3">
      <c r="U642" s="24" t="s">
        <v>1606</v>
      </c>
    </row>
    <row r="643" spans="21:21" x14ac:dyDescent="0.3">
      <c r="U643" s="25" t="s">
        <v>266</v>
      </c>
    </row>
    <row r="644" spans="21:21" x14ac:dyDescent="0.3">
      <c r="U644" s="24" t="s">
        <v>395</v>
      </c>
    </row>
    <row r="645" spans="21:21" x14ac:dyDescent="0.3">
      <c r="U645" s="24" t="s">
        <v>393</v>
      </c>
    </row>
    <row r="646" spans="21:21" x14ac:dyDescent="0.3">
      <c r="U646" s="25" t="s">
        <v>1608</v>
      </c>
    </row>
    <row r="647" spans="21:21" x14ac:dyDescent="0.3">
      <c r="U647" s="25" t="s">
        <v>441</v>
      </c>
    </row>
    <row r="648" spans="21:21" x14ac:dyDescent="0.3">
      <c r="U648" s="25" t="s">
        <v>340</v>
      </c>
    </row>
    <row r="649" spans="21:21" x14ac:dyDescent="0.3">
      <c r="U649" s="24" t="s">
        <v>366</v>
      </c>
    </row>
    <row r="650" spans="21:21" x14ac:dyDescent="0.3">
      <c r="U650" s="25" t="s">
        <v>515</v>
      </c>
    </row>
    <row r="651" spans="21:21" x14ac:dyDescent="0.3">
      <c r="U651" s="24" t="s">
        <v>1288</v>
      </c>
    </row>
    <row r="652" spans="21:21" x14ac:dyDescent="0.3">
      <c r="U652" s="25" t="s">
        <v>709</v>
      </c>
    </row>
    <row r="653" spans="21:21" x14ac:dyDescent="0.3">
      <c r="U653" s="25" t="s">
        <v>1397</v>
      </c>
    </row>
    <row r="654" spans="21:21" x14ac:dyDescent="0.3">
      <c r="U654" s="25" t="s">
        <v>1744</v>
      </c>
    </row>
    <row r="655" spans="21:21" x14ac:dyDescent="0.3">
      <c r="U655" s="25" t="s">
        <v>969</v>
      </c>
    </row>
    <row r="656" spans="21:21" x14ac:dyDescent="0.3">
      <c r="U656" s="25" t="s">
        <v>1128</v>
      </c>
    </row>
    <row r="657" spans="21:21" x14ac:dyDescent="0.3">
      <c r="U657" s="24" t="s">
        <v>317</v>
      </c>
    </row>
    <row r="658" spans="21:21" x14ac:dyDescent="0.3">
      <c r="U658" s="25" t="s">
        <v>306</v>
      </c>
    </row>
    <row r="659" spans="21:21" x14ac:dyDescent="0.3">
      <c r="U659" s="24" t="s">
        <v>666</v>
      </c>
    </row>
    <row r="660" spans="21:21" x14ac:dyDescent="0.3">
      <c r="U660" s="24" t="s">
        <v>498</v>
      </c>
    </row>
    <row r="661" spans="21:21" x14ac:dyDescent="0.3">
      <c r="U661" s="25" t="s">
        <v>625</v>
      </c>
    </row>
    <row r="662" spans="21:21" x14ac:dyDescent="0.3">
      <c r="U662" s="24" t="s">
        <v>1668</v>
      </c>
    </row>
    <row r="663" spans="21:21" x14ac:dyDescent="0.3">
      <c r="U663" s="25" t="s">
        <v>1622</v>
      </c>
    </row>
    <row r="664" spans="21:21" x14ac:dyDescent="0.3">
      <c r="U664" s="25" t="s">
        <v>315</v>
      </c>
    </row>
    <row r="665" spans="21:21" x14ac:dyDescent="0.3">
      <c r="U665" s="24" t="s">
        <v>252</v>
      </c>
    </row>
    <row r="666" spans="21:21" x14ac:dyDescent="0.3">
      <c r="U666" s="25" t="s">
        <v>605</v>
      </c>
    </row>
    <row r="667" spans="21:21" x14ac:dyDescent="0.3">
      <c r="U667" s="25" t="s">
        <v>250</v>
      </c>
    </row>
    <row r="668" spans="21:21" x14ac:dyDescent="0.3">
      <c r="U668" s="25" t="s">
        <v>1587</v>
      </c>
    </row>
    <row r="669" spans="21:21" x14ac:dyDescent="0.3">
      <c r="U669" s="25" t="s">
        <v>1737</v>
      </c>
    </row>
    <row r="670" spans="21:21" x14ac:dyDescent="0.3">
      <c r="U670" s="24" t="s">
        <v>673</v>
      </c>
    </row>
    <row r="671" spans="21:21" x14ac:dyDescent="0.3">
      <c r="U671" s="25" t="s">
        <v>1584</v>
      </c>
    </row>
    <row r="672" spans="21:21" x14ac:dyDescent="0.3">
      <c r="U672" s="25" t="s">
        <v>957</v>
      </c>
    </row>
    <row r="673" spans="21:21" x14ac:dyDescent="0.3">
      <c r="U673" s="24" t="s">
        <v>337</v>
      </c>
    </row>
    <row r="674" spans="21:21" x14ac:dyDescent="0.3">
      <c r="U674" s="24" t="s">
        <v>1743</v>
      </c>
    </row>
    <row r="675" spans="21:21" x14ac:dyDescent="0.3">
      <c r="U675" s="24" t="s">
        <v>1134</v>
      </c>
    </row>
    <row r="676" spans="21:21" x14ac:dyDescent="0.3">
      <c r="U676" s="24" t="s">
        <v>780</v>
      </c>
    </row>
    <row r="677" spans="21:21" x14ac:dyDescent="0.3">
      <c r="U677" s="24" t="s">
        <v>569</v>
      </c>
    </row>
    <row r="678" spans="21:21" x14ac:dyDescent="0.3">
      <c r="U678" s="24" t="s">
        <v>1095</v>
      </c>
    </row>
    <row r="679" spans="21:21" x14ac:dyDescent="0.3">
      <c r="U679" s="25" t="s">
        <v>762</v>
      </c>
    </row>
    <row r="680" spans="21:21" x14ac:dyDescent="0.3">
      <c r="U680" s="24" t="s">
        <v>259</v>
      </c>
    </row>
    <row r="681" spans="21:21" x14ac:dyDescent="0.3">
      <c r="U681" s="25" t="s">
        <v>1385</v>
      </c>
    </row>
    <row r="682" spans="21:21" x14ac:dyDescent="0.3">
      <c r="U682" s="25" t="s">
        <v>945</v>
      </c>
    </row>
    <row r="683" spans="21:21" x14ac:dyDescent="0.3">
      <c r="U683" s="24" t="s">
        <v>915</v>
      </c>
    </row>
    <row r="684" spans="21:21" x14ac:dyDescent="0.3">
      <c r="U684" s="24" t="s">
        <v>1666</v>
      </c>
    </row>
    <row r="685" spans="21:21" x14ac:dyDescent="0.3">
      <c r="U685" s="25" t="s">
        <v>1161</v>
      </c>
    </row>
    <row r="686" spans="21:21" x14ac:dyDescent="0.3">
      <c r="U686" s="24" t="s">
        <v>1750</v>
      </c>
    </row>
    <row r="687" spans="21:21" x14ac:dyDescent="0.3">
      <c r="U687" s="25" t="s">
        <v>1393</v>
      </c>
    </row>
    <row r="688" spans="21:21" x14ac:dyDescent="0.3">
      <c r="U688" s="24" t="s">
        <v>1097</v>
      </c>
    </row>
    <row r="689" spans="21:21" x14ac:dyDescent="0.3">
      <c r="U689" s="25" t="s">
        <v>1100</v>
      </c>
    </row>
    <row r="690" spans="21:21" x14ac:dyDescent="0.3">
      <c r="U690" s="24" t="s">
        <v>1625</v>
      </c>
    </row>
    <row r="691" spans="21:21" x14ac:dyDescent="0.3">
      <c r="U691" s="25" t="s">
        <v>1524</v>
      </c>
    </row>
    <row r="692" spans="21:21" x14ac:dyDescent="0.3">
      <c r="U692" s="24" t="s">
        <v>1085</v>
      </c>
    </row>
    <row r="693" spans="21:21" x14ac:dyDescent="0.3">
      <c r="U693" s="25" t="s">
        <v>1179</v>
      </c>
    </row>
    <row r="694" spans="21:21" x14ac:dyDescent="0.3">
      <c r="U694" s="25" t="s">
        <v>746</v>
      </c>
    </row>
    <row r="695" spans="21:21" x14ac:dyDescent="0.3">
      <c r="U695" s="24" t="s">
        <v>21</v>
      </c>
    </row>
    <row r="696" spans="21:21" x14ac:dyDescent="0.3">
      <c r="U696" s="24" t="s">
        <v>94</v>
      </c>
    </row>
    <row r="697" spans="21:21" x14ac:dyDescent="0.3">
      <c r="U697" s="25" t="s">
        <v>93</v>
      </c>
    </row>
    <row r="698" spans="21:21" x14ac:dyDescent="0.3">
      <c r="U698" s="24" t="s">
        <v>864</v>
      </c>
    </row>
    <row r="699" spans="21:21" x14ac:dyDescent="0.3">
      <c r="U699" s="24" t="s">
        <v>838</v>
      </c>
    </row>
    <row r="700" spans="21:21" x14ac:dyDescent="0.3">
      <c r="U700" s="24" t="s">
        <v>1560</v>
      </c>
    </row>
    <row r="701" spans="21:21" x14ac:dyDescent="0.3">
      <c r="U701" s="24" t="s">
        <v>1558</v>
      </c>
    </row>
    <row r="702" spans="21:21" x14ac:dyDescent="0.3">
      <c r="U702" s="24" t="s">
        <v>458</v>
      </c>
    </row>
    <row r="703" spans="21:21" x14ac:dyDescent="0.3">
      <c r="U703" s="25" t="s">
        <v>412</v>
      </c>
    </row>
    <row r="704" spans="21:21" x14ac:dyDescent="0.3">
      <c r="U704" s="25" t="s">
        <v>1559</v>
      </c>
    </row>
    <row r="705" spans="21:21" x14ac:dyDescent="0.3">
      <c r="U705" s="25" t="s">
        <v>396</v>
      </c>
    </row>
    <row r="706" spans="21:21" x14ac:dyDescent="0.3">
      <c r="U706" s="25" t="s">
        <v>372</v>
      </c>
    </row>
    <row r="707" spans="21:21" x14ac:dyDescent="0.3">
      <c r="U707" s="24" t="s">
        <v>380</v>
      </c>
    </row>
    <row r="708" spans="21:21" x14ac:dyDescent="0.3">
      <c r="U708" s="24" t="s">
        <v>320</v>
      </c>
    </row>
    <row r="709" spans="21:21" x14ac:dyDescent="0.3">
      <c r="U709" s="24" t="s">
        <v>342</v>
      </c>
    </row>
    <row r="710" spans="21:21" x14ac:dyDescent="0.3">
      <c r="U710" s="24" t="s">
        <v>255</v>
      </c>
    </row>
    <row r="711" spans="21:21" x14ac:dyDescent="0.3">
      <c r="U711" s="25" t="s">
        <v>292</v>
      </c>
    </row>
    <row r="712" spans="21:21" x14ac:dyDescent="0.3">
      <c r="U712" s="24" t="s">
        <v>347</v>
      </c>
    </row>
    <row r="713" spans="21:21" x14ac:dyDescent="0.3">
      <c r="U713" s="24" t="s">
        <v>144</v>
      </c>
    </row>
    <row r="714" spans="21:21" x14ac:dyDescent="0.3">
      <c r="U714" s="24" t="s">
        <v>138</v>
      </c>
    </row>
    <row r="715" spans="21:21" x14ac:dyDescent="0.3">
      <c r="U715" s="25" t="s">
        <v>145</v>
      </c>
    </row>
    <row r="716" spans="21:21" x14ac:dyDescent="0.3">
      <c r="U716" s="25" t="s">
        <v>463</v>
      </c>
    </row>
    <row r="717" spans="21:21" x14ac:dyDescent="0.3">
      <c r="U717" s="25" t="s">
        <v>400</v>
      </c>
    </row>
    <row r="718" spans="21:21" x14ac:dyDescent="0.3">
      <c r="U718" s="25" t="s">
        <v>351</v>
      </c>
    </row>
    <row r="719" spans="21:21" x14ac:dyDescent="0.3">
      <c r="U719" s="25" t="s">
        <v>1172</v>
      </c>
    </row>
    <row r="720" spans="21:21" x14ac:dyDescent="0.3">
      <c r="U720" s="24" t="s">
        <v>1451</v>
      </c>
    </row>
    <row r="721" spans="21:21" x14ac:dyDescent="0.3">
      <c r="U721" s="24" t="s">
        <v>1463</v>
      </c>
    </row>
    <row r="722" spans="21:21" x14ac:dyDescent="0.3">
      <c r="U722" s="24" t="s">
        <v>286</v>
      </c>
    </row>
    <row r="723" spans="21:21" x14ac:dyDescent="0.3">
      <c r="U723" s="24" t="s">
        <v>880</v>
      </c>
    </row>
    <row r="724" spans="21:21" x14ac:dyDescent="0.3">
      <c r="U724" s="25" t="s">
        <v>95</v>
      </c>
    </row>
    <row r="725" spans="21:21" x14ac:dyDescent="0.3">
      <c r="U725" s="25" t="s">
        <v>1403</v>
      </c>
    </row>
    <row r="726" spans="21:21" x14ac:dyDescent="0.3">
      <c r="U726" s="24" t="s">
        <v>908</v>
      </c>
    </row>
    <row r="727" spans="21:21" x14ac:dyDescent="0.3">
      <c r="U727" s="24" t="s">
        <v>1661</v>
      </c>
    </row>
    <row r="728" spans="21:21" x14ac:dyDescent="0.3">
      <c r="U728" s="24" t="s">
        <v>1141</v>
      </c>
    </row>
    <row r="729" spans="21:21" x14ac:dyDescent="0.3">
      <c r="U729" s="25" t="s">
        <v>1550</v>
      </c>
    </row>
    <row r="730" spans="21:21" x14ac:dyDescent="0.3">
      <c r="U730" s="24" t="s">
        <v>1632</v>
      </c>
    </row>
    <row r="731" spans="21:21" x14ac:dyDescent="0.3">
      <c r="U731" s="25" t="s">
        <v>879</v>
      </c>
    </row>
    <row r="732" spans="21:21" x14ac:dyDescent="0.3">
      <c r="U732" s="25" t="s">
        <v>1195</v>
      </c>
    </row>
    <row r="733" spans="21:21" x14ac:dyDescent="0.3">
      <c r="U733" s="25" t="s">
        <v>1528</v>
      </c>
    </row>
    <row r="734" spans="21:21" x14ac:dyDescent="0.3">
      <c r="U734" s="24" t="s">
        <v>526</v>
      </c>
    </row>
    <row r="735" spans="21:21" x14ac:dyDescent="0.3">
      <c r="U735" s="24" t="s">
        <v>519</v>
      </c>
    </row>
    <row r="736" spans="21:21" x14ac:dyDescent="0.3">
      <c r="U736" s="24" t="s">
        <v>294</v>
      </c>
    </row>
    <row r="737" spans="21:21" x14ac:dyDescent="0.3">
      <c r="U737" s="25" t="s">
        <v>895</v>
      </c>
    </row>
    <row r="738" spans="21:21" x14ac:dyDescent="0.3">
      <c r="U738" s="24" t="s">
        <v>1784</v>
      </c>
    </row>
    <row r="739" spans="21:21" x14ac:dyDescent="0.3">
      <c r="U739" s="25" t="s">
        <v>30</v>
      </c>
    </row>
    <row r="740" spans="21:21" x14ac:dyDescent="0.3">
      <c r="U740" s="24" t="s">
        <v>1089</v>
      </c>
    </row>
    <row r="741" spans="21:21" x14ac:dyDescent="0.3">
      <c r="U741" s="24" t="s">
        <v>1354</v>
      </c>
    </row>
    <row r="742" spans="21:21" x14ac:dyDescent="0.3">
      <c r="U742" s="24" t="s">
        <v>238</v>
      </c>
    </row>
    <row r="743" spans="21:21" x14ac:dyDescent="0.3">
      <c r="U743" s="24" t="s">
        <v>611</v>
      </c>
    </row>
    <row r="744" spans="21:21" x14ac:dyDescent="0.3">
      <c r="U744" s="25" t="s">
        <v>693</v>
      </c>
    </row>
    <row r="745" spans="21:21" x14ac:dyDescent="0.3">
      <c r="U745" s="24" t="s">
        <v>1576</v>
      </c>
    </row>
    <row r="746" spans="21:21" x14ac:dyDescent="0.3">
      <c r="U746" s="25" t="s">
        <v>1620</v>
      </c>
    </row>
    <row r="747" spans="21:21" x14ac:dyDescent="0.3">
      <c r="U747" s="24" t="s">
        <v>1700</v>
      </c>
    </row>
    <row r="748" spans="21:21" x14ac:dyDescent="0.3">
      <c r="U748" s="25" t="s">
        <v>1702</v>
      </c>
    </row>
    <row r="749" spans="21:21" x14ac:dyDescent="0.3">
      <c r="U749" s="24" t="s">
        <v>804</v>
      </c>
    </row>
    <row r="750" spans="21:21" x14ac:dyDescent="0.3">
      <c r="U750" s="24" t="s">
        <v>178</v>
      </c>
    </row>
    <row r="751" spans="21:21" x14ac:dyDescent="0.3">
      <c r="U751" s="24" t="s">
        <v>669</v>
      </c>
    </row>
    <row r="752" spans="21:21" x14ac:dyDescent="0.3">
      <c r="U752" s="25" t="s">
        <v>1405</v>
      </c>
    </row>
    <row r="753" spans="21:21" x14ac:dyDescent="0.3">
      <c r="U753" s="24" t="s">
        <v>1415</v>
      </c>
    </row>
    <row r="754" spans="21:21" x14ac:dyDescent="0.3">
      <c r="U754" s="25" t="s">
        <v>874</v>
      </c>
    </row>
    <row r="755" spans="21:21" x14ac:dyDescent="0.3">
      <c r="U755" s="25" t="s">
        <v>1216</v>
      </c>
    </row>
    <row r="756" spans="21:21" x14ac:dyDescent="0.3">
      <c r="U756" s="24" t="s">
        <v>1418</v>
      </c>
    </row>
    <row r="757" spans="21:21" x14ac:dyDescent="0.3">
      <c r="U757" s="25" t="s">
        <v>254</v>
      </c>
    </row>
    <row r="758" spans="21:21" x14ac:dyDescent="0.3">
      <c r="U758" s="25" t="s">
        <v>792</v>
      </c>
    </row>
    <row r="759" spans="21:21" x14ac:dyDescent="0.3">
      <c r="U759" s="25" t="s">
        <v>1739</v>
      </c>
    </row>
    <row r="760" spans="21:21" x14ac:dyDescent="0.3">
      <c r="U760" s="24" t="s">
        <v>1210</v>
      </c>
    </row>
    <row r="761" spans="21:21" x14ac:dyDescent="0.3">
      <c r="U761" s="25" t="s">
        <v>1140</v>
      </c>
    </row>
    <row r="762" spans="21:21" x14ac:dyDescent="0.3">
      <c r="U762" s="24" t="s">
        <v>1583</v>
      </c>
    </row>
    <row r="763" spans="21:21" x14ac:dyDescent="0.3">
      <c r="U763" s="25" t="s">
        <v>1090</v>
      </c>
    </row>
    <row r="764" spans="21:21" x14ac:dyDescent="0.3">
      <c r="U764" s="24" t="s">
        <v>577</v>
      </c>
    </row>
    <row r="765" spans="21:21" x14ac:dyDescent="0.3">
      <c r="U765" s="24" t="s">
        <v>545</v>
      </c>
    </row>
    <row r="766" spans="21:21" x14ac:dyDescent="0.3">
      <c r="U766" s="25" t="s">
        <v>919</v>
      </c>
    </row>
    <row r="767" spans="21:21" x14ac:dyDescent="0.3">
      <c r="U767" s="24" t="s">
        <v>359</v>
      </c>
    </row>
    <row r="768" spans="21:21" x14ac:dyDescent="0.3">
      <c r="U768" s="24" t="s">
        <v>568</v>
      </c>
    </row>
    <row r="769" spans="21:21" x14ac:dyDescent="0.3">
      <c r="U769" s="24" t="s">
        <v>165</v>
      </c>
    </row>
    <row r="770" spans="21:21" x14ac:dyDescent="0.3">
      <c r="U770" s="25" t="s">
        <v>447</v>
      </c>
    </row>
    <row r="771" spans="21:21" x14ac:dyDescent="0.3">
      <c r="U771" s="24" t="s">
        <v>1386</v>
      </c>
    </row>
    <row r="772" spans="21:21" x14ac:dyDescent="0.3">
      <c r="U772" s="25" t="s">
        <v>1475</v>
      </c>
    </row>
    <row r="773" spans="21:21" x14ac:dyDescent="0.3">
      <c r="U773" s="25" t="s">
        <v>1241</v>
      </c>
    </row>
    <row r="774" spans="21:21" x14ac:dyDescent="0.3">
      <c r="U774" s="25" t="s">
        <v>1483</v>
      </c>
    </row>
    <row r="775" spans="21:21" x14ac:dyDescent="0.3">
      <c r="U775" s="25" t="s">
        <v>1065</v>
      </c>
    </row>
    <row r="776" spans="21:21" x14ac:dyDescent="0.3">
      <c r="U776" s="25" t="s">
        <v>277</v>
      </c>
    </row>
    <row r="777" spans="21:21" x14ac:dyDescent="0.3">
      <c r="U777" s="25" t="s">
        <v>916</v>
      </c>
    </row>
    <row r="778" spans="21:21" x14ac:dyDescent="0.3">
      <c r="U778" s="25" t="s">
        <v>771</v>
      </c>
    </row>
    <row r="779" spans="21:21" x14ac:dyDescent="0.3">
      <c r="U779" s="24" t="s">
        <v>283</v>
      </c>
    </row>
    <row r="780" spans="21:21" x14ac:dyDescent="0.3">
      <c r="U780" s="24" t="s">
        <v>211</v>
      </c>
    </row>
    <row r="781" spans="21:21" x14ac:dyDescent="0.3">
      <c r="U781" s="24" t="s">
        <v>109</v>
      </c>
    </row>
    <row r="782" spans="21:21" x14ac:dyDescent="0.3">
      <c r="U782" s="25" t="s">
        <v>1103</v>
      </c>
    </row>
    <row r="783" spans="21:21" x14ac:dyDescent="0.3">
      <c r="U783" s="24" t="s">
        <v>899</v>
      </c>
    </row>
    <row r="784" spans="21:21" x14ac:dyDescent="0.3">
      <c r="U784" s="25" t="s">
        <v>1211</v>
      </c>
    </row>
    <row r="785" spans="21:21" x14ac:dyDescent="0.3">
      <c r="U785" s="24" t="s">
        <v>645</v>
      </c>
    </row>
    <row r="786" spans="21:21" x14ac:dyDescent="0.3">
      <c r="U786" s="25" t="s">
        <v>657</v>
      </c>
    </row>
    <row r="787" spans="21:21" x14ac:dyDescent="0.3">
      <c r="U787" s="24" t="s">
        <v>1581</v>
      </c>
    </row>
    <row r="788" spans="21:21" x14ac:dyDescent="0.3">
      <c r="U788" s="25" t="s">
        <v>857</v>
      </c>
    </row>
    <row r="789" spans="21:21" x14ac:dyDescent="0.3">
      <c r="U789" s="25" t="s">
        <v>1678</v>
      </c>
    </row>
    <row r="790" spans="21:21" x14ac:dyDescent="0.3">
      <c r="U790" s="24" t="s">
        <v>116</v>
      </c>
    </row>
    <row r="791" spans="21:21" x14ac:dyDescent="0.3">
      <c r="U791" s="24" t="s">
        <v>1727</v>
      </c>
    </row>
    <row r="792" spans="21:21" x14ac:dyDescent="0.3">
      <c r="U792" s="25" t="s">
        <v>629</v>
      </c>
    </row>
    <row r="793" spans="21:21" x14ac:dyDescent="0.3">
      <c r="U793" s="25" t="s">
        <v>570</v>
      </c>
    </row>
    <row r="794" spans="21:21" x14ac:dyDescent="0.3">
      <c r="U794" s="25" t="s">
        <v>122</v>
      </c>
    </row>
    <row r="795" spans="21:21" x14ac:dyDescent="0.3">
      <c r="U795" s="24" t="s">
        <v>1523</v>
      </c>
    </row>
    <row r="796" spans="21:21" x14ac:dyDescent="0.3">
      <c r="U796" s="24" t="s">
        <v>950</v>
      </c>
    </row>
    <row r="797" spans="21:21" x14ac:dyDescent="0.3">
      <c r="U797" s="24" t="s">
        <v>942</v>
      </c>
    </row>
    <row r="798" spans="21:21" x14ac:dyDescent="0.3">
      <c r="U798" s="25" t="s">
        <v>206</v>
      </c>
    </row>
    <row r="799" spans="21:21" x14ac:dyDescent="0.3">
      <c r="U799" s="24" t="s">
        <v>1794</v>
      </c>
    </row>
    <row r="800" spans="21:21" x14ac:dyDescent="0.3">
      <c r="U800" s="25" t="s">
        <v>1041</v>
      </c>
    </row>
    <row r="801" spans="21:21" x14ac:dyDescent="0.3">
      <c r="U801" s="25" t="s">
        <v>1773</v>
      </c>
    </row>
    <row r="802" spans="21:21" x14ac:dyDescent="0.3">
      <c r="U802" s="24" t="s">
        <v>959</v>
      </c>
    </row>
    <row r="803" spans="21:21" x14ac:dyDescent="0.3">
      <c r="U803" s="24" t="s">
        <v>1654</v>
      </c>
    </row>
    <row r="804" spans="21:21" x14ac:dyDescent="0.3">
      <c r="U804" s="25" t="s">
        <v>1624</v>
      </c>
    </row>
    <row r="805" spans="21:21" x14ac:dyDescent="0.3">
      <c r="U805" s="24" t="s">
        <v>984</v>
      </c>
    </row>
    <row r="806" spans="21:21" x14ac:dyDescent="0.3">
      <c r="U806" s="25" t="s">
        <v>1275</v>
      </c>
    </row>
    <row r="807" spans="21:21" x14ac:dyDescent="0.3">
      <c r="U807" s="24" t="s">
        <v>1276</v>
      </c>
    </row>
    <row r="808" spans="21:21" x14ac:dyDescent="0.3">
      <c r="U808" s="25" t="s">
        <v>1278</v>
      </c>
    </row>
    <row r="809" spans="21:21" x14ac:dyDescent="0.3">
      <c r="U809" s="24" t="s">
        <v>1341</v>
      </c>
    </row>
    <row r="810" spans="21:21" x14ac:dyDescent="0.3">
      <c r="U810" s="25" t="s">
        <v>193</v>
      </c>
    </row>
    <row r="811" spans="21:21" x14ac:dyDescent="0.3">
      <c r="U811" s="25" t="s">
        <v>758</v>
      </c>
    </row>
    <row r="812" spans="21:21" x14ac:dyDescent="0.3">
      <c r="U812" s="24" t="s">
        <v>748</v>
      </c>
    </row>
    <row r="813" spans="21:21" x14ac:dyDescent="0.3">
      <c r="U813" s="25" t="s">
        <v>1273</v>
      </c>
    </row>
    <row r="814" spans="21:21" x14ac:dyDescent="0.3">
      <c r="U814" s="25" t="s">
        <v>1003</v>
      </c>
    </row>
    <row r="815" spans="21:21" x14ac:dyDescent="0.3">
      <c r="U815" s="25" t="s">
        <v>324</v>
      </c>
    </row>
    <row r="816" spans="21:21" x14ac:dyDescent="0.3">
      <c r="U816" s="24" t="s">
        <v>717</v>
      </c>
    </row>
    <row r="817" spans="21:21" x14ac:dyDescent="0.3">
      <c r="U817" s="24" t="s">
        <v>1548</v>
      </c>
    </row>
    <row r="818" spans="21:21" x14ac:dyDescent="0.3">
      <c r="U818" s="24" t="s">
        <v>1689</v>
      </c>
    </row>
    <row r="819" spans="21:21" x14ac:dyDescent="0.3">
      <c r="U819" s="25" t="s">
        <v>1682</v>
      </c>
    </row>
    <row r="820" spans="21:21" x14ac:dyDescent="0.3">
      <c r="U820" s="24" t="s">
        <v>993</v>
      </c>
    </row>
    <row r="821" spans="21:21" x14ac:dyDescent="0.3">
      <c r="U821" s="24" t="s">
        <v>978</v>
      </c>
    </row>
    <row r="822" spans="21:21" x14ac:dyDescent="0.3">
      <c r="U822" s="25" t="s">
        <v>849</v>
      </c>
    </row>
    <row r="823" spans="21:21" x14ac:dyDescent="0.3">
      <c r="U823" s="25" t="s">
        <v>1043</v>
      </c>
    </row>
    <row r="824" spans="21:21" x14ac:dyDescent="0.3">
      <c r="U824" s="25" t="s">
        <v>863</v>
      </c>
    </row>
    <row r="825" spans="21:21" x14ac:dyDescent="0.3">
      <c r="U825" s="24" t="s">
        <v>1036</v>
      </c>
    </row>
    <row r="826" spans="21:21" x14ac:dyDescent="0.3">
      <c r="U826" s="24" t="s">
        <v>1156</v>
      </c>
    </row>
    <row r="827" spans="21:21" x14ac:dyDescent="0.3">
      <c r="U827" s="25" t="s">
        <v>1153</v>
      </c>
    </row>
    <row r="828" spans="21:21" x14ac:dyDescent="0.3">
      <c r="U828" s="25" t="s">
        <v>1553</v>
      </c>
    </row>
    <row r="829" spans="21:21" x14ac:dyDescent="0.3">
      <c r="U829" s="25" t="s">
        <v>1795</v>
      </c>
    </row>
    <row r="830" spans="21:21" x14ac:dyDescent="0.3">
      <c r="U830" s="25" t="s">
        <v>1356</v>
      </c>
    </row>
    <row r="831" spans="21:21" x14ac:dyDescent="0.3">
      <c r="U831" s="24" t="s">
        <v>1077</v>
      </c>
    </row>
    <row r="832" spans="21:21" x14ac:dyDescent="0.3">
      <c r="U832" s="24" t="s">
        <v>628</v>
      </c>
    </row>
    <row r="833" spans="21:21" x14ac:dyDescent="0.3">
      <c r="U833" s="24" t="s">
        <v>594</v>
      </c>
    </row>
    <row r="834" spans="21:21" x14ac:dyDescent="0.3">
      <c r="U834" s="24" t="s">
        <v>1612</v>
      </c>
    </row>
    <row r="835" spans="21:21" x14ac:dyDescent="0.3">
      <c r="U835" s="25" t="s">
        <v>571</v>
      </c>
    </row>
    <row r="836" spans="21:21" x14ac:dyDescent="0.3">
      <c r="U836" s="25" t="s">
        <v>535</v>
      </c>
    </row>
    <row r="837" spans="21:21" x14ac:dyDescent="0.3">
      <c r="U837" s="24" t="s">
        <v>558</v>
      </c>
    </row>
    <row r="838" spans="21:21" x14ac:dyDescent="0.3">
      <c r="U838" s="24" t="s">
        <v>721</v>
      </c>
    </row>
    <row r="839" spans="21:21" x14ac:dyDescent="0.3">
      <c r="U839" s="24" t="s">
        <v>580</v>
      </c>
    </row>
    <row r="840" spans="21:21" x14ac:dyDescent="0.3">
      <c r="U840" s="24" t="s">
        <v>559</v>
      </c>
    </row>
    <row r="841" spans="21:21" x14ac:dyDescent="0.3">
      <c r="U841" s="24" t="s">
        <v>1183</v>
      </c>
    </row>
    <row r="842" spans="21:21" x14ac:dyDescent="0.3">
      <c r="U842" s="25" t="s">
        <v>543</v>
      </c>
    </row>
    <row r="843" spans="21:21" x14ac:dyDescent="0.3">
      <c r="U843" s="25" t="s">
        <v>367</v>
      </c>
    </row>
    <row r="844" spans="21:21" x14ac:dyDescent="0.3">
      <c r="U844" s="24" t="s">
        <v>1663</v>
      </c>
    </row>
    <row r="845" spans="21:21" x14ac:dyDescent="0.3">
      <c r="U845" s="24" t="s">
        <v>1647</v>
      </c>
    </row>
    <row r="846" spans="21:21" x14ac:dyDescent="0.3">
      <c r="U846" s="24" t="s">
        <v>1280</v>
      </c>
    </row>
    <row r="847" spans="21:21" x14ac:dyDescent="0.3">
      <c r="U847" s="24" t="s">
        <v>662</v>
      </c>
    </row>
    <row r="848" spans="21:21" x14ac:dyDescent="0.3">
      <c r="U848" s="25" t="s">
        <v>925</v>
      </c>
    </row>
    <row r="849" spans="21:21" x14ac:dyDescent="0.3">
      <c r="U849" s="24" t="s">
        <v>861</v>
      </c>
    </row>
    <row r="850" spans="21:21" x14ac:dyDescent="0.3">
      <c r="U850" s="25" t="s">
        <v>1038</v>
      </c>
    </row>
    <row r="851" spans="21:21" x14ac:dyDescent="0.3">
      <c r="U851" s="25" t="s">
        <v>869</v>
      </c>
    </row>
    <row r="852" spans="21:21" x14ac:dyDescent="0.3">
      <c r="U852" s="24" t="s">
        <v>847</v>
      </c>
    </row>
    <row r="853" spans="21:21" x14ac:dyDescent="0.3">
      <c r="U853" s="24" t="s">
        <v>1170</v>
      </c>
    </row>
    <row r="854" spans="21:21" x14ac:dyDescent="0.3">
      <c r="U854" s="24" t="s">
        <v>1113</v>
      </c>
    </row>
    <row r="855" spans="21:21" x14ac:dyDescent="0.3">
      <c r="U855" s="25" t="s">
        <v>1579</v>
      </c>
    </row>
    <row r="856" spans="21:21" x14ac:dyDescent="0.3">
      <c r="U856" s="25" t="s">
        <v>1335</v>
      </c>
    </row>
    <row r="857" spans="21:21" x14ac:dyDescent="0.3">
      <c r="U857" s="24" t="s">
        <v>1736</v>
      </c>
    </row>
    <row r="858" spans="21:21" x14ac:dyDescent="0.3">
      <c r="U858" s="24" t="s">
        <v>1482</v>
      </c>
    </row>
    <row r="859" spans="21:21" x14ac:dyDescent="0.3">
      <c r="U859" s="24" t="s">
        <v>1775</v>
      </c>
    </row>
    <row r="860" spans="21:21" x14ac:dyDescent="0.3">
      <c r="U860" s="25" t="s">
        <v>327</v>
      </c>
    </row>
    <row r="861" spans="21:21" x14ac:dyDescent="0.3">
      <c r="U861" s="25" t="s">
        <v>126</v>
      </c>
    </row>
    <row r="862" spans="21:21" x14ac:dyDescent="0.3">
      <c r="U862" s="25" t="s">
        <v>1413</v>
      </c>
    </row>
    <row r="863" spans="21:21" x14ac:dyDescent="0.3">
      <c r="U863" s="25" t="s">
        <v>1582</v>
      </c>
    </row>
    <row r="864" spans="21:21" x14ac:dyDescent="0.3">
      <c r="U864" s="24" t="s">
        <v>1369</v>
      </c>
    </row>
    <row r="865" spans="21:21" x14ac:dyDescent="0.3">
      <c r="U865" s="24" t="s">
        <v>1769</v>
      </c>
    </row>
    <row r="866" spans="21:21" x14ac:dyDescent="0.3">
      <c r="U866" s="25" t="s">
        <v>742</v>
      </c>
    </row>
    <row r="867" spans="21:21" x14ac:dyDescent="0.3">
      <c r="U867" s="24" t="s">
        <v>812</v>
      </c>
    </row>
    <row r="868" spans="21:21" x14ac:dyDescent="0.3">
      <c r="U868" s="25" t="s">
        <v>506</v>
      </c>
    </row>
    <row r="869" spans="21:21" x14ac:dyDescent="0.3">
      <c r="U869" s="25" t="s">
        <v>336</v>
      </c>
    </row>
    <row r="870" spans="21:21" x14ac:dyDescent="0.3">
      <c r="U870" s="25" t="s">
        <v>264</v>
      </c>
    </row>
    <row r="871" spans="21:21" x14ac:dyDescent="0.3">
      <c r="U871" s="24" t="s">
        <v>1541</v>
      </c>
    </row>
    <row r="872" spans="21:21" x14ac:dyDescent="0.3">
      <c r="U872" s="24" t="s">
        <v>1070</v>
      </c>
    </row>
    <row r="873" spans="21:21" x14ac:dyDescent="0.3">
      <c r="U873" s="24" t="s">
        <v>980</v>
      </c>
    </row>
    <row r="874" spans="21:21" x14ac:dyDescent="0.3">
      <c r="U874" s="25" t="s">
        <v>171</v>
      </c>
    </row>
    <row r="875" spans="21:21" x14ac:dyDescent="0.3">
      <c r="U875" s="24" t="s">
        <v>197</v>
      </c>
    </row>
    <row r="876" spans="21:21" x14ac:dyDescent="0.3">
      <c r="U876" s="25" t="s">
        <v>198</v>
      </c>
    </row>
    <row r="877" spans="21:21" x14ac:dyDescent="0.3">
      <c r="U877" s="25" t="s">
        <v>1758</v>
      </c>
    </row>
    <row r="878" spans="21:21" x14ac:dyDescent="0.3">
      <c r="U878" s="25" t="s">
        <v>711</v>
      </c>
    </row>
    <row r="879" spans="21:21" x14ac:dyDescent="0.3">
      <c r="U879" s="24" t="s">
        <v>1027</v>
      </c>
    </row>
    <row r="880" spans="21:21" x14ac:dyDescent="0.3">
      <c r="U880" s="25" t="s">
        <v>1617</v>
      </c>
    </row>
    <row r="881" spans="21:21" x14ac:dyDescent="0.3">
      <c r="U881" s="24" t="s">
        <v>1669</v>
      </c>
    </row>
    <row r="882" spans="21:21" x14ac:dyDescent="0.3">
      <c r="U882" s="25" t="s">
        <v>486</v>
      </c>
    </row>
    <row r="883" spans="21:21" x14ac:dyDescent="0.3">
      <c r="U883" s="25" t="s">
        <v>1184</v>
      </c>
    </row>
    <row r="884" spans="21:21" x14ac:dyDescent="0.3">
      <c r="U884" s="24" t="s">
        <v>744</v>
      </c>
    </row>
    <row r="885" spans="21:21" x14ac:dyDescent="0.3">
      <c r="U885" s="24" t="s">
        <v>1286</v>
      </c>
    </row>
    <row r="886" spans="21:21" x14ac:dyDescent="0.3">
      <c r="U886" s="25" t="s">
        <v>270</v>
      </c>
    </row>
    <row r="887" spans="21:21" x14ac:dyDescent="0.3">
      <c r="U887" s="25" t="s">
        <v>114</v>
      </c>
    </row>
    <row r="888" spans="21:21" x14ac:dyDescent="0.3">
      <c r="U888" s="24" t="s">
        <v>146</v>
      </c>
    </row>
    <row r="889" spans="21:21" x14ac:dyDescent="0.3">
      <c r="U889" s="25" t="s">
        <v>1197</v>
      </c>
    </row>
    <row r="890" spans="21:21" x14ac:dyDescent="0.3">
      <c r="U890" s="24" t="s">
        <v>1753</v>
      </c>
    </row>
    <row r="891" spans="21:21" x14ac:dyDescent="0.3">
      <c r="U891" s="25" t="s">
        <v>1213</v>
      </c>
    </row>
    <row r="892" spans="21:21" x14ac:dyDescent="0.3">
      <c r="U892" s="24" t="s">
        <v>695</v>
      </c>
    </row>
    <row r="893" spans="21:21" x14ac:dyDescent="0.3">
      <c r="U893" s="24" t="s">
        <v>679</v>
      </c>
    </row>
    <row r="894" spans="21:21" x14ac:dyDescent="0.3">
      <c r="U894" s="24" t="s">
        <v>1274</v>
      </c>
    </row>
    <row r="895" spans="21:21" x14ac:dyDescent="0.3">
      <c r="U895" s="24" t="s">
        <v>927</v>
      </c>
    </row>
    <row r="896" spans="21:21" x14ac:dyDescent="0.3">
      <c r="U896" s="25" t="s">
        <v>823</v>
      </c>
    </row>
    <row r="897" spans="21:21" x14ac:dyDescent="0.3">
      <c r="U897" s="25" t="s">
        <v>1799</v>
      </c>
    </row>
    <row r="898" spans="21:21" x14ac:dyDescent="0.3">
      <c r="U898" s="25" t="s">
        <v>1601</v>
      </c>
    </row>
    <row r="899" spans="21:21" x14ac:dyDescent="0.3">
      <c r="U899" s="25" t="s">
        <v>727</v>
      </c>
    </row>
    <row r="900" spans="21:21" x14ac:dyDescent="0.3">
      <c r="U900" s="25" t="s">
        <v>1028</v>
      </c>
    </row>
    <row r="901" spans="21:21" x14ac:dyDescent="0.3">
      <c r="U901" s="24" t="s">
        <v>956</v>
      </c>
    </row>
    <row r="902" spans="21:21" x14ac:dyDescent="0.3">
      <c r="U902" s="25" t="s">
        <v>1260</v>
      </c>
    </row>
    <row r="903" spans="21:21" x14ac:dyDescent="0.3">
      <c r="U903" s="25" t="s">
        <v>1732</v>
      </c>
    </row>
    <row r="904" spans="21:21" x14ac:dyDescent="0.3">
      <c r="U904" s="24" t="s">
        <v>1521</v>
      </c>
    </row>
    <row r="905" spans="21:21" x14ac:dyDescent="0.3">
      <c r="U905" s="24" t="s">
        <v>1082</v>
      </c>
    </row>
    <row r="906" spans="21:21" x14ac:dyDescent="0.3">
      <c r="U906" s="24" t="s">
        <v>390</v>
      </c>
    </row>
    <row r="907" spans="21:21" x14ac:dyDescent="0.3">
      <c r="U907" s="25" t="s">
        <v>767</v>
      </c>
    </row>
    <row r="908" spans="21:21" x14ac:dyDescent="0.3">
      <c r="U908" s="24" t="s">
        <v>129</v>
      </c>
    </row>
    <row r="909" spans="21:21" x14ac:dyDescent="0.3">
      <c r="U909" s="25" t="s">
        <v>994</v>
      </c>
    </row>
    <row r="910" spans="21:21" x14ac:dyDescent="0.3">
      <c r="U910" s="24" t="s">
        <v>326</v>
      </c>
    </row>
    <row r="911" spans="21:21" x14ac:dyDescent="0.3">
      <c r="U911" s="25" t="s">
        <v>1539</v>
      </c>
    </row>
    <row r="912" spans="21:21" x14ac:dyDescent="0.3">
      <c r="U912" s="25" t="s">
        <v>1222</v>
      </c>
    </row>
    <row r="913" spans="21:21" x14ac:dyDescent="0.3">
      <c r="U913" s="24" t="s">
        <v>1713</v>
      </c>
    </row>
    <row r="914" spans="21:21" x14ac:dyDescent="0.3">
      <c r="U914" s="25" t="s">
        <v>1299</v>
      </c>
    </row>
    <row r="915" spans="21:21" x14ac:dyDescent="0.3">
      <c r="U915" s="24" t="s">
        <v>1304</v>
      </c>
    </row>
    <row r="916" spans="21:21" x14ac:dyDescent="0.3">
      <c r="U916" s="25" t="s">
        <v>1618</v>
      </c>
    </row>
    <row r="917" spans="21:21" x14ac:dyDescent="0.3">
      <c r="U917" s="25" t="s">
        <v>971</v>
      </c>
    </row>
    <row r="918" spans="21:21" x14ac:dyDescent="0.3">
      <c r="U918" s="25" t="s">
        <v>1695</v>
      </c>
    </row>
    <row r="919" spans="21:21" x14ac:dyDescent="0.3">
      <c r="U919" s="25" t="s">
        <v>1125</v>
      </c>
    </row>
    <row r="920" spans="21:21" x14ac:dyDescent="0.3">
      <c r="U920" s="25" t="s">
        <v>233</v>
      </c>
    </row>
    <row r="921" spans="21:21" x14ac:dyDescent="0.3">
      <c r="U921" s="24" t="s">
        <v>963</v>
      </c>
    </row>
    <row r="922" spans="21:21" x14ac:dyDescent="0.3">
      <c r="U922" s="25" t="s">
        <v>382</v>
      </c>
    </row>
    <row r="923" spans="21:21" x14ac:dyDescent="0.3">
      <c r="U923" s="25" t="s">
        <v>1115</v>
      </c>
    </row>
    <row r="924" spans="21:21" x14ac:dyDescent="0.3">
      <c r="U924" s="25" t="s">
        <v>1388</v>
      </c>
    </row>
    <row r="925" spans="21:21" x14ac:dyDescent="0.3">
      <c r="U925" s="25" t="s">
        <v>1191</v>
      </c>
    </row>
    <row r="926" spans="21:21" x14ac:dyDescent="0.3">
      <c r="U926" s="25" t="s">
        <v>835</v>
      </c>
    </row>
    <row r="927" spans="21:21" x14ac:dyDescent="0.3">
      <c r="U927" s="25" t="s">
        <v>1692</v>
      </c>
    </row>
    <row r="928" spans="21:21" x14ac:dyDescent="0.3">
      <c r="U928" s="24" t="s">
        <v>1230</v>
      </c>
    </row>
    <row r="929" spans="21:21" x14ac:dyDescent="0.3">
      <c r="U929" s="25" t="s">
        <v>1507</v>
      </c>
    </row>
    <row r="930" spans="21:21" x14ac:dyDescent="0.3">
      <c r="U930" s="25" t="s">
        <v>788</v>
      </c>
    </row>
    <row r="931" spans="21:21" x14ac:dyDescent="0.3">
      <c r="U931" s="25" t="s">
        <v>241</v>
      </c>
    </row>
    <row r="932" spans="21:21" x14ac:dyDescent="0.3">
      <c r="U932" s="25" t="s">
        <v>595</v>
      </c>
    </row>
    <row r="933" spans="21:21" x14ac:dyDescent="0.3">
      <c r="U933" s="24" t="s">
        <v>1050</v>
      </c>
    </row>
    <row r="934" spans="21:21" x14ac:dyDescent="0.3">
      <c r="U934" s="25" t="s">
        <v>450</v>
      </c>
    </row>
    <row r="935" spans="21:21" x14ac:dyDescent="0.3">
      <c r="U935" s="25" t="s">
        <v>982</v>
      </c>
    </row>
    <row r="936" spans="21:21" x14ac:dyDescent="0.3">
      <c r="U936" s="24" t="s">
        <v>1064</v>
      </c>
    </row>
    <row r="937" spans="21:21" x14ac:dyDescent="0.3">
      <c r="U937" s="25" t="s">
        <v>1797</v>
      </c>
    </row>
    <row r="938" spans="21:21" x14ac:dyDescent="0.3">
      <c r="U938" s="24" t="s">
        <v>1109</v>
      </c>
    </row>
    <row r="939" spans="21:21" x14ac:dyDescent="0.3">
      <c r="U939" s="24" t="s">
        <v>1471</v>
      </c>
    </row>
    <row r="940" spans="21:21" x14ac:dyDescent="0.3">
      <c r="U940" s="25" t="s">
        <v>491</v>
      </c>
    </row>
    <row r="941" spans="21:21" x14ac:dyDescent="0.3">
      <c r="U941" s="24" t="s">
        <v>1715</v>
      </c>
    </row>
    <row r="942" spans="21:21" x14ac:dyDescent="0.3">
      <c r="U942" s="24" t="s">
        <v>1239</v>
      </c>
    </row>
    <row r="943" spans="21:21" x14ac:dyDescent="0.3">
      <c r="U943" s="25" t="s">
        <v>974</v>
      </c>
    </row>
    <row r="944" spans="21:21" x14ac:dyDescent="0.3">
      <c r="U944" s="24" t="s">
        <v>1284</v>
      </c>
    </row>
    <row r="945" spans="21:21" x14ac:dyDescent="0.3">
      <c r="U945" s="24" t="s">
        <v>1510</v>
      </c>
    </row>
    <row r="946" spans="21:21" x14ac:dyDescent="0.3">
      <c r="U946" s="24" t="s">
        <v>279</v>
      </c>
    </row>
    <row r="947" spans="21:21" x14ac:dyDescent="0.3">
      <c r="U947" s="24" t="s">
        <v>587</v>
      </c>
    </row>
    <row r="948" spans="21:21" x14ac:dyDescent="0.3">
      <c r="U948" s="25" t="s">
        <v>574</v>
      </c>
    </row>
    <row r="949" spans="21:21" x14ac:dyDescent="0.3">
      <c r="U949" s="24" t="s">
        <v>607</v>
      </c>
    </row>
    <row r="950" spans="21:21" x14ac:dyDescent="0.3">
      <c r="U950" s="24" t="s">
        <v>623</v>
      </c>
    </row>
    <row r="951" spans="21:21" x14ac:dyDescent="0.3">
      <c r="U951" s="24" t="s">
        <v>1345</v>
      </c>
    </row>
    <row r="952" spans="21:21" x14ac:dyDescent="0.3">
      <c r="U952" s="25" t="s">
        <v>1511</v>
      </c>
    </row>
    <row r="953" spans="21:21" x14ac:dyDescent="0.3">
      <c r="U953" s="25" t="s">
        <v>392</v>
      </c>
    </row>
    <row r="954" spans="21:21" x14ac:dyDescent="0.3">
      <c r="U954" s="25" t="s">
        <v>494</v>
      </c>
    </row>
    <row r="955" spans="21:21" x14ac:dyDescent="0.3">
      <c r="U955" s="24" t="s">
        <v>1101</v>
      </c>
    </row>
    <row r="956" spans="21:21" x14ac:dyDescent="0.3">
      <c r="U956" s="24" t="s">
        <v>249</v>
      </c>
    </row>
    <row r="957" spans="21:21" x14ac:dyDescent="0.3">
      <c r="U957" s="24" t="s">
        <v>1269</v>
      </c>
    </row>
    <row r="958" spans="21:21" x14ac:dyDescent="0.3">
      <c r="U958" s="24" t="s">
        <v>1635</v>
      </c>
    </row>
    <row r="959" spans="21:21" x14ac:dyDescent="0.3">
      <c r="U959" s="25" t="s">
        <v>1542</v>
      </c>
    </row>
    <row r="960" spans="21:21" x14ac:dyDescent="0.3">
      <c r="U960" s="25" t="s">
        <v>840</v>
      </c>
    </row>
    <row r="961" spans="21:21" x14ac:dyDescent="0.3">
      <c r="U961" s="24" t="s">
        <v>1160</v>
      </c>
    </row>
    <row r="962" spans="21:21" x14ac:dyDescent="0.3">
      <c r="U962" s="24" t="s">
        <v>1585</v>
      </c>
    </row>
    <row r="963" spans="21:21" x14ac:dyDescent="0.3">
      <c r="U963" s="24" t="s">
        <v>1741</v>
      </c>
    </row>
    <row r="964" spans="21:21" x14ac:dyDescent="0.3">
      <c r="U964" s="25" t="s">
        <v>1748</v>
      </c>
    </row>
    <row r="965" spans="21:21" x14ac:dyDescent="0.3">
      <c r="U965" s="25" t="s">
        <v>104</v>
      </c>
    </row>
    <row r="966" spans="21:21" x14ac:dyDescent="0.3">
      <c r="U966" s="24" t="s">
        <v>1673</v>
      </c>
    </row>
    <row r="967" spans="21:21" x14ac:dyDescent="0.3">
      <c r="U967" s="24" t="s">
        <v>1706</v>
      </c>
    </row>
    <row r="968" spans="21:21" x14ac:dyDescent="0.3">
      <c r="U968" s="25" t="s">
        <v>702</v>
      </c>
    </row>
    <row r="969" spans="21:21" x14ac:dyDescent="0.3">
      <c r="U969" s="24" t="s">
        <v>1364</v>
      </c>
    </row>
    <row r="970" spans="21:21" x14ac:dyDescent="0.3">
      <c r="U970" s="24" t="s">
        <v>1442</v>
      </c>
    </row>
    <row r="971" spans="21:21" x14ac:dyDescent="0.3">
      <c r="U971" s="25" t="s">
        <v>1331</v>
      </c>
    </row>
    <row r="972" spans="21:21" x14ac:dyDescent="0.3">
      <c r="U972" s="25" t="s">
        <v>566</v>
      </c>
    </row>
    <row r="973" spans="21:21" x14ac:dyDescent="0.3">
      <c r="U973" s="24" t="s">
        <v>828</v>
      </c>
    </row>
    <row r="974" spans="21:21" x14ac:dyDescent="0.3">
      <c r="U974" s="25" t="s">
        <v>470</v>
      </c>
    </row>
    <row r="975" spans="21:21" x14ac:dyDescent="0.3">
      <c r="U975" s="25" t="s">
        <v>903</v>
      </c>
    </row>
    <row r="976" spans="21:21" x14ac:dyDescent="0.3">
      <c r="U976" s="24" t="s">
        <v>1488</v>
      </c>
    </row>
    <row r="977" spans="21:21" x14ac:dyDescent="0.3">
      <c r="U977" s="24" t="s">
        <v>33</v>
      </c>
    </row>
    <row r="978" spans="21:21" x14ac:dyDescent="0.3">
      <c r="U978" s="24" t="s">
        <v>1074</v>
      </c>
    </row>
    <row r="979" spans="21:21" x14ac:dyDescent="0.3">
      <c r="U979" s="24" t="s">
        <v>147</v>
      </c>
    </row>
    <row r="980" spans="21:21" x14ac:dyDescent="0.3">
      <c r="U980" s="25" t="s">
        <v>881</v>
      </c>
    </row>
    <row r="981" spans="21:21" x14ac:dyDescent="0.3">
      <c r="U981" s="24" t="s">
        <v>842</v>
      </c>
    </row>
    <row r="982" spans="21:21" x14ac:dyDescent="0.3">
      <c r="U982" s="24" t="s">
        <v>1015</v>
      </c>
    </row>
    <row r="983" spans="21:21" x14ac:dyDescent="0.3">
      <c r="U983" s="24" t="s">
        <v>271</v>
      </c>
    </row>
    <row r="984" spans="21:21" x14ac:dyDescent="0.3">
      <c r="U984" s="24" t="s">
        <v>733</v>
      </c>
    </row>
    <row r="985" spans="21:21" x14ac:dyDescent="0.3">
      <c r="U985" s="24" t="s">
        <v>692</v>
      </c>
    </row>
    <row r="986" spans="21:21" x14ac:dyDescent="0.3">
      <c r="U986" s="25" t="s">
        <v>600</v>
      </c>
    </row>
    <row r="987" spans="21:21" x14ac:dyDescent="0.3">
      <c r="U987" s="25" t="s">
        <v>877</v>
      </c>
    </row>
    <row r="988" spans="21:21" x14ac:dyDescent="0.3">
      <c r="U988" s="24" t="s">
        <v>1619</v>
      </c>
    </row>
    <row r="989" spans="21:21" x14ac:dyDescent="0.3">
      <c r="U989" s="24" t="s">
        <v>448</v>
      </c>
    </row>
    <row r="990" spans="21:21" x14ac:dyDescent="0.3">
      <c r="U990" s="25" t="s">
        <v>1402</v>
      </c>
    </row>
    <row r="991" spans="21:21" x14ac:dyDescent="0.3">
      <c r="U991" s="24" t="s">
        <v>48</v>
      </c>
    </row>
    <row r="992" spans="21:21" x14ac:dyDescent="0.3">
      <c r="U992" s="24" t="s">
        <v>534</v>
      </c>
    </row>
    <row r="993" spans="21:21" x14ac:dyDescent="0.3">
      <c r="U993" s="24" t="s">
        <v>584</v>
      </c>
    </row>
    <row r="994" spans="21:21" x14ac:dyDescent="0.3">
      <c r="U994" s="25" t="s">
        <v>620</v>
      </c>
    </row>
    <row r="995" spans="21:21" x14ac:dyDescent="0.3">
      <c r="U995" s="25" t="s">
        <v>1285</v>
      </c>
    </row>
    <row r="996" spans="21:21" x14ac:dyDescent="0.3">
      <c r="U996" s="24" t="s">
        <v>73</v>
      </c>
    </row>
    <row r="997" spans="21:21" x14ac:dyDescent="0.3">
      <c r="U997" s="24" t="s">
        <v>1024</v>
      </c>
    </row>
    <row r="998" spans="21:21" x14ac:dyDescent="0.3">
      <c r="U998" s="25" t="s">
        <v>187</v>
      </c>
    </row>
    <row r="999" spans="21:21" x14ac:dyDescent="0.3">
      <c r="U999" s="25" t="s">
        <v>1680</v>
      </c>
    </row>
    <row r="1000" spans="21:21" x14ac:dyDescent="0.3">
      <c r="U1000" s="25" t="s">
        <v>1257</v>
      </c>
    </row>
    <row r="1001" spans="21:21" x14ac:dyDescent="0.3">
      <c r="U1001" s="24" t="s">
        <v>443</v>
      </c>
    </row>
    <row r="1002" spans="21:21" x14ac:dyDescent="0.3">
      <c r="U1002" s="25" t="s">
        <v>719</v>
      </c>
    </row>
    <row r="1003" spans="21:21" x14ac:dyDescent="0.3">
      <c r="U1003" s="25" t="s">
        <v>1533</v>
      </c>
    </row>
    <row r="1004" spans="21:21" x14ac:dyDescent="0.3">
      <c r="U1004" s="25" t="s">
        <v>236</v>
      </c>
    </row>
    <row r="1005" spans="21:21" x14ac:dyDescent="0.3">
      <c r="U1005" s="24" t="s">
        <v>1477</v>
      </c>
    </row>
    <row r="1006" spans="21:21" x14ac:dyDescent="0.3">
      <c r="U1006" s="25" t="s">
        <v>1464</v>
      </c>
    </row>
    <row r="1007" spans="21:21" x14ac:dyDescent="0.3">
      <c r="U1007" s="24" t="s">
        <v>1454</v>
      </c>
    </row>
    <row r="1008" spans="21:21" x14ac:dyDescent="0.3">
      <c r="U1008" s="25" t="s">
        <v>1461</v>
      </c>
    </row>
    <row r="1009" spans="21:21" x14ac:dyDescent="0.3">
      <c r="U1009" s="25" t="s">
        <v>1455</v>
      </c>
    </row>
    <row r="1010" spans="21:21" x14ac:dyDescent="0.3">
      <c r="U1010" s="24" t="s">
        <v>1459</v>
      </c>
    </row>
    <row r="1011" spans="21:21" x14ac:dyDescent="0.3">
      <c r="U1011" s="24" t="s">
        <v>1512</v>
      </c>
    </row>
    <row r="1012" spans="21:21" x14ac:dyDescent="0.3">
      <c r="U1012" s="24" t="s">
        <v>1490</v>
      </c>
    </row>
    <row r="1013" spans="21:21" x14ac:dyDescent="0.3">
      <c r="U1013" s="25" t="s">
        <v>1266</v>
      </c>
    </row>
    <row r="1014" spans="21:21" x14ac:dyDescent="0.3">
      <c r="U1014" s="25" t="s">
        <v>622</v>
      </c>
    </row>
    <row r="1015" spans="21:21" x14ac:dyDescent="0.3">
      <c r="U1015" s="25" t="s">
        <v>1102</v>
      </c>
    </row>
    <row r="1016" spans="21:21" x14ac:dyDescent="0.3">
      <c r="U1016" s="24" t="s">
        <v>1792</v>
      </c>
    </row>
    <row r="1017" spans="21:21" x14ac:dyDescent="0.3">
      <c r="U1017" s="25" t="s">
        <v>1053</v>
      </c>
    </row>
    <row r="1018" spans="21:21" x14ac:dyDescent="0.3">
      <c r="U1018" s="24" t="s">
        <v>643</v>
      </c>
    </row>
    <row r="1019" spans="21:21" x14ac:dyDescent="0.3">
      <c r="U1019" s="25" t="s">
        <v>1111</v>
      </c>
    </row>
    <row r="1020" spans="21:21" x14ac:dyDescent="0.3">
      <c r="U1020" s="25" t="s">
        <v>108</v>
      </c>
    </row>
    <row r="1021" spans="21:21" x14ac:dyDescent="0.3">
      <c r="U1021" s="24" t="s">
        <v>878</v>
      </c>
    </row>
    <row r="1022" spans="21:21" x14ac:dyDescent="0.3">
      <c r="U1022" s="24" t="s">
        <v>1313</v>
      </c>
    </row>
    <row r="1023" spans="21:21" x14ac:dyDescent="0.3">
      <c r="U1023" s="25" t="s">
        <v>1314</v>
      </c>
    </row>
    <row r="1024" spans="21:21" x14ac:dyDescent="0.3">
      <c r="U1024" s="24" t="s">
        <v>1631</v>
      </c>
    </row>
    <row r="1025" spans="21:21" x14ac:dyDescent="0.3">
      <c r="U1025" s="24" t="s">
        <v>41</v>
      </c>
    </row>
    <row r="1026" spans="21:21" x14ac:dyDescent="0.3">
      <c r="U1026" s="25" t="s">
        <v>1244</v>
      </c>
    </row>
    <row r="1027" spans="21:21" x14ac:dyDescent="0.3">
      <c r="U1027" s="24" t="s">
        <v>784</v>
      </c>
    </row>
    <row r="1028" spans="21:21" x14ac:dyDescent="0.3">
      <c r="U1028" s="25" t="s">
        <v>1443</v>
      </c>
    </row>
    <row r="1029" spans="21:21" x14ac:dyDescent="0.3">
      <c r="U1029" s="25" t="s">
        <v>330</v>
      </c>
    </row>
    <row r="1030" spans="21:21" x14ac:dyDescent="0.3">
      <c r="U1030" s="25" t="s">
        <v>1076</v>
      </c>
    </row>
    <row r="1031" spans="21:21" x14ac:dyDescent="0.3">
      <c r="U1031" s="25" t="s">
        <v>691</v>
      </c>
    </row>
    <row r="1032" spans="21:21" x14ac:dyDescent="0.3">
      <c r="U1032" s="25" t="s">
        <v>685</v>
      </c>
    </row>
    <row r="1033" spans="21:21" x14ac:dyDescent="0.3">
      <c r="U1033" s="25" t="s">
        <v>1342</v>
      </c>
    </row>
    <row r="1034" spans="21:21" x14ac:dyDescent="0.3">
      <c r="U1034" s="25" t="s">
        <v>1518</v>
      </c>
    </row>
    <row r="1035" spans="21:21" x14ac:dyDescent="0.3">
      <c r="U1035" s="25" t="s">
        <v>258</v>
      </c>
    </row>
    <row r="1036" spans="21:21" x14ac:dyDescent="0.3">
      <c r="U1036" s="25" t="s">
        <v>1592</v>
      </c>
    </row>
    <row r="1037" spans="21:21" x14ac:dyDescent="0.3">
      <c r="U1037" s="25" t="s">
        <v>136</v>
      </c>
    </row>
    <row r="1038" spans="21:21" x14ac:dyDescent="0.3">
      <c r="U1038" s="24" t="s">
        <v>232</v>
      </c>
    </row>
    <row r="1039" spans="21:21" x14ac:dyDescent="0.3">
      <c r="U1039" s="25" t="s">
        <v>231</v>
      </c>
    </row>
    <row r="1040" spans="21:21" x14ac:dyDescent="0.3">
      <c r="U1040" s="24" t="s">
        <v>1200</v>
      </c>
    </row>
    <row r="1041" spans="21:21" x14ac:dyDescent="0.3">
      <c r="U1041" s="25" t="s">
        <v>540</v>
      </c>
    </row>
    <row r="1042" spans="21:21" x14ac:dyDescent="0.3">
      <c r="U1042" s="24" t="s">
        <v>1444</v>
      </c>
    </row>
    <row r="1043" spans="21:21" x14ac:dyDescent="0.3">
      <c r="U1043" s="25" t="s">
        <v>1431</v>
      </c>
    </row>
    <row r="1044" spans="21:21" x14ac:dyDescent="0.3">
      <c r="U1044" s="25" t="s">
        <v>261</v>
      </c>
    </row>
    <row r="1045" spans="21:21" x14ac:dyDescent="0.3">
      <c r="U1045" s="25" t="s">
        <v>469</v>
      </c>
    </row>
    <row r="1046" spans="21:21" x14ac:dyDescent="0.3">
      <c r="U1046" s="24" t="s">
        <v>975</v>
      </c>
    </row>
    <row r="1047" spans="21:21" x14ac:dyDescent="0.3">
      <c r="U1047" s="25" t="s">
        <v>1754</v>
      </c>
    </row>
    <row r="1048" spans="21:21" x14ac:dyDescent="0.3">
      <c r="U1048" s="24" t="s">
        <v>1756</v>
      </c>
    </row>
    <row r="1049" spans="21:21" x14ac:dyDescent="0.3">
      <c r="U1049" s="25" t="s">
        <v>1664</v>
      </c>
    </row>
    <row r="1050" spans="21:21" x14ac:dyDescent="0.3">
      <c r="U1050" s="24" t="s">
        <v>1588</v>
      </c>
    </row>
    <row r="1051" spans="21:21" x14ac:dyDescent="0.3">
      <c r="U1051" s="25" t="s">
        <v>1598</v>
      </c>
    </row>
    <row r="1052" spans="21:21" x14ac:dyDescent="0.3">
      <c r="U1052" s="24" t="s">
        <v>1187</v>
      </c>
    </row>
    <row r="1053" spans="21:21" x14ac:dyDescent="0.3">
      <c r="U1053" s="25" t="s">
        <v>1554</v>
      </c>
    </row>
  </sheetData>
  <mergeCells count="1">
    <mergeCell ref="A1: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8C4D8-A724-439A-801A-135FA67C0418}">
  <sheetPr>
    <tabColor theme="5" tint="-0.249977111117893"/>
  </sheetPr>
  <dimension ref="A1:M28"/>
  <sheetViews>
    <sheetView zoomScale="80" zoomScaleNormal="80" workbookViewId="0"/>
  </sheetViews>
  <sheetFormatPr defaultRowHeight="14.4" x14ac:dyDescent="0.3"/>
  <cols>
    <col min="1" max="1" width="36.33203125" bestFit="1" customWidth="1"/>
    <col min="2" max="2" width="12.88671875" bestFit="1" customWidth="1"/>
    <col min="3" max="3" width="9.44140625" bestFit="1" customWidth="1"/>
    <col min="4" max="4" width="16.33203125" bestFit="1" customWidth="1"/>
    <col min="5" max="5" width="19.44140625" bestFit="1" customWidth="1"/>
    <col min="6" max="6" width="28.77734375" bestFit="1" customWidth="1"/>
    <col min="7" max="7" width="14.21875" bestFit="1" customWidth="1"/>
    <col min="8" max="8" width="9.44140625" bestFit="1" customWidth="1"/>
    <col min="9" max="9" width="10.5546875" bestFit="1" customWidth="1"/>
    <col min="10" max="10" width="10.21875" bestFit="1" customWidth="1"/>
    <col min="11" max="11" width="11.21875" bestFit="1" customWidth="1"/>
    <col min="12" max="12" width="12.6640625" bestFit="1" customWidth="1"/>
    <col min="13" max="13" width="11.109375" bestFit="1" customWidth="1"/>
  </cols>
  <sheetData>
    <row r="1" spans="1:13" ht="15.6" x14ac:dyDescent="0.3">
      <c r="A1" s="49" t="s">
        <v>1820</v>
      </c>
      <c r="B1" s="49" t="s">
        <v>2</v>
      </c>
      <c r="C1" s="49" t="s">
        <v>3</v>
      </c>
      <c r="D1" s="49" t="s">
        <v>4</v>
      </c>
      <c r="E1" s="49" t="s">
        <v>5</v>
      </c>
      <c r="F1" s="49" t="s">
        <v>6</v>
      </c>
      <c r="G1" s="49" t="s">
        <v>7</v>
      </c>
      <c r="H1" s="49" t="s">
        <v>8</v>
      </c>
      <c r="I1" s="49" t="s">
        <v>9</v>
      </c>
      <c r="J1" s="49" t="s">
        <v>10</v>
      </c>
      <c r="K1" s="49" t="s">
        <v>11</v>
      </c>
      <c r="L1" s="49" t="s">
        <v>12</v>
      </c>
      <c r="M1" s="49" t="s">
        <v>13</v>
      </c>
    </row>
    <row r="2" spans="1:13" x14ac:dyDescent="0.3">
      <c r="A2" s="28" t="s">
        <v>33</v>
      </c>
      <c r="B2" s="26">
        <f>HLOOKUP($A2,'Raw Data for Hlookup'!$2:$14,COLUMNS($A$1:B1),0)</f>
        <v>35818</v>
      </c>
      <c r="C2" s="27">
        <f>HLOOKUP($A2,'Raw Data for Hlookup'!$2:$14,COLUMNS($A$1:C1),0)</f>
        <v>194</v>
      </c>
      <c r="D2" s="27" t="str">
        <f>HLOOKUP($A2,'Raw Data for Hlookup'!$2:$14,COLUMNS($A$1:D1),0)</f>
        <v>Romance</v>
      </c>
      <c r="E2" s="27" t="str">
        <f>HLOOKUP($A2,'Raw Data for Hlookup'!$2:$14,COLUMNS($A$1:E1),0)</f>
        <v>James Cameron</v>
      </c>
      <c r="F2" s="27" t="str">
        <f>HLOOKUP($A2,'Raw Data for Hlookup'!$2:$14,COLUMNS($A$1:F1),0)</f>
        <v>20th Century Fox</v>
      </c>
      <c r="G2" s="27" t="str">
        <f>HLOOKUP($A2,'Raw Data for Hlookup'!$2:$14,COLUMNS($A$1:G1),0)</f>
        <v>United States</v>
      </c>
      <c r="H2" s="27" t="str">
        <f>HLOOKUP($A2,'Raw Data for Hlookup'!$2:$14,COLUMNS($A$1:H1),0)</f>
        <v>English</v>
      </c>
      <c r="I2" s="27">
        <f>HLOOKUP($A2,'Raw Data for Hlookup'!$2:$14,COLUMNS($A$1:I1),0)</f>
        <v>12</v>
      </c>
      <c r="J2" s="27">
        <f>HLOOKUP($A2,'Raw Data for Hlookup'!$2:$14,COLUMNS($A$1:J1),0)</f>
        <v>200000000</v>
      </c>
      <c r="K2" s="27">
        <f>HLOOKUP($A2,'Raw Data for Hlookup'!$2:$14,COLUMNS($A$1:K1),0)</f>
        <v>2186772302</v>
      </c>
      <c r="L2" s="27">
        <f>HLOOKUP($A2,'Raw Data for Hlookup'!$2:$14,COLUMNS($A$1:L1),0)</f>
        <v>14</v>
      </c>
      <c r="M2" s="27">
        <f>HLOOKUP($A2,'Raw Data for Hlookup'!$2:$14,COLUMNS($A$1:M1),0)</f>
        <v>11</v>
      </c>
    </row>
    <row r="3" spans="1:13" x14ac:dyDescent="0.3">
      <c r="A3" s="28" t="s">
        <v>197</v>
      </c>
      <c r="B3" s="26">
        <f>HLOOKUP($A3,'Raw Data for Hlookup'!$2:$14,COLUMNS($A$1:B2),0)</f>
        <v>37972</v>
      </c>
      <c r="C3" s="27">
        <f>HLOOKUP($A3,'Raw Data for Hlookup'!$2:$14,COLUMNS($A$1:C2),0)</f>
        <v>201</v>
      </c>
      <c r="D3" s="27" t="str">
        <f>HLOOKUP($A3,'Raw Data for Hlookup'!$2:$14,COLUMNS($A$1:D2),0)</f>
        <v>Fantasy</v>
      </c>
      <c r="E3" s="27" t="str">
        <f>HLOOKUP($A3,'Raw Data for Hlookup'!$2:$14,COLUMNS($A$1:E2),0)</f>
        <v>Peter Jackson</v>
      </c>
      <c r="F3" s="27" t="str">
        <f>HLOOKUP($A3,'Raw Data for Hlookup'!$2:$14,COLUMNS($A$1:F2),0)</f>
        <v>WingNut Films</v>
      </c>
      <c r="G3" s="27" t="str">
        <f>HLOOKUP($A3,'Raw Data for Hlookup'!$2:$14,COLUMNS($A$1:G2),0)</f>
        <v>New Zealand</v>
      </c>
      <c r="H3" s="27" t="str">
        <f>HLOOKUP($A3,'Raw Data for Hlookup'!$2:$14,COLUMNS($A$1:H2),0)</f>
        <v>English</v>
      </c>
      <c r="I3" s="27" t="str">
        <f>HLOOKUP($A3,'Raw Data for Hlookup'!$2:$14,COLUMNS($A$1:I2),0)</f>
        <v>12A</v>
      </c>
      <c r="J3" s="27">
        <f>HLOOKUP($A3,'Raw Data for Hlookup'!$2:$14,COLUMNS($A$1:J2),0)</f>
        <v>94000000</v>
      </c>
      <c r="K3" s="27">
        <f>HLOOKUP($A3,'Raw Data for Hlookup'!$2:$14,COLUMNS($A$1:K2),0)</f>
        <v>1119929521</v>
      </c>
      <c r="L3" s="27">
        <f>HLOOKUP($A3,'Raw Data for Hlookup'!$2:$14,COLUMNS($A$1:L2),0)</f>
        <v>11</v>
      </c>
      <c r="M3" s="27">
        <f>HLOOKUP($A3,'Raw Data for Hlookup'!$2:$14,COLUMNS($A$1:M2),0)</f>
        <v>11</v>
      </c>
    </row>
    <row r="4" spans="1:13" x14ac:dyDescent="0.3">
      <c r="A4" s="28" t="s">
        <v>1093</v>
      </c>
      <c r="B4" s="26">
        <f>HLOOKUP($A4,'Raw Data for Hlookup'!$2:$14,COLUMNS($A$1:B3),0)</f>
        <v>21872</v>
      </c>
      <c r="C4" s="27">
        <f>HLOOKUP($A4,'Raw Data for Hlookup'!$2:$14,COLUMNS($A$1:C3),0)</f>
        <v>212</v>
      </c>
      <c r="D4" s="27" t="str">
        <f>HLOOKUP($A4,'Raw Data for Hlookup'!$2:$14,COLUMNS($A$1:D3),0)</f>
        <v>Drama</v>
      </c>
      <c r="E4" s="27" t="str">
        <f>HLOOKUP($A4,'Raw Data for Hlookup'!$2:$14,COLUMNS($A$1:E3),0)</f>
        <v>William Wyler</v>
      </c>
      <c r="F4" s="27" t="str">
        <f>HLOOKUP($A4,'Raw Data for Hlookup'!$2:$14,COLUMNS($A$1:F3),0)</f>
        <v>Metro-Goldwyn-Mayer</v>
      </c>
      <c r="G4" s="27" t="str">
        <f>HLOOKUP($A4,'Raw Data for Hlookup'!$2:$14,COLUMNS($A$1:G3),0)</f>
        <v>United States</v>
      </c>
      <c r="H4" s="27" t="str">
        <f>HLOOKUP($A4,'Raw Data for Hlookup'!$2:$14,COLUMNS($A$1:H3),0)</f>
        <v>English</v>
      </c>
      <c r="I4" s="27" t="str">
        <f>HLOOKUP($A4,'Raw Data for Hlookup'!$2:$14,COLUMNS($A$1:I3),0)</f>
        <v>PG</v>
      </c>
      <c r="J4" s="27">
        <f>HLOOKUP($A4,'Raw Data for Hlookup'!$2:$14,COLUMNS($A$1:J3),0)</f>
        <v>15200000</v>
      </c>
      <c r="K4" s="27">
        <f>HLOOKUP($A4,'Raw Data for Hlookup'!$2:$14,COLUMNS($A$1:K3),0)</f>
        <v>146900000</v>
      </c>
      <c r="L4" s="27">
        <f>HLOOKUP($A4,'Raw Data for Hlookup'!$2:$14,COLUMNS($A$1:L3),0)</f>
        <v>12</v>
      </c>
      <c r="M4" s="27">
        <f>HLOOKUP($A4,'Raw Data for Hlookup'!$2:$14,COLUMNS($A$1:M3),0)</f>
        <v>11</v>
      </c>
    </row>
    <row r="5" spans="1:13" x14ac:dyDescent="0.3">
      <c r="A5" s="28" t="s">
        <v>1076</v>
      </c>
      <c r="B5" s="26">
        <f>HLOOKUP($A5,'Raw Data for Hlookup'!$2:$14,COLUMNS($A$1:B4),0)</f>
        <v>22572</v>
      </c>
      <c r="C5" s="27">
        <f>HLOOKUP($A5,'Raw Data for Hlookup'!$2:$14,COLUMNS($A$1:C4),0)</f>
        <v>152</v>
      </c>
      <c r="D5" s="27" t="str">
        <f>HLOOKUP($A5,'Raw Data for Hlookup'!$2:$14,COLUMNS($A$1:D4),0)</f>
        <v>Musical</v>
      </c>
      <c r="E5" s="27" t="str">
        <f>HLOOKUP($A5,'Raw Data for Hlookup'!$2:$14,COLUMNS($A$1:E4),0)</f>
        <v>Robert Wise</v>
      </c>
      <c r="F5" s="27" t="str">
        <f>HLOOKUP($A5,'Raw Data for Hlookup'!$2:$14,COLUMNS($A$1:F4),0)</f>
        <v>The Mirisch Production Company</v>
      </c>
      <c r="G5" s="27" t="str">
        <f>HLOOKUP($A5,'Raw Data for Hlookup'!$2:$14,COLUMNS($A$1:G4),0)</f>
        <v>United States</v>
      </c>
      <c r="H5" s="27" t="str">
        <f>HLOOKUP($A5,'Raw Data for Hlookup'!$2:$14,COLUMNS($A$1:H4),0)</f>
        <v>English</v>
      </c>
      <c r="I5" s="27" t="str">
        <f>HLOOKUP($A5,'Raw Data for Hlookup'!$2:$14,COLUMNS($A$1:I4),0)</f>
        <v>PG</v>
      </c>
      <c r="J5" s="27">
        <f>HLOOKUP($A5,'Raw Data for Hlookup'!$2:$14,COLUMNS($A$1:J4),0)</f>
        <v>6000000</v>
      </c>
      <c r="K5" s="27">
        <f>HLOOKUP($A5,'Raw Data for Hlookup'!$2:$14,COLUMNS($A$1:K4),0)</f>
        <v>43700000</v>
      </c>
      <c r="L5" s="27">
        <f>HLOOKUP($A5,'Raw Data for Hlookup'!$2:$14,COLUMNS($A$1:L4),0)</f>
        <v>11</v>
      </c>
      <c r="M5" s="27">
        <f>HLOOKUP($A5,'Raw Data for Hlookup'!$2:$14,COLUMNS($A$1:M4),0)</f>
        <v>10</v>
      </c>
    </row>
    <row r="6" spans="1:13" x14ac:dyDescent="0.3">
      <c r="A6" s="28" t="s">
        <v>1654</v>
      </c>
      <c r="B6" s="26">
        <f>HLOOKUP($A6,'Raw Data for Hlookup'!$2:$14,COLUMNS($A$1:B5),0)</f>
        <v>35384</v>
      </c>
      <c r="C6" s="27">
        <f>HLOOKUP($A6,'Raw Data for Hlookup'!$2:$14,COLUMNS($A$1:C5),0)</f>
        <v>162</v>
      </c>
      <c r="D6" s="27" t="str">
        <f>HLOOKUP($A6,'Raw Data for Hlookup'!$2:$14,COLUMNS($A$1:D5),0)</f>
        <v>Romance</v>
      </c>
      <c r="E6" s="27" t="str">
        <f>HLOOKUP($A6,'Raw Data for Hlookup'!$2:$14,COLUMNS($A$1:E5),0)</f>
        <v>Anthony Minghella</v>
      </c>
      <c r="F6" s="27" t="str">
        <f>HLOOKUP($A6,'Raw Data for Hlookup'!$2:$14,COLUMNS($A$1:F5),0)</f>
        <v>Miramax Films</v>
      </c>
      <c r="G6" s="27" t="str">
        <f>HLOOKUP($A6,'Raw Data for Hlookup'!$2:$14,COLUMNS($A$1:G5),0)</f>
        <v>United Kingdom</v>
      </c>
      <c r="H6" s="27" t="str">
        <f>HLOOKUP($A6,'Raw Data for Hlookup'!$2:$14,COLUMNS($A$1:H5),0)</f>
        <v>English</v>
      </c>
      <c r="I6" s="27">
        <f>HLOOKUP($A6,'Raw Data for Hlookup'!$2:$14,COLUMNS($A$1:I5),0)</f>
        <v>15</v>
      </c>
      <c r="J6" s="27">
        <f>HLOOKUP($A6,'Raw Data for Hlookup'!$2:$14,COLUMNS($A$1:J5),0)</f>
        <v>27000000</v>
      </c>
      <c r="K6" s="27">
        <f>HLOOKUP($A6,'Raw Data for Hlookup'!$2:$14,COLUMNS($A$1:K5),0)</f>
        <v>232000000</v>
      </c>
      <c r="L6" s="27">
        <f>HLOOKUP($A6,'Raw Data for Hlookup'!$2:$14,COLUMNS($A$1:L5),0)</f>
        <v>12</v>
      </c>
      <c r="M6" s="27">
        <f>HLOOKUP($A6,'Raw Data for Hlookup'!$2:$14,COLUMNS($A$1:M5),0)</f>
        <v>9</v>
      </c>
    </row>
    <row r="7" spans="1:13" x14ac:dyDescent="0.3">
      <c r="A7" s="28" t="s">
        <v>1793</v>
      </c>
      <c r="B7" s="26">
        <f>HLOOKUP($A7,'Raw Data for Hlookup'!$2:$14,COLUMNS($A$1:B6),0)</f>
        <v>19933</v>
      </c>
      <c r="C7" s="27">
        <f>HLOOKUP($A7,'Raw Data for Hlookup'!$2:$14,COLUMNS($A$1:C6),0)</f>
        <v>108</v>
      </c>
      <c r="D7" s="27" t="str">
        <f>HLOOKUP($A7,'Raw Data for Hlookup'!$2:$14,COLUMNS($A$1:D6),0)</f>
        <v>Crime</v>
      </c>
      <c r="E7" s="27" t="str">
        <f>HLOOKUP($A7,'Raw Data for Hlookup'!$2:$14,COLUMNS($A$1:E6),0)</f>
        <v>Elia Kazan</v>
      </c>
      <c r="F7" s="27" t="str">
        <f>HLOOKUP($A7,'Raw Data for Hlookup'!$2:$14,COLUMNS($A$1:F6),0)</f>
        <v>Horizon Pictures</v>
      </c>
      <c r="G7" s="27" t="str">
        <f>HLOOKUP($A7,'Raw Data for Hlookup'!$2:$14,COLUMNS($A$1:G6),0)</f>
        <v>United States</v>
      </c>
      <c r="H7" s="27" t="str">
        <f>HLOOKUP($A7,'Raw Data for Hlookup'!$2:$14,COLUMNS($A$1:H6),0)</f>
        <v>English</v>
      </c>
      <c r="I7" s="27" t="str">
        <f>HLOOKUP($A7,'Raw Data for Hlookup'!$2:$14,COLUMNS($A$1:I6),0)</f>
        <v>PG</v>
      </c>
      <c r="J7" s="27">
        <f>HLOOKUP($A7,'Raw Data for Hlookup'!$2:$14,COLUMNS($A$1:J6),0)</f>
        <v>910000</v>
      </c>
      <c r="K7" s="27">
        <f>HLOOKUP($A7,'Raw Data for Hlookup'!$2:$14,COLUMNS($A$1:K6),0)</f>
        <v>9600000</v>
      </c>
      <c r="L7" s="27">
        <f>HLOOKUP($A7,'Raw Data for Hlookup'!$2:$14,COLUMNS($A$1:L6),0)</f>
        <v>12</v>
      </c>
      <c r="M7" s="27">
        <f>HLOOKUP($A7,'Raw Data for Hlookup'!$2:$14,COLUMNS($A$1:M6),0)</f>
        <v>8</v>
      </c>
    </row>
    <row r="8" spans="1:13" x14ac:dyDescent="0.3">
      <c r="A8" s="28" t="s">
        <v>1157</v>
      </c>
      <c r="B8" s="26">
        <f>HLOOKUP($A8,'Raw Data for Hlookup'!$2:$14,COLUMNS($A$1:B7),0)</f>
        <v>14594</v>
      </c>
      <c r="C8" s="27">
        <f>HLOOKUP($A8,'Raw Data for Hlookup'!$2:$14,COLUMNS($A$1:C7),0)</f>
        <v>221</v>
      </c>
      <c r="D8" s="27" t="str">
        <f>HLOOKUP($A8,'Raw Data for Hlookup'!$2:$14,COLUMNS($A$1:D7),0)</f>
        <v>Romance</v>
      </c>
      <c r="E8" s="27" t="str">
        <f>HLOOKUP($A8,'Raw Data for Hlookup'!$2:$14,COLUMNS($A$1:E7),0)</f>
        <v>Victor Fleming</v>
      </c>
      <c r="F8" s="27" t="str">
        <f>HLOOKUP($A8,'Raw Data for Hlookup'!$2:$14,COLUMNS($A$1:F7),0)</f>
        <v>Selznick International Pictures</v>
      </c>
      <c r="G8" s="27" t="str">
        <f>HLOOKUP($A8,'Raw Data for Hlookup'!$2:$14,COLUMNS($A$1:G7),0)</f>
        <v>United States</v>
      </c>
      <c r="H8" s="27" t="str">
        <f>HLOOKUP($A8,'Raw Data for Hlookup'!$2:$14,COLUMNS($A$1:H7),0)</f>
        <v>English</v>
      </c>
      <c r="I8" s="27" t="str">
        <f>HLOOKUP($A8,'Raw Data for Hlookup'!$2:$14,COLUMNS($A$1:I7),0)</f>
        <v>PG</v>
      </c>
      <c r="J8" s="27">
        <f>HLOOKUP($A8,'Raw Data for Hlookup'!$2:$14,COLUMNS($A$1:J7),0)</f>
        <v>3850000</v>
      </c>
      <c r="K8" s="27">
        <f>HLOOKUP($A8,'Raw Data for Hlookup'!$2:$14,COLUMNS($A$1:K7),0)</f>
        <v>198000000</v>
      </c>
      <c r="L8" s="27">
        <f>HLOOKUP($A8,'Raw Data for Hlookup'!$2:$14,COLUMNS($A$1:L7),0)</f>
        <v>13</v>
      </c>
      <c r="M8" s="27">
        <f>HLOOKUP($A8,'Raw Data for Hlookup'!$2:$14,COLUMNS($A$1:M7),0)</f>
        <v>8</v>
      </c>
    </row>
    <row r="9" spans="1:13" x14ac:dyDescent="0.3">
      <c r="A9" s="28" t="s">
        <v>998</v>
      </c>
      <c r="B9" s="26">
        <f>HLOOKUP($A9,'Raw Data for Hlookup'!$2:$14,COLUMNS($A$1:B8),0)</f>
        <v>26342</v>
      </c>
      <c r="C9" s="27">
        <f>HLOOKUP($A9,'Raw Data for Hlookup'!$2:$14,COLUMNS($A$1:C8),0)</f>
        <v>124</v>
      </c>
      <c r="D9" s="27" t="str">
        <f>HLOOKUP($A9,'Raw Data for Hlookup'!$2:$14,COLUMNS($A$1:D8),0)</f>
        <v>Musical</v>
      </c>
      <c r="E9" s="27" t="str">
        <f>HLOOKUP($A9,'Raw Data for Hlookup'!$2:$14,COLUMNS($A$1:E8),0)</f>
        <v>Bob Fosse</v>
      </c>
      <c r="F9" s="27" t="str">
        <f>HLOOKUP($A9,'Raw Data for Hlookup'!$2:$14,COLUMNS($A$1:F8),0)</f>
        <v>Allied Artists</v>
      </c>
      <c r="G9" s="27" t="str">
        <f>HLOOKUP($A9,'Raw Data for Hlookup'!$2:$14,COLUMNS($A$1:G8),0)</f>
        <v>United States</v>
      </c>
      <c r="H9" s="27" t="str">
        <f>HLOOKUP($A9,'Raw Data for Hlookup'!$2:$14,COLUMNS($A$1:H8),0)</f>
        <v>English</v>
      </c>
      <c r="I9" s="27">
        <f>HLOOKUP($A9,'Raw Data for Hlookup'!$2:$14,COLUMNS($A$1:I8),0)</f>
        <v>15</v>
      </c>
      <c r="J9" s="27">
        <f>HLOOKUP($A9,'Raw Data for Hlookup'!$2:$14,COLUMNS($A$1:J8),0)</f>
        <v>2285000</v>
      </c>
      <c r="K9" s="27">
        <f>HLOOKUP($A9,'Raw Data for Hlookup'!$2:$14,COLUMNS($A$1:K8),0)</f>
        <v>42765000</v>
      </c>
      <c r="L9" s="27">
        <f>HLOOKUP($A9,'Raw Data for Hlookup'!$2:$14,COLUMNS($A$1:L8),0)</f>
        <v>10</v>
      </c>
      <c r="M9" s="27">
        <f>HLOOKUP($A9,'Raw Data for Hlookup'!$2:$14,COLUMNS($A$1:M8),0)</f>
        <v>8</v>
      </c>
    </row>
    <row r="10" spans="1:13" x14ac:dyDescent="0.3">
      <c r="A10" s="28" t="s">
        <v>1385</v>
      </c>
      <c r="B10" s="26">
        <f>HLOOKUP($A10,'Raw Data for Hlookup'!$2:$14,COLUMNS($A$1:B9),0)</f>
        <v>39690</v>
      </c>
      <c r="C10" s="27">
        <f>HLOOKUP($A10,'Raw Data for Hlookup'!$2:$14,COLUMNS($A$1:C9),0)</f>
        <v>120</v>
      </c>
      <c r="D10" s="27" t="str">
        <f>HLOOKUP($A10,'Raw Data for Hlookup'!$2:$14,COLUMNS($A$1:D9),0)</f>
        <v>Drama</v>
      </c>
      <c r="E10" s="27" t="str">
        <f>HLOOKUP($A10,'Raw Data for Hlookup'!$2:$14,COLUMNS($A$1:E9),0)</f>
        <v>Danny Boyle</v>
      </c>
      <c r="F10" s="27" t="str">
        <f>HLOOKUP($A10,'Raw Data for Hlookup'!$2:$14,COLUMNS($A$1:F9),0)</f>
        <v>FilmFour Productions</v>
      </c>
      <c r="G10" s="27" t="str">
        <f>HLOOKUP($A10,'Raw Data for Hlookup'!$2:$14,COLUMNS($A$1:G9),0)</f>
        <v>United Kingdom</v>
      </c>
      <c r="H10" s="27" t="str">
        <f>HLOOKUP($A10,'Raw Data for Hlookup'!$2:$14,COLUMNS($A$1:H9),0)</f>
        <v>English</v>
      </c>
      <c r="I10" s="27">
        <f>HLOOKUP($A10,'Raw Data for Hlookup'!$2:$14,COLUMNS($A$1:I9),0)</f>
        <v>15</v>
      </c>
      <c r="J10" s="27">
        <f>HLOOKUP($A10,'Raw Data for Hlookup'!$2:$14,COLUMNS($A$1:J9),0)</f>
        <v>15000000</v>
      </c>
      <c r="K10" s="27">
        <f>HLOOKUP($A10,'Raw Data for Hlookup'!$2:$14,COLUMNS($A$1:K9),0)</f>
        <v>377900000</v>
      </c>
      <c r="L10" s="27">
        <f>HLOOKUP($A10,'Raw Data for Hlookup'!$2:$14,COLUMNS($A$1:L9),0)</f>
        <v>10</v>
      </c>
      <c r="M10" s="27">
        <f>HLOOKUP($A10,'Raw Data for Hlookup'!$2:$14,COLUMNS($A$1:M9),0)</f>
        <v>8</v>
      </c>
    </row>
    <row r="11" spans="1:13" x14ac:dyDescent="0.3">
      <c r="A11" s="28" t="s">
        <v>1127</v>
      </c>
      <c r="B11" s="26">
        <f>HLOOKUP($A11,'Raw Data for Hlookup'!$2:$14,COLUMNS($A$1:B10),0)</f>
        <v>19576</v>
      </c>
      <c r="C11" s="27">
        <f>HLOOKUP($A11,'Raw Data for Hlookup'!$2:$14,COLUMNS($A$1:C10),0)</f>
        <v>118</v>
      </c>
      <c r="D11" s="27" t="str">
        <f>HLOOKUP($A11,'Raw Data for Hlookup'!$2:$14,COLUMNS($A$1:D10),0)</f>
        <v>Drama</v>
      </c>
      <c r="E11" s="27" t="str">
        <f>HLOOKUP($A11,'Raw Data for Hlookup'!$2:$14,COLUMNS($A$1:E10),0)</f>
        <v>Fred Zinnemann</v>
      </c>
      <c r="F11" s="27" t="str">
        <f>HLOOKUP($A11,'Raw Data for Hlookup'!$2:$14,COLUMNS($A$1:F10),0)</f>
        <v>Columbia Pictures</v>
      </c>
      <c r="G11" s="27" t="str">
        <f>HLOOKUP($A11,'Raw Data for Hlookup'!$2:$14,COLUMNS($A$1:G10),0)</f>
        <v>United States</v>
      </c>
      <c r="H11" s="27" t="str">
        <f>HLOOKUP($A11,'Raw Data for Hlookup'!$2:$14,COLUMNS($A$1:H10),0)</f>
        <v>English</v>
      </c>
      <c r="I11" s="27" t="str">
        <f>HLOOKUP($A11,'Raw Data for Hlookup'!$2:$14,COLUMNS($A$1:I10),0)</f>
        <v>PG</v>
      </c>
      <c r="J11" s="27">
        <f>HLOOKUP($A11,'Raw Data for Hlookup'!$2:$14,COLUMNS($A$1:J10),0)</f>
        <v>2500000</v>
      </c>
      <c r="K11" s="27">
        <f>HLOOKUP($A11,'Raw Data for Hlookup'!$2:$14,COLUMNS($A$1:K10),0)</f>
        <v>30500000</v>
      </c>
      <c r="L11" s="27">
        <f>HLOOKUP($A11,'Raw Data for Hlookup'!$2:$14,COLUMNS($A$1:L10),0)</f>
        <v>13</v>
      </c>
      <c r="M11" s="27">
        <f>HLOOKUP($A11,'Raw Data for Hlookup'!$2:$14,COLUMNS($A$1:M10),0)</f>
        <v>8</v>
      </c>
    </row>
    <row r="12" spans="1:13" x14ac:dyDescent="0.3">
      <c r="A12" s="28" t="s">
        <v>401</v>
      </c>
      <c r="B12" s="26">
        <f>HLOOKUP($A12,'Raw Data for Hlookup'!$2:$14,COLUMNS($A$1:B11),0)</f>
        <v>30287</v>
      </c>
      <c r="C12" s="27">
        <f>HLOOKUP($A12,'Raw Data for Hlookup'!$2:$14,COLUMNS($A$1:C11),0)</f>
        <v>188</v>
      </c>
      <c r="D12" s="27" t="str">
        <f>HLOOKUP($A12,'Raw Data for Hlookup'!$2:$14,COLUMNS($A$1:D11),0)</f>
        <v>Biography</v>
      </c>
      <c r="E12" s="27" t="str">
        <f>HLOOKUP($A12,'Raw Data for Hlookup'!$2:$14,COLUMNS($A$1:E11),0)</f>
        <v>Richard Attenborough</v>
      </c>
      <c r="F12" s="27" t="str">
        <f>HLOOKUP($A12,'Raw Data for Hlookup'!$2:$14,COLUMNS($A$1:F11),0)</f>
        <v>Goldcrest Films</v>
      </c>
      <c r="G12" s="27" t="str">
        <f>HLOOKUP($A12,'Raw Data for Hlookup'!$2:$14,COLUMNS($A$1:G11),0)</f>
        <v>United Kingdom</v>
      </c>
      <c r="H12" s="27" t="str">
        <f>HLOOKUP($A12,'Raw Data for Hlookup'!$2:$14,COLUMNS($A$1:H11),0)</f>
        <v>English</v>
      </c>
      <c r="I12" s="27" t="str">
        <f>HLOOKUP($A12,'Raw Data for Hlookup'!$2:$14,COLUMNS($A$1:I11),0)</f>
        <v>PG</v>
      </c>
      <c r="J12" s="27">
        <f>HLOOKUP($A12,'Raw Data for Hlookup'!$2:$14,COLUMNS($A$1:J11),0)</f>
        <v>22000000</v>
      </c>
      <c r="K12" s="27">
        <f>HLOOKUP($A12,'Raw Data for Hlookup'!$2:$14,COLUMNS($A$1:K11),0)</f>
        <v>52767889</v>
      </c>
      <c r="L12" s="27">
        <f>HLOOKUP($A12,'Raw Data for Hlookup'!$2:$14,COLUMNS($A$1:L11),0)</f>
        <v>11</v>
      </c>
      <c r="M12" s="27">
        <f>HLOOKUP($A12,'Raw Data for Hlookup'!$2:$14,COLUMNS($A$1:M11),0)</f>
        <v>8</v>
      </c>
    </row>
    <row r="13" spans="1:13" x14ac:dyDescent="0.3">
      <c r="A13" s="28" t="s">
        <v>1054</v>
      </c>
      <c r="B13" s="26">
        <f>HLOOKUP($A13,'Raw Data for Hlookup'!$2:$14,COLUMNS($A$1:B12),0)</f>
        <v>23690</v>
      </c>
      <c r="C13" s="27">
        <f>HLOOKUP($A13,'Raw Data for Hlookup'!$2:$14,COLUMNS($A$1:C12),0)</f>
        <v>170</v>
      </c>
      <c r="D13" s="27" t="str">
        <f>HLOOKUP($A13,'Raw Data for Hlookup'!$2:$14,COLUMNS($A$1:D12),0)</f>
        <v>Musical</v>
      </c>
      <c r="E13" s="27" t="str">
        <f>HLOOKUP($A13,'Raw Data for Hlookup'!$2:$14,COLUMNS($A$1:E12),0)</f>
        <v>George Cukor</v>
      </c>
      <c r="F13" s="27" t="str">
        <f>HLOOKUP($A13,'Raw Data for Hlookup'!$2:$14,COLUMNS($A$1:F12),0)</f>
        <v>Warner Bros. Pictures</v>
      </c>
      <c r="G13" s="27" t="str">
        <f>HLOOKUP($A13,'Raw Data for Hlookup'!$2:$14,COLUMNS($A$1:G12),0)</f>
        <v>United States</v>
      </c>
      <c r="H13" s="27" t="str">
        <f>HLOOKUP($A13,'Raw Data for Hlookup'!$2:$14,COLUMNS($A$1:H12),0)</f>
        <v>English</v>
      </c>
      <c r="I13" s="27" t="str">
        <f>HLOOKUP($A13,'Raw Data for Hlookup'!$2:$14,COLUMNS($A$1:I12),0)</f>
        <v>U</v>
      </c>
      <c r="J13" s="27">
        <f>HLOOKUP($A13,'Raw Data for Hlookup'!$2:$14,COLUMNS($A$1:J12),0)</f>
        <v>17000000</v>
      </c>
      <c r="K13" s="27">
        <f>HLOOKUP($A13,'Raw Data for Hlookup'!$2:$14,COLUMNS($A$1:K12),0)</f>
        <v>72000000</v>
      </c>
      <c r="L13" s="27">
        <f>HLOOKUP($A13,'Raw Data for Hlookup'!$2:$14,COLUMNS($A$1:L12),0)</f>
        <v>12</v>
      </c>
      <c r="M13" s="27">
        <f>HLOOKUP($A13,'Raw Data for Hlookup'!$2:$14,COLUMNS($A$1:M12),0)</f>
        <v>8</v>
      </c>
    </row>
    <row r="14" spans="1:13" x14ac:dyDescent="0.3">
      <c r="A14" s="28" t="s">
        <v>709</v>
      </c>
      <c r="B14" s="26">
        <f>HLOOKUP($A14,'Raw Data for Hlookup'!$2:$14,COLUMNS($A$1:B13),0)</f>
        <v>36132</v>
      </c>
      <c r="C14" s="27">
        <f>HLOOKUP($A14,'Raw Data for Hlookup'!$2:$14,COLUMNS($A$1:C13),0)</f>
        <v>123</v>
      </c>
      <c r="D14" s="27" t="str">
        <f>HLOOKUP($A14,'Raw Data for Hlookup'!$2:$14,COLUMNS($A$1:D13),0)</f>
        <v>Romantic Comedy</v>
      </c>
      <c r="E14" s="27" t="str">
        <f>HLOOKUP($A14,'Raw Data for Hlookup'!$2:$14,COLUMNS($A$1:E13),0)</f>
        <v>John Madden</v>
      </c>
      <c r="F14" s="27" t="str">
        <f>HLOOKUP($A14,'Raw Data for Hlookup'!$2:$14,COLUMNS($A$1:F13),0)</f>
        <v>The Bedford Falls Company</v>
      </c>
      <c r="G14" s="27" t="str">
        <f>HLOOKUP($A14,'Raw Data for Hlookup'!$2:$14,COLUMNS($A$1:G13),0)</f>
        <v>United Kingdom</v>
      </c>
      <c r="H14" s="27" t="str">
        <f>HLOOKUP($A14,'Raw Data for Hlookup'!$2:$14,COLUMNS($A$1:H13),0)</f>
        <v>English</v>
      </c>
      <c r="I14" s="27">
        <f>HLOOKUP($A14,'Raw Data for Hlookup'!$2:$14,COLUMNS($A$1:I13),0)</f>
        <v>15</v>
      </c>
      <c r="J14" s="27">
        <f>HLOOKUP($A14,'Raw Data for Hlookup'!$2:$14,COLUMNS($A$1:J13),0)</f>
        <v>25000000</v>
      </c>
      <c r="K14" s="27">
        <f>HLOOKUP($A14,'Raw Data for Hlookup'!$2:$14,COLUMNS($A$1:K13),0)</f>
        <v>289300000</v>
      </c>
      <c r="L14" s="27">
        <f>HLOOKUP($A14,'Raw Data for Hlookup'!$2:$14,COLUMNS($A$1:L13),0)</f>
        <v>13</v>
      </c>
      <c r="M14" s="27">
        <f>HLOOKUP($A14,'Raw Data for Hlookup'!$2:$14,COLUMNS($A$1:M13),0)</f>
        <v>7</v>
      </c>
    </row>
    <row r="15" spans="1:13" x14ac:dyDescent="0.3">
      <c r="A15" s="28" t="s">
        <v>1014</v>
      </c>
      <c r="B15" s="26">
        <f>HLOOKUP($A15,'Raw Data for Hlookup'!$2:$14,COLUMNS($A$1:B14),0)</f>
        <v>25660</v>
      </c>
      <c r="C15" s="27">
        <f>HLOOKUP($A15,'Raw Data for Hlookup'!$2:$14,COLUMNS($A$1:C14),0)</f>
        <v>170</v>
      </c>
      <c r="D15" s="27" t="str">
        <f>HLOOKUP($A15,'Raw Data for Hlookup'!$2:$14,COLUMNS($A$1:D14),0)</f>
        <v>Biography</v>
      </c>
      <c r="E15" s="27" t="str">
        <f>HLOOKUP($A15,'Raw Data for Hlookup'!$2:$14,COLUMNS($A$1:E14),0)</f>
        <v>Franklin J. Schaffner</v>
      </c>
      <c r="F15" s="27" t="str">
        <f>HLOOKUP($A15,'Raw Data for Hlookup'!$2:$14,COLUMNS($A$1:F14),0)</f>
        <v>20th Century Fox</v>
      </c>
      <c r="G15" s="27" t="str">
        <f>HLOOKUP($A15,'Raw Data for Hlookup'!$2:$14,COLUMNS($A$1:G14),0)</f>
        <v>United States</v>
      </c>
      <c r="H15" s="27" t="str">
        <f>HLOOKUP($A15,'Raw Data for Hlookup'!$2:$14,COLUMNS($A$1:H14),0)</f>
        <v>English</v>
      </c>
      <c r="I15" s="27" t="str">
        <f>HLOOKUP($A15,'Raw Data for Hlookup'!$2:$14,COLUMNS($A$1:I14),0)</f>
        <v>PG</v>
      </c>
      <c r="J15" s="27">
        <f>HLOOKUP($A15,'Raw Data for Hlookup'!$2:$14,COLUMNS($A$1:J14),0)</f>
        <v>12600000</v>
      </c>
      <c r="K15" s="27">
        <f>HLOOKUP($A15,'Raw Data for Hlookup'!$2:$14,COLUMNS($A$1:K14),0)</f>
        <v>61800000</v>
      </c>
      <c r="L15" s="27">
        <f>HLOOKUP($A15,'Raw Data for Hlookup'!$2:$14,COLUMNS($A$1:L14),0)</f>
        <v>10</v>
      </c>
      <c r="M15" s="27">
        <f>HLOOKUP($A15,'Raw Data for Hlookup'!$2:$14,COLUMNS($A$1:M14),0)</f>
        <v>7</v>
      </c>
    </row>
    <row r="16" spans="1:13" x14ac:dyDescent="0.3">
      <c r="A16" s="28" t="s">
        <v>1103</v>
      </c>
      <c r="B16" s="26">
        <f>HLOOKUP($A16,'Raw Data for Hlookup'!$2:$14,COLUMNS($A$1:B15),0)</f>
        <v>21095</v>
      </c>
      <c r="C16" s="27">
        <f>HLOOKUP($A16,'Raw Data for Hlookup'!$2:$14,COLUMNS($A$1:C15),0)</f>
        <v>161</v>
      </c>
      <c r="D16" s="27" t="str">
        <f>HLOOKUP($A16,'Raw Data for Hlookup'!$2:$14,COLUMNS($A$1:D15),0)</f>
        <v>War</v>
      </c>
      <c r="E16" s="27" t="str">
        <f>HLOOKUP($A16,'Raw Data for Hlookup'!$2:$14,COLUMNS($A$1:E15),0)</f>
        <v>David Lean</v>
      </c>
      <c r="F16" s="27" t="str">
        <f>HLOOKUP($A16,'Raw Data for Hlookup'!$2:$14,COLUMNS($A$1:F15),0)</f>
        <v>Horizon Pictures</v>
      </c>
      <c r="G16" s="27" t="str">
        <f>HLOOKUP($A16,'Raw Data for Hlookup'!$2:$14,COLUMNS($A$1:G15),0)</f>
        <v>United Kingdom</v>
      </c>
      <c r="H16" s="27" t="str">
        <f>HLOOKUP($A16,'Raw Data for Hlookup'!$2:$14,COLUMNS($A$1:H15),0)</f>
        <v>English</v>
      </c>
      <c r="I16" s="27" t="str">
        <f>HLOOKUP($A16,'Raw Data for Hlookup'!$2:$14,COLUMNS($A$1:I15),0)</f>
        <v>U</v>
      </c>
      <c r="J16" s="27">
        <f>HLOOKUP($A16,'Raw Data for Hlookup'!$2:$14,COLUMNS($A$1:J15),0)</f>
        <v>2800000</v>
      </c>
      <c r="K16" s="27">
        <f>HLOOKUP($A16,'Raw Data for Hlookup'!$2:$14,COLUMNS($A$1:K15),0)</f>
        <v>30600000</v>
      </c>
      <c r="L16" s="27">
        <f>HLOOKUP($A16,'Raw Data for Hlookup'!$2:$14,COLUMNS($A$1:L15),0)</f>
        <v>8</v>
      </c>
      <c r="M16" s="27">
        <f>HLOOKUP($A16,'Raw Data for Hlookup'!$2:$14,COLUMNS($A$1:M15),0)</f>
        <v>7</v>
      </c>
    </row>
    <row r="17" spans="1:13" x14ac:dyDescent="0.3">
      <c r="A17" s="28" t="s">
        <v>410</v>
      </c>
      <c r="B17" s="26">
        <f>HLOOKUP($A17,'Raw Data for Hlookup'!$2:$14,COLUMNS($A$1:B16),0)</f>
        <v>33165</v>
      </c>
      <c r="C17" s="27">
        <f>HLOOKUP($A17,'Raw Data for Hlookup'!$2:$14,COLUMNS($A$1:C16),0)</f>
        <v>180</v>
      </c>
      <c r="D17" s="27" t="str">
        <f>HLOOKUP($A17,'Raw Data for Hlookup'!$2:$14,COLUMNS($A$1:D16),0)</f>
        <v>Western</v>
      </c>
      <c r="E17" s="27" t="str">
        <f>HLOOKUP($A17,'Raw Data for Hlookup'!$2:$14,COLUMNS($A$1:E16),0)</f>
        <v>Kevin Costner</v>
      </c>
      <c r="F17" s="27" t="str">
        <f>HLOOKUP($A17,'Raw Data for Hlookup'!$2:$14,COLUMNS($A$1:F16),0)</f>
        <v>Tig Productions</v>
      </c>
      <c r="G17" s="27" t="str">
        <f>HLOOKUP($A17,'Raw Data for Hlookup'!$2:$14,COLUMNS($A$1:G16),0)</f>
        <v>United States</v>
      </c>
      <c r="H17" s="27" t="str">
        <f>HLOOKUP($A17,'Raw Data for Hlookup'!$2:$14,COLUMNS($A$1:H16),0)</f>
        <v>English</v>
      </c>
      <c r="I17" s="27">
        <f>HLOOKUP($A17,'Raw Data for Hlookup'!$2:$14,COLUMNS($A$1:I16),0)</f>
        <v>15</v>
      </c>
      <c r="J17" s="27">
        <f>HLOOKUP($A17,'Raw Data for Hlookup'!$2:$14,COLUMNS($A$1:J16),0)</f>
        <v>2000000</v>
      </c>
      <c r="K17" s="27">
        <f>HLOOKUP($A17,'Raw Data for Hlookup'!$2:$14,COLUMNS($A$1:K16),0)</f>
        <v>424208848</v>
      </c>
      <c r="L17" s="27">
        <f>HLOOKUP($A17,'Raw Data for Hlookup'!$2:$14,COLUMNS($A$1:L16),0)</f>
        <v>12</v>
      </c>
      <c r="M17" s="27">
        <f>HLOOKUP($A17,'Raw Data for Hlookup'!$2:$14,COLUMNS($A$1:M16),0)</f>
        <v>7</v>
      </c>
    </row>
    <row r="18" spans="1:13" x14ac:dyDescent="0.3">
      <c r="A18" s="28" t="s">
        <v>393</v>
      </c>
      <c r="B18" s="26">
        <f>HLOOKUP($A18,'Raw Data for Hlookup'!$2:$14,COLUMNS($A$1:B17),0)</f>
        <v>34318</v>
      </c>
      <c r="C18" s="27">
        <f>HLOOKUP($A18,'Raw Data for Hlookup'!$2:$14,COLUMNS($A$1:C17),0)</f>
        <v>197</v>
      </c>
      <c r="D18" s="27" t="str">
        <f>HLOOKUP($A18,'Raw Data for Hlookup'!$2:$14,COLUMNS($A$1:D17),0)</f>
        <v>History</v>
      </c>
      <c r="E18" s="27" t="str">
        <f>HLOOKUP($A18,'Raw Data for Hlookup'!$2:$14,COLUMNS($A$1:E17),0)</f>
        <v>Steven Spielberg</v>
      </c>
      <c r="F18" s="27" t="str">
        <f>HLOOKUP($A18,'Raw Data for Hlookup'!$2:$14,COLUMNS($A$1:F17),0)</f>
        <v>Amblin Entertainment</v>
      </c>
      <c r="G18" s="27" t="str">
        <f>HLOOKUP($A18,'Raw Data for Hlookup'!$2:$14,COLUMNS($A$1:G17),0)</f>
        <v>United States</v>
      </c>
      <c r="H18" s="27" t="str">
        <f>HLOOKUP($A18,'Raw Data for Hlookup'!$2:$14,COLUMNS($A$1:H17),0)</f>
        <v>English</v>
      </c>
      <c r="I18" s="27">
        <f>HLOOKUP($A18,'Raw Data for Hlookup'!$2:$14,COLUMNS($A$1:I17),0)</f>
        <v>15</v>
      </c>
      <c r="J18" s="27">
        <f>HLOOKUP($A18,'Raw Data for Hlookup'!$2:$14,COLUMNS($A$1:J17),0)</f>
        <v>22000000</v>
      </c>
      <c r="K18" s="27">
        <f>HLOOKUP($A18,'Raw Data for Hlookup'!$2:$14,COLUMNS($A$1:K17),0)</f>
        <v>321200000</v>
      </c>
      <c r="L18" s="27">
        <f>HLOOKUP($A18,'Raw Data for Hlookup'!$2:$14,COLUMNS($A$1:L17),0)</f>
        <v>12</v>
      </c>
      <c r="M18" s="27">
        <f>HLOOKUP($A18,'Raw Data for Hlookup'!$2:$14,COLUMNS($A$1:M17),0)</f>
        <v>7</v>
      </c>
    </row>
    <row r="19" spans="1:13" x14ac:dyDescent="0.3">
      <c r="A19" s="28" t="s">
        <v>564</v>
      </c>
      <c r="B19" s="26">
        <f>HLOOKUP($A19,'Raw Data for Hlookup'!$2:$14,COLUMNS($A$1:B18),0)</f>
        <v>41551</v>
      </c>
      <c r="C19" s="27">
        <f>HLOOKUP($A19,'Raw Data for Hlookup'!$2:$14,COLUMNS($A$1:C18),0)</f>
        <v>91</v>
      </c>
      <c r="D19" s="27" t="str">
        <f>HLOOKUP($A19,'Raw Data for Hlookup'!$2:$14,COLUMNS($A$1:D18),0)</f>
        <v>Science Fiction</v>
      </c>
      <c r="E19" s="27" t="str">
        <f>HLOOKUP($A19,'Raw Data for Hlookup'!$2:$14,COLUMNS($A$1:E18),0)</f>
        <v>Alfonso Cuaron</v>
      </c>
      <c r="F19" s="27" t="str">
        <f>HLOOKUP($A19,'Raw Data for Hlookup'!$2:$14,COLUMNS($A$1:F18),0)</f>
        <v>Heyday Films</v>
      </c>
      <c r="G19" s="27" t="str">
        <f>HLOOKUP($A19,'Raw Data for Hlookup'!$2:$14,COLUMNS($A$1:G18),0)</f>
        <v>United States</v>
      </c>
      <c r="H19" s="27" t="str">
        <f>HLOOKUP($A19,'Raw Data for Hlookup'!$2:$14,COLUMNS($A$1:H18),0)</f>
        <v>English</v>
      </c>
      <c r="I19" s="27" t="str">
        <f>HLOOKUP($A19,'Raw Data for Hlookup'!$2:$14,COLUMNS($A$1:I18),0)</f>
        <v>12A</v>
      </c>
      <c r="J19" s="27">
        <f>HLOOKUP($A19,'Raw Data for Hlookup'!$2:$14,COLUMNS($A$1:J18),0)</f>
        <v>100000000</v>
      </c>
      <c r="K19" s="27">
        <f>HLOOKUP($A19,'Raw Data for Hlookup'!$2:$14,COLUMNS($A$1:K18),0)</f>
        <v>723200000</v>
      </c>
      <c r="L19" s="27">
        <f>HLOOKUP($A19,'Raw Data for Hlookup'!$2:$14,COLUMNS($A$1:L18),0)</f>
        <v>10</v>
      </c>
      <c r="M19" s="27">
        <f>HLOOKUP($A19,'Raw Data for Hlookup'!$2:$14,COLUMNS($A$1:M18),0)</f>
        <v>7</v>
      </c>
    </row>
    <row r="20" spans="1:13" x14ac:dyDescent="0.3">
      <c r="A20" s="28" t="s">
        <v>463</v>
      </c>
      <c r="B20" s="26">
        <f>HLOOKUP($A20,'Raw Data for Hlookup'!$2:$14,COLUMNS($A$1:B19),0)</f>
        <v>28270</v>
      </c>
      <c r="C20" s="27">
        <f>HLOOKUP($A20,'Raw Data for Hlookup'!$2:$14,COLUMNS($A$1:C19),0)</f>
        <v>121</v>
      </c>
      <c r="D20" s="27" t="str">
        <f>HLOOKUP($A20,'Raw Data for Hlookup'!$2:$14,COLUMNS($A$1:D19),0)</f>
        <v>Science Fiction</v>
      </c>
      <c r="E20" s="27" t="str">
        <f>HLOOKUP($A20,'Raw Data for Hlookup'!$2:$14,COLUMNS($A$1:E19),0)</f>
        <v>George Lucas</v>
      </c>
      <c r="F20" s="27" t="str">
        <f>HLOOKUP($A20,'Raw Data for Hlookup'!$2:$14,COLUMNS($A$1:F19),0)</f>
        <v>Lucasfilm</v>
      </c>
      <c r="G20" s="27" t="str">
        <f>HLOOKUP($A20,'Raw Data for Hlookup'!$2:$14,COLUMNS($A$1:G19),0)</f>
        <v>United States</v>
      </c>
      <c r="H20" s="27" t="str">
        <f>HLOOKUP($A20,'Raw Data for Hlookup'!$2:$14,COLUMNS($A$1:H19),0)</f>
        <v>English</v>
      </c>
      <c r="I20" s="27" t="str">
        <f>HLOOKUP($A20,'Raw Data for Hlookup'!$2:$14,COLUMNS($A$1:I19),0)</f>
        <v>U</v>
      </c>
      <c r="J20" s="27">
        <f>HLOOKUP($A20,'Raw Data for Hlookup'!$2:$14,COLUMNS($A$1:J19),0)</f>
        <v>11000000</v>
      </c>
      <c r="K20" s="27">
        <f>HLOOKUP($A20,'Raw Data for Hlookup'!$2:$14,COLUMNS($A$1:K19),0)</f>
        <v>775400000</v>
      </c>
      <c r="L20" s="27">
        <f>HLOOKUP($A20,'Raw Data for Hlookup'!$2:$14,COLUMNS($A$1:L19),0)</f>
        <v>11</v>
      </c>
      <c r="M20" s="27">
        <f>HLOOKUP($A20,'Raw Data for Hlookup'!$2:$14,COLUMNS($A$1:M19),0)</f>
        <v>7</v>
      </c>
    </row>
    <row r="21" spans="1:13" x14ac:dyDescent="0.3">
      <c r="A21" s="28" t="s">
        <v>1068</v>
      </c>
      <c r="B21" s="26">
        <f>HLOOKUP($A21,'Raw Data for Hlookup'!$2:$14,COLUMNS($A$1:B20),0)</f>
        <v>22990</v>
      </c>
      <c r="C21" s="27">
        <f>HLOOKUP($A21,'Raw Data for Hlookup'!$2:$14,COLUMNS($A$1:C20),0)</f>
        <v>222</v>
      </c>
      <c r="D21" s="27" t="str">
        <f>HLOOKUP($A21,'Raw Data for Hlookup'!$2:$14,COLUMNS($A$1:D20),0)</f>
        <v>Biography</v>
      </c>
      <c r="E21" s="27" t="str">
        <f>HLOOKUP($A21,'Raw Data for Hlookup'!$2:$14,COLUMNS($A$1:E20),0)</f>
        <v>David Lean</v>
      </c>
      <c r="F21" s="27" t="str">
        <f>HLOOKUP($A21,'Raw Data for Hlookup'!$2:$14,COLUMNS($A$1:F20),0)</f>
        <v>Horizon Pictures</v>
      </c>
      <c r="G21" s="27" t="str">
        <f>HLOOKUP($A21,'Raw Data for Hlookup'!$2:$14,COLUMNS($A$1:G20),0)</f>
        <v>United Kingdom</v>
      </c>
      <c r="H21" s="27" t="str">
        <f>HLOOKUP($A21,'Raw Data for Hlookup'!$2:$14,COLUMNS($A$1:H20),0)</f>
        <v>English</v>
      </c>
      <c r="I21" s="27" t="str">
        <f>HLOOKUP($A21,'Raw Data for Hlookup'!$2:$14,COLUMNS($A$1:I20),0)</f>
        <v>PG</v>
      </c>
      <c r="J21" s="27">
        <f>HLOOKUP($A21,'Raw Data for Hlookup'!$2:$14,COLUMNS($A$1:J20),0)</f>
        <v>15000000</v>
      </c>
      <c r="K21" s="27">
        <f>HLOOKUP($A21,'Raw Data for Hlookup'!$2:$14,COLUMNS($A$1:K20),0)</f>
        <v>70000000</v>
      </c>
      <c r="L21" s="27">
        <f>HLOOKUP($A21,'Raw Data for Hlookup'!$2:$14,COLUMNS($A$1:L20),0)</f>
        <v>10</v>
      </c>
      <c r="M21" s="27">
        <f>HLOOKUP($A21,'Raw Data for Hlookup'!$2:$14,COLUMNS($A$1:M20),0)</f>
        <v>7</v>
      </c>
    </row>
    <row r="22" spans="1:13" x14ac:dyDescent="0.3">
      <c r="A22" s="28" t="s">
        <v>858</v>
      </c>
      <c r="B22" s="26">
        <f>HLOOKUP($A22,'Raw Data for Hlookup'!$2:$14,COLUMNS($A$1:B21),0)</f>
        <v>31399</v>
      </c>
      <c r="C22" s="27">
        <f>HLOOKUP($A22,'Raw Data for Hlookup'!$2:$14,COLUMNS($A$1:C21),0)</f>
        <v>161</v>
      </c>
      <c r="D22" s="27" t="str">
        <f>HLOOKUP($A22,'Raw Data for Hlookup'!$2:$14,COLUMNS($A$1:D21),0)</f>
        <v>Romance</v>
      </c>
      <c r="E22" s="27" t="str">
        <f>HLOOKUP($A22,'Raw Data for Hlookup'!$2:$14,COLUMNS($A$1:E21),0)</f>
        <v>Sydney Pollack</v>
      </c>
      <c r="F22" s="27" t="str">
        <f>HLOOKUP($A22,'Raw Data for Hlookup'!$2:$14,COLUMNS($A$1:F21),0)</f>
        <v>Mirage Studios</v>
      </c>
      <c r="G22" s="27" t="str">
        <f>HLOOKUP($A22,'Raw Data for Hlookup'!$2:$14,COLUMNS($A$1:G21),0)</f>
        <v>United States</v>
      </c>
      <c r="H22" s="27" t="str">
        <f>HLOOKUP($A22,'Raw Data for Hlookup'!$2:$14,COLUMNS($A$1:H21),0)</f>
        <v>English</v>
      </c>
      <c r="I22" s="27" t="str">
        <f>HLOOKUP($A22,'Raw Data for Hlookup'!$2:$14,COLUMNS($A$1:I21),0)</f>
        <v>PG</v>
      </c>
      <c r="J22" s="27">
        <f>HLOOKUP($A22,'Raw Data for Hlookup'!$2:$14,COLUMNS($A$1:J21),0)</f>
        <v>28000000</v>
      </c>
      <c r="K22" s="27">
        <f>HLOOKUP($A22,'Raw Data for Hlookup'!$2:$14,COLUMNS($A$1:K21),0)</f>
        <v>128500000</v>
      </c>
      <c r="L22" s="27">
        <f>HLOOKUP($A22,'Raw Data for Hlookup'!$2:$14,COLUMNS($A$1:L21),0)</f>
        <v>11</v>
      </c>
      <c r="M22" s="27">
        <f>HLOOKUP($A22,'Raw Data for Hlookup'!$2:$14,COLUMNS($A$1:M21),0)</f>
        <v>7</v>
      </c>
    </row>
    <row r="23" spans="1:13" x14ac:dyDescent="0.3">
      <c r="A23" s="28" t="s">
        <v>982</v>
      </c>
      <c r="B23" s="26">
        <f>HLOOKUP($A23,'Raw Data for Hlookup'!$2:$14,COLUMNS($A$1:B22),0)</f>
        <v>27024</v>
      </c>
      <c r="C23" s="27">
        <f>HLOOKUP($A23,'Raw Data for Hlookup'!$2:$14,COLUMNS($A$1:C22),0)</f>
        <v>129</v>
      </c>
      <c r="D23" s="27" t="str">
        <f>HLOOKUP($A23,'Raw Data for Hlookup'!$2:$14,COLUMNS($A$1:D22),0)</f>
        <v>Crime</v>
      </c>
      <c r="E23" s="27" t="str">
        <f>HLOOKUP($A23,'Raw Data for Hlookup'!$2:$14,COLUMNS($A$1:E22),0)</f>
        <v>George Roy Hill</v>
      </c>
      <c r="F23" s="27" t="str">
        <f>HLOOKUP($A23,'Raw Data for Hlookup'!$2:$14,COLUMNS($A$1:F22),0)</f>
        <v>Universal Pictures</v>
      </c>
      <c r="G23" s="27" t="str">
        <f>HLOOKUP($A23,'Raw Data for Hlookup'!$2:$14,COLUMNS($A$1:G22),0)</f>
        <v>United States</v>
      </c>
      <c r="H23" s="27" t="str">
        <f>HLOOKUP($A23,'Raw Data for Hlookup'!$2:$14,COLUMNS($A$1:H22),0)</f>
        <v>English</v>
      </c>
      <c r="I23" s="27" t="str">
        <f>HLOOKUP($A23,'Raw Data for Hlookup'!$2:$14,COLUMNS($A$1:I22),0)</f>
        <v>PG</v>
      </c>
      <c r="J23" s="27">
        <f>HLOOKUP($A23,'Raw Data for Hlookup'!$2:$14,COLUMNS($A$1:J22),0)</f>
        <v>5500000</v>
      </c>
      <c r="K23" s="27">
        <f>HLOOKUP($A23,'Raw Data for Hlookup'!$2:$14,COLUMNS($A$1:K22),0)</f>
        <v>159600000</v>
      </c>
      <c r="L23" s="27">
        <f>HLOOKUP($A23,'Raw Data for Hlookup'!$2:$14,COLUMNS($A$1:L22),0)</f>
        <v>10</v>
      </c>
      <c r="M23" s="27">
        <f>HLOOKUP($A23,'Raw Data for Hlookup'!$2:$14,COLUMNS($A$1:M22),0)</f>
        <v>7</v>
      </c>
    </row>
    <row r="24" spans="1:13" x14ac:dyDescent="0.3">
      <c r="A24" s="28" t="s">
        <v>1663</v>
      </c>
      <c r="B24" s="26">
        <f>HLOOKUP($A24,'Raw Data for Hlookup'!$2:$14,COLUMNS($A$1:B23),0)</f>
        <v>39695</v>
      </c>
      <c r="C24" s="27">
        <f>HLOOKUP($A24,'Raw Data for Hlookup'!$2:$14,COLUMNS($A$1:C23),0)</f>
        <v>131</v>
      </c>
      <c r="D24" s="27" t="str">
        <f>HLOOKUP($A24,'Raw Data for Hlookup'!$2:$14,COLUMNS($A$1:D23),0)</f>
        <v>War</v>
      </c>
      <c r="E24" s="27" t="str">
        <f>HLOOKUP($A24,'Raw Data for Hlookup'!$2:$14,COLUMNS($A$1:E23),0)</f>
        <v>Kathryn Bigelow</v>
      </c>
      <c r="F24" s="27" t="str">
        <f>HLOOKUP($A24,'Raw Data for Hlookup'!$2:$14,COLUMNS($A$1:F23),0)</f>
        <v>Summit Entertainment</v>
      </c>
      <c r="G24" s="27" t="str">
        <f>HLOOKUP($A24,'Raw Data for Hlookup'!$2:$14,COLUMNS($A$1:G23),0)</f>
        <v>United States</v>
      </c>
      <c r="H24" s="27" t="str">
        <f>HLOOKUP($A24,'Raw Data for Hlookup'!$2:$14,COLUMNS($A$1:H23),0)</f>
        <v>English</v>
      </c>
      <c r="I24" s="27">
        <f>HLOOKUP($A24,'Raw Data for Hlookup'!$2:$14,COLUMNS($A$1:I23),0)</f>
        <v>15</v>
      </c>
      <c r="J24" s="27">
        <f>HLOOKUP($A24,'Raw Data for Hlookup'!$2:$14,COLUMNS($A$1:J23),0)</f>
        <v>15000000</v>
      </c>
      <c r="K24" s="27">
        <f>HLOOKUP($A24,'Raw Data for Hlookup'!$2:$14,COLUMNS($A$1:K23),0)</f>
        <v>49200000</v>
      </c>
      <c r="L24" s="27">
        <f>HLOOKUP($A24,'Raw Data for Hlookup'!$2:$14,COLUMNS($A$1:L23),0)</f>
        <v>9</v>
      </c>
      <c r="M24" s="27">
        <f>HLOOKUP($A24,'Raw Data for Hlookup'!$2:$14,COLUMNS($A$1:M23),0)</f>
        <v>6</v>
      </c>
    </row>
    <row r="25" spans="1:13" x14ac:dyDescent="0.3">
      <c r="A25" s="28" t="s">
        <v>978</v>
      </c>
      <c r="B25" s="26">
        <f>HLOOKUP($A25,'Raw Data for Hlookup'!$2:$14,COLUMNS($A$1:B24),0)</f>
        <v>27375</v>
      </c>
      <c r="C25" s="27">
        <f>HLOOKUP($A25,'Raw Data for Hlookup'!$2:$14,COLUMNS($A$1:C24),0)</f>
        <v>202</v>
      </c>
      <c r="D25" s="27" t="str">
        <f>HLOOKUP($A25,'Raw Data for Hlookup'!$2:$14,COLUMNS($A$1:D24),0)</f>
        <v>Crime</v>
      </c>
      <c r="E25" s="27" t="str">
        <f>HLOOKUP($A25,'Raw Data for Hlookup'!$2:$14,COLUMNS($A$1:E24),0)</f>
        <v>Francis Ford Coppola</v>
      </c>
      <c r="F25" s="27" t="str">
        <f>HLOOKUP($A25,'Raw Data for Hlookup'!$2:$14,COLUMNS($A$1:F24),0)</f>
        <v>Paramount Pictures</v>
      </c>
      <c r="G25" s="27" t="str">
        <f>HLOOKUP($A25,'Raw Data for Hlookup'!$2:$14,COLUMNS($A$1:G24),0)</f>
        <v>United States</v>
      </c>
      <c r="H25" s="27" t="str">
        <f>HLOOKUP($A25,'Raw Data for Hlookup'!$2:$14,COLUMNS($A$1:H24),0)</f>
        <v>English</v>
      </c>
      <c r="I25" s="27">
        <f>HLOOKUP($A25,'Raw Data for Hlookup'!$2:$14,COLUMNS($A$1:I24),0)</f>
        <v>18</v>
      </c>
      <c r="J25" s="27">
        <f>HLOOKUP($A25,'Raw Data for Hlookup'!$2:$14,COLUMNS($A$1:J24),0)</f>
        <v>13000000</v>
      </c>
      <c r="K25" s="27">
        <f>HLOOKUP($A25,'Raw Data for Hlookup'!$2:$14,COLUMNS($A$1:K24),0)</f>
        <v>57300000</v>
      </c>
      <c r="L25" s="27">
        <f>HLOOKUP($A25,'Raw Data for Hlookup'!$2:$14,COLUMNS($A$1:L24),0)</f>
        <v>11</v>
      </c>
      <c r="M25" s="27">
        <f>HLOOKUP($A25,'Raw Data for Hlookup'!$2:$14,COLUMNS($A$1:M24),0)</f>
        <v>6</v>
      </c>
    </row>
    <row r="26" spans="1:13" x14ac:dyDescent="0.3">
      <c r="A26" s="28" t="s">
        <v>1796</v>
      </c>
      <c r="B26" s="26">
        <f>HLOOKUP($A26,'Raw Data for Hlookup'!$2:$14,COLUMNS($A$1:B25),0)</f>
        <v>18854</v>
      </c>
      <c r="C26" s="27">
        <f>HLOOKUP($A26,'Raw Data for Hlookup'!$2:$14,COLUMNS($A$1:C25),0)</f>
        <v>122</v>
      </c>
      <c r="D26" s="27" t="str">
        <f>HLOOKUP($A26,'Raw Data for Hlookup'!$2:$14,COLUMNS($A$1:D25),0)</f>
        <v>Drama</v>
      </c>
      <c r="E26" s="27" t="str">
        <f>HLOOKUP($A26,'Raw Data for Hlookup'!$2:$14,COLUMNS($A$1:E25),0)</f>
        <v>George Stevens</v>
      </c>
      <c r="F26" s="27" t="str">
        <f>HLOOKUP($A26,'Raw Data for Hlookup'!$2:$14,COLUMNS($A$1:F25),0)</f>
        <v>Paramount Pictures</v>
      </c>
      <c r="G26" s="27" t="str">
        <f>HLOOKUP($A26,'Raw Data for Hlookup'!$2:$14,COLUMNS($A$1:G25),0)</f>
        <v>United States</v>
      </c>
      <c r="H26" s="27" t="str">
        <f>HLOOKUP($A26,'Raw Data for Hlookup'!$2:$14,COLUMNS($A$1:H25),0)</f>
        <v>English</v>
      </c>
      <c r="I26" s="27" t="str">
        <f>HLOOKUP($A26,'Raw Data for Hlookup'!$2:$14,COLUMNS($A$1:I25),0)</f>
        <v>PG</v>
      </c>
      <c r="J26" s="27">
        <f>HLOOKUP($A26,'Raw Data for Hlookup'!$2:$14,COLUMNS($A$1:J25),0)</f>
        <v>2295000</v>
      </c>
      <c r="K26" s="27">
        <f>HLOOKUP($A26,'Raw Data for Hlookup'!$2:$14,COLUMNS($A$1:K25),0)</f>
        <v>7000000</v>
      </c>
      <c r="L26" s="27">
        <f>HLOOKUP($A26,'Raw Data for Hlookup'!$2:$14,COLUMNS($A$1:L25),0)</f>
        <v>9</v>
      </c>
      <c r="M26" s="27">
        <f>HLOOKUP($A26,'Raw Data for Hlookup'!$2:$14,COLUMNS($A$1:M25),0)</f>
        <v>6</v>
      </c>
    </row>
    <row r="27" spans="1:13" x14ac:dyDescent="0.3">
      <c r="A27" s="28" t="s">
        <v>1596</v>
      </c>
      <c r="B27" s="26">
        <f>HLOOKUP($A27,'Raw Data for Hlookup'!$2:$14,COLUMNS($A$1:B26),0)</f>
        <v>42131</v>
      </c>
      <c r="C27" s="27">
        <f>HLOOKUP($A27,'Raw Data for Hlookup'!$2:$14,COLUMNS($A$1:C26),0)</f>
        <v>120</v>
      </c>
      <c r="D27" s="27" t="str">
        <f>HLOOKUP($A27,'Raw Data for Hlookup'!$2:$14,COLUMNS($A$1:D26),0)</f>
        <v>Action</v>
      </c>
      <c r="E27" s="27" t="str">
        <f>HLOOKUP($A27,'Raw Data for Hlookup'!$2:$14,COLUMNS($A$1:E26),0)</f>
        <v>George Miller</v>
      </c>
      <c r="F27" s="27" t="str">
        <f>HLOOKUP($A27,'Raw Data for Hlookup'!$2:$14,COLUMNS($A$1:F26),0)</f>
        <v>Kennedy Miller</v>
      </c>
      <c r="G27" s="27" t="str">
        <f>HLOOKUP($A27,'Raw Data for Hlookup'!$2:$14,COLUMNS($A$1:G26),0)</f>
        <v>Australia</v>
      </c>
      <c r="H27" s="27" t="str">
        <f>HLOOKUP($A27,'Raw Data for Hlookup'!$2:$14,COLUMNS($A$1:H26),0)</f>
        <v>English</v>
      </c>
      <c r="I27" s="27">
        <f>HLOOKUP($A27,'Raw Data for Hlookup'!$2:$14,COLUMNS($A$1:I26),0)</f>
        <v>15</v>
      </c>
      <c r="J27" s="27">
        <f>HLOOKUP($A27,'Raw Data for Hlookup'!$2:$14,COLUMNS($A$1:J26),0)</f>
        <v>150000000</v>
      </c>
      <c r="K27" s="27">
        <f>HLOOKUP($A27,'Raw Data for Hlookup'!$2:$14,COLUMNS($A$1:K26),0)</f>
        <v>378400000</v>
      </c>
      <c r="L27" s="27">
        <f>HLOOKUP($A27,'Raw Data for Hlookup'!$2:$14,COLUMNS($A$1:L26),0)</f>
        <v>10</v>
      </c>
      <c r="M27" s="27">
        <f>HLOOKUP($A27,'Raw Data for Hlookup'!$2:$14,COLUMNS($A$1:M26),0)</f>
        <v>6</v>
      </c>
    </row>
    <row r="28" spans="1:13" x14ac:dyDescent="0.3">
      <c r="A28" s="28" t="s">
        <v>178</v>
      </c>
      <c r="B28" s="26">
        <f>HLOOKUP($A28,'Raw Data for Hlookup'!$2:$14,COLUMNS($A$1:B27),0)</f>
        <v>33466</v>
      </c>
      <c r="C28" s="27">
        <f>HLOOKUP($A28,'Raw Data for Hlookup'!$2:$14,COLUMNS($A$1:C27),0)</f>
        <v>136</v>
      </c>
      <c r="D28" s="27" t="str">
        <f>HLOOKUP($A28,'Raw Data for Hlookup'!$2:$14,COLUMNS($A$1:D27),0)</f>
        <v>Science Fiction</v>
      </c>
      <c r="E28" s="27" t="str">
        <f>HLOOKUP($A28,'Raw Data for Hlookup'!$2:$14,COLUMNS($A$1:E27),0)</f>
        <v>James Cameron</v>
      </c>
      <c r="F28" s="27" t="str">
        <f>HLOOKUP($A28,'Raw Data for Hlookup'!$2:$14,COLUMNS($A$1:F27),0)</f>
        <v>Carolco Pictures</v>
      </c>
      <c r="G28" s="27" t="str">
        <f>HLOOKUP($A28,'Raw Data for Hlookup'!$2:$14,COLUMNS($A$1:G27),0)</f>
        <v>United States</v>
      </c>
      <c r="H28" s="27" t="str">
        <f>HLOOKUP($A28,'Raw Data for Hlookup'!$2:$14,COLUMNS($A$1:H27),0)</f>
        <v>English</v>
      </c>
      <c r="I28" s="27">
        <f>HLOOKUP($A28,'Raw Data for Hlookup'!$2:$14,COLUMNS($A$1:I27),0)</f>
        <v>15</v>
      </c>
      <c r="J28" s="27">
        <f>HLOOKUP($A28,'Raw Data for Hlookup'!$2:$14,COLUMNS($A$1:J27),0)</f>
        <v>100000000</v>
      </c>
      <c r="K28" s="27">
        <f>HLOOKUP($A28,'Raw Data for Hlookup'!$2:$14,COLUMNS($A$1:K27),0)</f>
        <v>516816151</v>
      </c>
      <c r="L28" s="27">
        <f>HLOOKUP($A28,'Raw Data for Hlookup'!$2:$14,COLUMNS($A$1:L27),0)</f>
        <v>4</v>
      </c>
      <c r="M28" s="27">
        <f>HLOOKUP($A28,'Raw Data for Hlookup'!$2:$14,COLUMNS($A$1:M27),0)</f>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4F214-7891-45FB-B255-5EDE573191C3}">
  <dimension ref="A1:AOJ14"/>
  <sheetViews>
    <sheetView showGridLines="0" workbookViewId="0">
      <selection activeCell="C2" sqref="C2"/>
    </sheetView>
  </sheetViews>
  <sheetFormatPr defaultRowHeight="14.4" x14ac:dyDescent="0.3"/>
  <cols>
    <col min="1" max="1" width="11.6640625" bestFit="1" customWidth="1"/>
    <col min="2" max="2" width="22.6640625" bestFit="1" customWidth="1"/>
    <col min="3" max="3" width="17.33203125" bestFit="1" customWidth="1"/>
    <col min="4" max="4" width="15.77734375" bestFit="1" customWidth="1"/>
    <col min="5" max="6" width="13.33203125" bestFit="1" customWidth="1"/>
    <col min="7" max="7" width="28.21875" bestFit="1" customWidth="1"/>
    <col min="8" max="8" width="18.21875" bestFit="1" customWidth="1"/>
    <col min="9" max="9" width="17.109375" bestFit="1" customWidth="1"/>
    <col min="10" max="10" width="22.88671875" bestFit="1" customWidth="1"/>
    <col min="11" max="11" width="11.33203125" bestFit="1" customWidth="1"/>
    <col min="12" max="12" width="24" bestFit="1" customWidth="1"/>
    <col min="13" max="13" width="27.5546875" bestFit="1" customWidth="1"/>
    <col min="14" max="14" width="20.77734375" bestFit="1" customWidth="1"/>
    <col min="15" max="15" width="15.21875" bestFit="1" customWidth="1"/>
    <col min="16" max="16" width="45.88671875" bestFit="1" customWidth="1"/>
    <col min="17" max="17" width="25.5546875" bestFit="1" customWidth="1"/>
    <col min="18" max="19" width="15.21875" bestFit="1" customWidth="1"/>
    <col min="20" max="20" width="18.5546875" bestFit="1" customWidth="1"/>
    <col min="21" max="21" width="15.44140625" bestFit="1" customWidth="1"/>
    <col min="22" max="22" width="10.109375" bestFit="1" customWidth="1"/>
    <col min="23" max="23" width="16.109375" bestFit="1" customWidth="1"/>
    <col min="24" max="24" width="15.88671875" bestFit="1" customWidth="1"/>
    <col min="25" max="25" width="12.6640625" bestFit="1" customWidth="1"/>
    <col min="26" max="26" width="14.33203125" bestFit="1" customWidth="1"/>
    <col min="27" max="27" width="12.6640625" bestFit="1" customWidth="1"/>
    <col min="28" max="28" width="11.21875" bestFit="1" customWidth="1"/>
    <col min="29" max="29" width="19.109375" bestFit="1" customWidth="1"/>
    <col min="30" max="30" width="11.21875" bestFit="1" customWidth="1"/>
    <col min="31" max="31" width="18.21875" bestFit="1" customWidth="1"/>
    <col min="32" max="32" width="18.6640625" bestFit="1" customWidth="1"/>
    <col min="33" max="33" width="17.88671875" bestFit="1" customWidth="1"/>
    <col min="34" max="34" width="11.21875" bestFit="1" customWidth="1"/>
    <col min="35" max="35" width="22.6640625" bestFit="1" customWidth="1"/>
    <col min="36" max="36" width="16.6640625" bestFit="1" customWidth="1"/>
    <col min="37" max="37" width="30.21875" bestFit="1" customWidth="1"/>
    <col min="38" max="38" width="20.21875" bestFit="1" customWidth="1"/>
    <col min="39" max="39" width="19.77734375" bestFit="1" customWidth="1"/>
    <col min="40" max="40" width="17.88671875" bestFit="1" customWidth="1"/>
    <col min="41" max="42" width="13.77734375" bestFit="1" customWidth="1"/>
    <col min="43" max="43" width="16.5546875" bestFit="1" customWidth="1"/>
    <col min="44" max="44" width="13.77734375" bestFit="1" customWidth="1"/>
    <col min="45" max="45" width="19.109375" bestFit="1" customWidth="1"/>
    <col min="46" max="46" width="21.6640625" bestFit="1" customWidth="1"/>
    <col min="47" max="47" width="13.77734375" bestFit="1" customWidth="1"/>
    <col min="48" max="48" width="15.21875" bestFit="1" customWidth="1"/>
    <col min="49" max="49" width="10.6640625" bestFit="1" customWidth="1"/>
    <col min="50" max="50" width="13.44140625" bestFit="1" customWidth="1"/>
    <col min="51" max="51" width="34.5546875" bestFit="1" customWidth="1"/>
    <col min="52" max="53" width="15.21875" bestFit="1" customWidth="1"/>
    <col min="54" max="54" width="25" bestFit="1" customWidth="1"/>
    <col min="55" max="55" width="13.77734375" bestFit="1" customWidth="1"/>
    <col min="56" max="56" width="15.21875" bestFit="1" customWidth="1"/>
    <col min="57" max="58" width="17" bestFit="1" customWidth="1"/>
    <col min="59" max="59" width="27.33203125" bestFit="1" customWidth="1"/>
    <col min="60" max="60" width="16" bestFit="1" customWidth="1"/>
    <col min="61" max="61" width="20.21875" bestFit="1" customWidth="1"/>
    <col min="62" max="62" width="26.33203125" bestFit="1" customWidth="1"/>
    <col min="63" max="64" width="13.77734375" bestFit="1" customWidth="1"/>
    <col min="65" max="65" width="24.21875" bestFit="1" customWidth="1"/>
    <col min="66" max="66" width="15.21875" bestFit="1" customWidth="1"/>
    <col min="67" max="67" width="13.77734375" bestFit="1" customWidth="1"/>
    <col min="68" max="68" width="13" bestFit="1" customWidth="1"/>
    <col min="69" max="69" width="13.5546875" bestFit="1" customWidth="1"/>
    <col min="70" max="70" width="12.88671875" bestFit="1" customWidth="1"/>
    <col min="71" max="71" width="26.6640625" bestFit="1" customWidth="1"/>
    <col min="72" max="72" width="18.21875" bestFit="1" customWidth="1"/>
    <col min="73" max="73" width="13.5546875" bestFit="1" customWidth="1"/>
    <col min="74" max="74" width="18.77734375" bestFit="1" customWidth="1"/>
    <col min="75" max="75" width="26.88671875" bestFit="1" customWidth="1"/>
    <col min="76" max="76" width="12.88671875" bestFit="1" customWidth="1"/>
    <col min="77" max="77" width="38.109375" bestFit="1" customWidth="1"/>
    <col min="78" max="78" width="34.77734375" bestFit="1" customWidth="1"/>
    <col min="79" max="79" width="33.44140625" bestFit="1" customWidth="1"/>
    <col min="80" max="80" width="23.5546875" bestFit="1" customWidth="1"/>
    <col min="81" max="81" width="35.21875" bestFit="1" customWidth="1"/>
    <col min="82" max="82" width="32.109375" bestFit="1" customWidth="1"/>
    <col min="83" max="83" width="31.109375" bestFit="1" customWidth="1"/>
    <col min="84" max="84" width="21.109375" bestFit="1" customWidth="1"/>
    <col min="85" max="86" width="18.33203125" bestFit="1" customWidth="1"/>
    <col min="87" max="87" width="17.5546875" bestFit="1" customWidth="1"/>
    <col min="88" max="88" width="13.88671875" bestFit="1" customWidth="1"/>
    <col min="89" max="89" width="27.33203125" bestFit="1" customWidth="1"/>
    <col min="90" max="90" width="32.77734375" bestFit="1" customWidth="1"/>
    <col min="91" max="91" width="16.77734375" bestFit="1" customWidth="1"/>
    <col min="92" max="92" width="14.77734375" bestFit="1" customWidth="1"/>
    <col min="93" max="93" width="27.5546875" bestFit="1" customWidth="1"/>
    <col min="94" max="95" width="14.77734375" bestFit="1" customWidth="1"/>
    <col min="96" max="96" width="36.21875" bestFit="1" customWidth="1"/>
    <col min="97" max="97" width="30" bestFit="1" customWidth="1"/>
    <col min="98" max="98" width="14.5546875" bestFit="1" customWidth="1"/>
    <col min="99" max="99" width="21.77734375" bestFit="1" customWidth="1"/>
    <col min="100" max="100" width="35.44140625" bestFit="1" customWidth="1"/>
    <col min="101" max="101" width="35.21875" bestFit="1" customWidth="1"/>
    <col min="102" max="102" width="19.21875" bestFit="1" customWidth="1"/>
    <col min="103" max="103" width="14.77734375" bestFit="1" customWidth="1"/>
    <col min="104" max="104" width="35" bestFit="1" customWidth="1"/>
    <col min="105" max="105" width="14.77734375" bestFit="1" customWidth="1"/>
    <col min="106" max="106" width="14.44140625" bestFit="1" customWidth="1"/>
    <col min="107" max="107" width="17.21875" bestFit="1" customWidth="1"/>
    <col min="108" max="108" width="14.44140625" bestFit="1" customWidth="1"/>
    <col min="109" max="109" width="16.44140625" bestFit="1" customWidth="1"/>
    <col min="110" max="110" width="19.33203125" bestFit="1" customWidth="1"/>
    <col min="111" max="111" width="71.88671875" bestFit="1" customWidth="1"/>
    <col min="112" max="112" width="17.6640625" bestFit="1" customWidth="1"/>
    <col min="113" max="113" width="18.21875" bestFit="1" customWidth="1"/>
    <col min="114" max="114" width="16.6640625" bestFit="1" customWidth="1"/>
    <col min="115" max="115" width="15" bestFit="1" customWidth="1"/>
    <col min="116" max="116" width="16.77734375" bestFit="1" customWidth="1"/>
    <col min="117" max="117" width="20.44140625" bestFit="1" customWidth="1"/>
    <col min="118" max="118" width="15.77734375" bestFit="1" customWidth="1"/>
    <col min="119" max="119" width="14.44140625" bestFit="1" customWidth="1"/>
    <col min="120" max="120" width="27.21875" bestFit="1" customWidth="1"/>
    <col min="121" max="121" width="19.44140625" bestFit="1" customWidth="1"/>
    <col min="122" max="122" width="14.44140625" bestFit="1" customWidth="1"/>
    <col min="123" max="123" width="26.21875" bestFit="1" customWidth="1"/>
    <col min="124" max="124" width="17.6640625" bestFit="1" customWidth="1"/>
    <col min="125" max="125" width="25.5546875" bestFit="1" customWidth="1"/>
    <col min="126" max="126" width="19.44140625" bestFit="1" customWidth="1"/>
    <col min="127" max="127" width="14.44140625" bestFit="1" customWidth="1"/>
    <col min="128" max="128" width="14.21875" bestFit="1" customWidth="1"/>
    <col min="129" max="129" width="18.6640625" bestFit="1" customWidth="1"/>
    <col min="130" max="130" width="14.44140625" bestFit="1" customWidth="1"/>
    <col min="131" max="131" width="38.6640625" bestFit="1" customWidth="1"/>
    <col min="132" max="132" width="17.88671875" bestFit="1" customWidth="1"/>
    <col min="133" max="133" width="38.6640625" bestFit="1" customWidth="1"/>
    <col min="134" max="134" width="33.109375" bestFit="1" customWidth="1"/>
    <col min="135" max="135" width="14.6640625" bestFit="1" customWidth="1"/>
    <col min="136" max="136" width="20.6640625" bestFit="1" customWidth="1"/>
    <col min="137" max="137" width="16.77734375" bestFit="1" customWidth="1"/>
    <col min="138" max="138" width="34.77734375" bestFit="1" customWidth="1"/>
    <col min="139" max="139" width="54.88671875" bestFit="1" customWidth="1"/>
    <col min="140" max="140" width="27.33203125" bestFit="1" customWidth="1"/>
    <col min="141" max="141" width="23.77734375" bestFit="1" customWidth="1"/>
    <col min="142" max="142" width="16.77734375" bestFit="1" customWidth="1"/>
    <col min="143" max="144" width="14.21875" bestFit="1" customWidth="1"/>
    <col min="145" max="145" width="14.77734375" bestFit="1" customWidth="1"/>
    <col min="146" max="146" width="24.6640625" bestFit="1" customWidth="1"/>
    <col min="147" max="147" width="24.88671875" bestFit="1" customWidth="1"/>
    <col min="148" max="148" width="26.77734375" bestFit="1" customWidth="1"/>
    <col min="149" max="149" width="26.6640625" bestFit="1" customWidth="1"/>
    <col min="150" max="150" width="17.77734375" bestFit="1" customWidth="1"/>
    <col min="151" max="151" width="23.44140625" bestFit="1" customWidth="1"/>
    <col min="152" max="152" width="24" bestFit="1" customWidth="1"/>
    <col min="153" max="153" width="26.88671875" bestFit="1" customWidth="1"/>
    <col min="154" max="154" width="15.77734375" bestFit="1" customWidth="1"/>
    <col min="155" max="155" width="20.21875" bestFit="1" customWidth="1"/>
    <col min="156" max="156" width="16.33203125" bestFit="1" customWidth="1"/>
    <col min="157" max="157" width="17" bestFit="1" customWidth="1"/>
    <col min="158" max="158" width="19.5546875" bestFit="1" customWidth="1"/>
    <col min="159" max="159" width="24.77734375" bestFit="1" customWidth="1"/>
    <col min="160" max="160" width="20.21875" bestFit="1" customWidth="1"/>
    <col min="161" max="161" width="14.21875" bestFit="1" customWidth="1"/>
    <col min="162" max="162" width="20.21875" bestFit="1" customWidth="1"/>
    <col min="163" max="163" width="14.44140625" bestFit="1" customWidth="1"/>
    <col min="164" max="164" width="20.109375" bestFit="1" customWidth="1"/>
    <col min="165" max="165" width="14.33203125" bestFit="1" customWidth="1"/>
    <col min="166" max="166" width="21.6640625" bestFit="1" customWidth="1"/>
    <col min="167" max="167" width="14.21875" bestFit="1" customWidth="1"/>
    <col min="168" max="168" width="15.6640625" bestFit="1" customWidth="1"/>
    <col min="169" max="169" width="16.5546875" bestFit="1" customWidth="1"/>
    <col min="170" max="170" width="14.21875" bestFit="1" customWidth="1"/>
    <col min="171" max="171" width="28.21875" bestFit="1" customWidth="1"/>
    <col min="172" max="172" width="24.44140625" bestFit="1" customWidth="1"/>
    <col min="173" max="173" width="20.21875" bestFit="1" customWidth="1"/>
    <col min="174" max="175" width="18.6640625" bestFit="1" customWidth="1"/>
    <col min="176" max="176" width="33.77734375" bestFit="1" customWidth="1"/>
    <col min="177" max="177" width="19.5546875" bestFit="1" customWidth="1"/>
    <col min="178" max="181" width="18.6640625" bestFit="1" customWidth="1"/>
    <col min="182" max="182" width="26.44140625" bestFit="1" customWidth="1"/>
    <col min="183" max="183" width="33" bestFit="1" customWidth="1"/>
    <col min="184" max="184" width="30.6640625" bestFit="1" customWidth="1"/>
    <col min="185" max="185" width="18.6640625" bestFit="1" customWidth="1"/>
    <col min="186" max="186" width="17.21875" bestFit="1" customWidth="1"/>
    <col min="187" max="187" width="20" bestFit="1" customWidth="1"/>
    <col min="188" max="188" width="18.6640625" bestFit="1" customWidth="1"/>
    <col min="189" max="189" width="14.21875" bestFit="1" customWidth="1"/>
    <col min="190" max="190" width="25" bestFit="1" customWidth="1"/>
    <col min="191" max="191" width="18.5546875" bestFit="1" customWidth="1"/>
    <col min="192" max="193" width="15.21875" bestFit="1" customWidth="1"/>
    <col min="194" max="195" width="22" bestFit="1" customWidth="1"/>
    <col min="196" max="196" width="16.77734375" bestFit="1" customWidth="1"/>
    <col min="197" max="198" width="24" bestFit="1" customWidth="1"/>
    <col min="199" max="199" width="14.21875" bestFit="1" customWidth="1"/>
    <col min="200" max="200" width="60.88671875" bestFit="1" customWidth="1"/>
    <col min="201" max="201" width="25.88671875" bestFit="1" customWidth="1"/>
    <col min="202" max="202" width="26.88671875" bestFit="1" customWidth="1"/>
    <col min="203" max="203" width="20.21875" bestFit="1" customWidth="1"/>
    <col min="204" max="204" width="14.21875" bestFit="1" customWidth="1"/>
    <col min="205" max="205" width="17.21875" bestFit="1" customWidth="1"/>
    <col min="206" max="206" width="18.5546875" bestFit="1" customWidth="1"/>
    <col min="207" max="207" width="17.21875" bestFit="1" customWidth="1"/>
    <col min="208" max="208" width="16.33203125" bestFit="1" customWidth="1"/>
    <col min="209" max="209" width="22.77734375" bestFit="1" customWidth="1"/>
    <col min="210" max="210" width="35.6640625" bestFit="1" customWidth="1"/>
    <col min="211" max="211" width="18.6640625" bestFit="1" customWidth="1"/>
    <col min="212" max="213" width="14.21875" bestFit="1" customWidth="1"/>
    <col min="214" max="214" width="16.6640625" bestFit="1" customWidth="1"/>
    <col min="215" max="215" width="31.5546875" bestFit="1" customWidth="1"/>
    <col min="216" max="216" width="15.77734375" bestFit="1" customWidth="1"/>
    <col min="217" max="217" width="19.109375" bestFit="1" customWidth="1"/>
    <col min="218" max="218" width="32.6640625" bestFit="1" customWidth="1"/>
    <col min="219" max="219" width="19.5546875" bestFit="1" customWidth="1"/>
    <col min="220" max="220" width="21.77734375" bestFit="1" customWidth="1"/>
    <col min="221" max="222" width="14.21875" bestFit="1" customWidth="1"/>
    <col min="223" max="223" width="18.77734375" bestFit="1" customWidth="1"/>
    <col min="224" max="224" width="28.21875" bestFit="1" customWidth="1"/>
    <col min="225" max="225" width="14.21875" bestFit="1" customWidth="1"/>
    <col min="226" max="226" width="15.5546875" bestFit="1" customWidth="1"/>
    <col min="227" max="227" width="18.6640625" bestFit="1" customWidth="1"/>
    <col min="228" max="228" width="20.109375" bestFit="1" customWidth="1"/>
    <col min="229" max="229" width="18.6640625" bestFit="1" customWidth="1"/>
    <col min="230" max="230" width="21.5546875" bestFit="1" customWidth="1"/>
    <col min="231" max="231" width="14.21875" bestFit="1" customWidth="1"/>
    <col min="232" max="232" width="21.5546875" bestFit="1" customWidth="1"/>
    <col min="233" max="233" width="22.6640625" bestFit="1" customWidth="1"/>
    <col min="234" max="234" width="14.21875" bestFit="1" customWidth="1"/>
    <col min="235" max="235" width="19.33203125" bestFit="1" customWidth="1"/>
    <col min="236" max="236" width="19.21875" bestFit="1" customWidth="1"/>
    <col min="237" max="237" width="16.44140625" bestFit="1" customWidth="1"/>
    <col min="238" max="238" width="15" bestFit="1" customWidth="1"/>
    <col min="239" max="239" width="20.33203125" bestFit="1" customWidth="1"/>
    <col min="240" max="240" width="15.6640625" bestFit="1" customWidth="1"/>
    <col min="241" max="241" width="17.77734375" bestFit="1" customWidth="1"/>
    <col min="242" max="242" width="20.77734375" bestFit="1" customWidth="1"/>
    <col min="243" max="243" width="22.21875" bestFit="1" customWidth="1"/>
    <col min="244" max="244" width="12" bestFit="1" customWidth="1"/>
    <col min="245" max="245" width="34.77734375" bestFit="1" customWidth="1"/>
    <col min="246" max="246" width="22.6640625" bestFit="1" customWidth="1"/>
    <col min="247" max="247" width="17.88671875" bestFit="1" customWidth="1"/>
    <col min="248" max="248" width="17.21875" bestFit="1" customWidth="1"/>
    <col min="249" max="249" width="16.44140625" bestFit="1" customWidth="1"/>
    <col min="250" max="250" width="29.109375" bestFit="1" customWidth="1"/>
    <col min="251" max="251" width="37.44140625" bestFit="1" customWidth="1"/>
    <col min="252" max="252" width="14.88671875" bestFit="1" customWidth="1"/>
    <col min="253" max="253" width="17.77734375" bestFit="1" customWidth="1"/>
    <col min="254" max="254" width="19.33203125" bestFit="1" customWidth="1"/>
    <col min="255" max="256" width="19.21875" bestFit="1" customWidth="1"/>
    <col min="257" max="257" width="11.77734375" bestFit="1" customWidth="1"/>
    <col min="258" max="258" width="27.5546875" bestFit="1" customWidth="1"/>
    <col min="259" max="259" width="15.6640625" bestFit="1" customWidth="1"/>
    <col min="260" max="260" width="44" bestFit="1" customWidth="1"/>
    <col min="261" max="261" width="19.33203125" bestFit="1" customWidth="1"/>
    <col min="262" max="262" width="28" bestFit="1" customWidth="1"/>
    <col min="263" max="263" width="22.6640625" bestFit="1" customWidth="1"/>
    <col min="264" max="264" width="20.109375" bestFit="1" customWidth="1"/>
    <col min="265" max="265" width="23.109375" bestFit="1" customWidth="1"/>
    <col min="266" max="266" width="42" bestFit="1" customWidth="1"/>
    <col min="267" max="267" width="15" bestFit="1" customWidth="1"/>
    <col min="268" max="268" width="19.109375" bestFit="1" customWidth="1"/>
    <col min="269" max="270" width="23.6640625" bestFit="1" customWidth="1"/>
    <col min="271" max="271" width="19.21875" bestFit="1" customWidth="1"/>
    <col min="272" max="272" width="36.6640625" bestFit="1" customWidth="1"/>
    <col min="273" max="273" width="20.77734375" bestFit="1" customWidth="1"/>
    <col min="274" max="274" width="37.77734375" bestFit="1" customWidth="1"/>
    <col min="275" max="275" width="36.5546875" bestFit="1" customWidth="1"/>
    <col min="276" max="276" width="22.6640625" bestFit="1" customWidth="1"/>
    <col min="277" max="277" width="24.77734375" bestFit="1" customWidth="1"/>
    <col min="278" max="278" width="19.109375" bestFit="1" customWidth="1"/>
    <col min="279" max="279" width="25.21875" bestFit="1" customWidth="1"/>
    <col min="280" max="280" width="19.5546875" bestFit="1" customWidth="1"/>
    <col min="281" max="281" width="17.6640625" bestFit="1" customWidth="1"/>
    <col min="282" max="282" width="14.21875" bestFit="1" customWidth="1"/>
    <col min="283" max="283" width="18.6640625" bestFit="1" customWidth="1"/>
    <col min="284" max="284" width="17.88671875" bestFit="1" customWidth="1"/>
    <col min="285" max="285" width="19.33203125" bestFit="1" customWidth="1"/>
    <col min="286" max="286" width="25.77734375" bestFit="1" customWidth="1"/>
    <col min="287" max="287" width="22.6640625" bestFit="1" customWidth="1"/>
    <col min="288" max="288" width="20.109375" bestFit="1" customWidth="1"/>
    <col min="289" max="289" width="23.77734375" bestFit="1" customWidth="1"/>
    <col min="290" max="290" width="19.5546875" bestFit="1" customWidth="1"/>
    <col min="291" max="291" width="22.33203125" bestFit="1" customWidth="1"/>
    <col min="292" max="292" width="17.77734375" bestFit="1" customWidth="1"/>
    <col min="293" max="293" width="16.33203125" bestFit="1" customWidth="1"/>
    <col min="294" max="294" width="24.88671875" bestFit="1" customWidth="1"/>
    <col min="295" max="295" width="15.21875" bestFit="1" customWidth="1"/>
    <col min="296" max="296" width="19.33203125" bestFit="1" customWidth="1"/>
    <col min="297" max="297" width="19.109375" bestFit="1" customWidth="1"/>
    <col min="298" max="298" width="24.44140625" bestFit="1" customWidth="1"/>
    <col min="299" max="299" width="20.109375" bestFit="1" customWidth="1"/>
    <col min="300" max="300" width="28" bestFit="1" customWidth="1"/>
    <col min="301" max="301" width="15.77734375" bestFit="1" customWidth="1"/>
    <col min="302" max="302" width="14.5546875" bestFit="1" customWidth="1"/>
    <col min="303" max="303" width="24.77734375" bestFit="1" customWidth="1"/>
    <col min="304" max="304" width="16.33203125" bestFit="1" customWidth="1"/>
    <col min="305" max="305" width="20.33203125" bestFit="1" customWidth="1"/>
    <col min="306" max="306" width="23.6640625" bestFit="1" customWidth="1"/>
    <col min="307" max="307" width="12.88671875" bestFit="1" customWidth="1"/>
    <col min="308" max="308" width="18.77734375" bestFit="1" customWidth="1"/>
    <col min="309" max="309" width="20.109375" bestFit="1" customWidth="1"/>
    <col min="310" max="310" width="18.109375" bestFit="1" customWidth="1"/>
    <col min="311" max="311" width="19.33203125" bestFit="1" customWidth="1"/>
    <col min="312" max="312" width="23.109375" bestFit="1" customWidth="1"/>
    <col min="313" max="314" width="15" bestFit="1" customWidth="1"/>
    <col min="315" max="315" width="16.77734375" bestFit="1" customWidth="1"/>
    <col min="316" max="316" width="22.6640625" bestFit="1" customWidth="1"/>
    <col min="317" max="317" width="17.77734375" bestFit="1" customWidth="1"/>
    <col min="318" max="318" width="37.109375" bestFit="1" customWidth="1"/>
    <col min="319" max="319" width="18.109375" bestFit="1" customWidth="1"/>
    <col min="320" max="320" width="14.77734375" bestFit="1" customWidth="1"/>
    <col min="321" max="321" width="15.6640625" bestFit="1" customWidth="1"/>
    <col min="322" max="322" width="17.77734375" bestFit="1" customWidth="1"/>
    <col min="323" max="323" width="13.5546875" bestFit="1" customWidth="1"/>
    <col min="324" max="324" width="15.77734375" bestFit="1" customWidth="1"/>
    <col min="325" max="325" width="22.33203125" bestFit="1" customWidth="1"/>
    <col min="326" max="326" width="19.44140625" bestFit="1" customWidth="1"/>
    <col min="327" max="327" width="23.88671875" bestFit="1" customWidth="1"/>
    <col min="328" max="328" width="16.21875" bestFit="1" customWidth="1"/>
    <col min="329" max="329" width="16.33203125" bestFit="1" customWidth="1"/>
    <col min="330" max="330" width="12.21875" bestFit="1" customWidth="1"/>
    <col min="331" max="331" width="21.21875" bestFit="1" customWidth="1"/>
    <col min="332" max="332" width="20.109375" bestFit="1" customWidth="1"/>
    <col min="333" max="333" width="19.33203125" bestFit="1" customWidth="1"/>
    <col min="334" max="334" width="15.21875" bestFit="1" customWidth="1"/>
    <col min="335" max="335" width="22.6640625" bestFit="1" customWidth="1"/>
    <col min="336" max="337" width="14.21875" bestFit="1" customWidth="1"/>
    <col min="338" max="338" width="22.21875" bestFit="1" customWidth="1"/>
    <col min="339" max="339" width="15.109375" bestFit="1" customWidth="1"/>
    <col min="340" max="340" width="20.77734375" bestFit="1" customWidth="1"/>
    <col min="341" max="341" width="17.21875" bestFit="1" customWidth="1"/>
    <col min="342" max="342" width="28" bestFit="1" customWidth="1"/>
    <col min="343" max="343" width="16.44140625" bestFit="1" customWidth="1"/>
    <col min="344" max="344" width="17.6640625" bestFit="1" customWidth="1"/>
    <col min="345" max="345" width="20.109375" bestFit="1" customWidth="1"/>
    <col min="346" max="346" width="16.44140625" bestFit="1" customWidth="1"/>
    <col min="347" max="347" width="17.21875" bestFit="1" customWidth="1"/>
    <col min="348" max="348" width="13.88671875" bestFit="1" customWidth="1"/>
    <col min="349" max="349" width="16.77734375" bestFit="1" customWidth="1"/>
    <col min="350" max="350" width="17.77734375" bestFit="1" customWidth="1"/>
    <col min="351" max="351" width="17.6640625" bestFit="1" customWidth="1"/>
    <col min="352" max="352" width="17.77734375" bestFit="1" customWidth="1"/>
    <col min="353" max="353" width="16.21875" bestFit="1" customWidth="1"/>
    <col min="354" max="354" width="21.33203125" bestFit="1" customWidth="1"/>
    <col min="355" max="355" width="17.77734375" bestFit="1" customWidth="1"/>
    <col min="356" max="356" width="16.21875" bestFit="1" customWidth="1"/>
    <col min="357" max="357" width="16.44140625" bestFit="1" customWidth="1"/>
    <col min="358" max="358" width="17.21875" bestFit="1" customWidth="1"/>
    <col min="359" max="359" width="15.6640625" bestFit="1" customWidth="1"/>
    <col min="360" max="360" width="26" bestFit="1" customWidth="1"/>
    <col min="361" max="361" width="16.77734375" bestFit="1" customWidth="1"/>
    <col min="362" max="362" width="17.77734375" bestFit="1" customWidth="1"/>
    <col min="363" max="363" width="30.44140625" bestFit="1" customWidth="1"/>
    <col min="364" max="364" width="19.77734375" bestFit="1" customWidth="1"/>
    <col min="365" max="365" width="17.33203125" bestFit="1" customWidth="1"/>
    <col min="366" max="366" width="17.21875" bestFit="1" customWidth="1"/>
    <col min="367" max="367" width="19.109375" bestFit="1" customWidth="1"/>
    <col min="368" max="368" width="17.77734375" bestFit="1" customWidth="1"/>
    <col min="369" max="369" width="23.21875" bestFit="1" customWidth="1"/>
    <col min="370" max="370" width="17.77734375" bestFit="1" customWidth="1"/>
    <col min="371" max="371" width="16.109375" bestFit="1" customWidth="1"/>
    <col min="372" max="372" width="22.109375" bestFit="1" customWidth="1"/>
    <col min="373" max="373" width="21.5546875" bestFit="1" customWidth="1"/>
    <col min="374" max="374" width="14.5546875" bestFit="1" customWidth="1"/>
    <col min="375" max="375" width="15.6640625" bestFit="1" customWidth="1"/>
    <col min="376" max="376" width="19.5546875" bestFit="1" customWidth="1"/>
    <col min="377" max="377" width="19.6640625" bestFit="1" customWidth="1"/>
    <col min="378" max="378" width="25.33203125" bestFit="1" customWidth="1"/>
    <col min="379" max="379" width="24.88671875" bestFit="1" customWidth="1"/>
    <col min="380" max="380" width="14.88671875" bestFit="1" customWidth="1"/>
    <col min="381" max="381" width="35.21875" bestFit="1" customWidth="1"/>
    <col min="382" max="382" width="18.21875" bestFit="1" customWidth="1"/>
    <col min="383" max="383" width="15.21875" bestFit="1" customWidth="1"/>
    <col min="384" max="384" width="51.88671875" bestFit="1" customWidth="1"/>
    <col min="385" max="385" width="22" bestFit="1" customWidth="1"/>
    <col min="386" max="386" width="15.21875" bestFit="1" customWidth="1"/>
    <col min="387" max="387" width="23" bestFit="1" customWidth="1"/>
    <col min="388" max="388" width="11.88671875" bestFit="1" customWidth="1"/>
    <col min="389" max="389" width="25.6640625" bestFit="1" customWidth="1"/>
    <col min="390" max="390" width="33.88671875" bestFit="1" customWidth="1"/>
    <col min="391" max="391" width="16.77734375" bestFit="1" customWidth="1"/>
    <col min="392" max="392" width="14.21875" bestFit="1" customWidth="1"/>
    <col min="393" max="393" width="14.44140625" bestFit="1" customWidth="1"/>
    <col min="394" max="394" width="33.77734375" bestFit="1" customWidth="1"/>
    <col min="395" max="395" width="17.21875" bestFit="1" customWidth="1"/>
    <col min="396" max="396" width="17.77734375" bestFit="1" customWidth="1"/>
    <col min="397" max="397" width="20.109375" bestFit="1" customWidth="1"/>
    <col min="398" max="398" width="24.44140625" bestFit="1" customWidth="1"/>
    <col min="399" max="399" width="19.109375" bestFit="1" customWidth="1"/>
    <col min="400" max="400" width="21.5546875" bestFit="1" customWidth="1"/>
    <col min="401" max="401" width="17.21875" bestFit="1" customWidth="1"/>
    <col min="402" max="402" width="19.33203125" bestFit="1" customWidth="1"/>
    <col min="403" max="403" width="35.88671875" bestFit="1" customWidth="1"/>
    <col min="404" max="404" width="15.6640625" bestFit="1" customWidth="1"/>
    <col min="405" max="405" width="26.6640625" bestFit="1" customWidth="1"/>
    <col min="406" max="406" width="26.88671875" bestFit="1" customWidth="1"/>
    <col min="407" max="407" width="39.77734375" bestFit="1" customWidth="1"/>
    <col min="408" max="408" width="14.5546875" bestFit="1" customWidth="1"/>
    <col min="409" max="409" width="18" bestFit="1" customWidth="1"/>
    <col min="410" max="410" width="19.6640625" bestFit="1" customWidth="1"/>
    <col min="411" max="411" width="19.33203125" bestFit="1" customWidth="1"/>
    <col min="412" max="412" width="17.6640625" bestFit="1" customWidth="1"/>
    <col min="413" max="413" width="29.21875" bestFit="1" customWidth="1"/>
    <col min="414" max="414" width="14.21875" bestFit="1" customWidth="1"/>
    <col min="415" max="415" width="21.33203125" bestFit="1" customWidth="1"/>
    <col min="416" max="416" width="20.109375" bestFit="1" customWidth="1"/>
    <col min="417" max="417" width="17.21875" bestFit="1" customWidth="1"/>
    <col min="418" max="418" width="19.44140625" bestFit="1" customWidth="1"/>
    <col min="419" max="419" width="13.88671875" bestFit="1" customWidth="1"/>
    <col min="420" max="420" width="14.88671875" bestFit="1" customWidth="1"/>
    <col min="421" max="421" width="22.44140625" bestFit="1" customWidth="1"/>
    <col min="422" max="422" width="15.6640625" bestFit="1" customWidth="1"/>
    <col min="423" max="423" width="16.33203125" bestFit="1" customWidth="1"/>
    <col min="424" max="424" width="15.6640625" bestFit="1" customWidth="1"/>
    <col min="425" max="425" width="18.88671875" bestFit="1" customWidth="1"/>
    <col min="426" max="426" width="26.77734375" bestFit="1" customWidth="1"/>
    <col min="427" max="427" width="30.21875" bestFit="1" customWidth="1"/>
    <col min="428" max="428" width="22.21875" bestFit="1" customWidth="1"/>
    <col min="429" max="429" width="17.21875" bestFit="1" customWidth="1"/>
    <col min="430" max="430" width="21.33203125" bestFit="1" customWidth="1"/>
    <col min="431" max="431" width="16.21875" bestFit="1" customWidth="1"/>
    <col min="432" max="432" width="27.33203125" bestFit="1" customWidth="1"/>
    <col min="433" max="433" width="23.6640625" bestFit="1" customWidth="1"/>
    <col min="434" max="434" width="20.109375" bestFit="1" customWidth="1"/>
    <col min="435" max="435" width="14.109375" bestFit="1" customWidth="1"/>
    <col min="436" max="436" width="25.21875" bestFit="1" customWidth="1"/>
    <col min="437" max="437" width="23.109375" bestFit="1" customWidth="1"/>
    <col min="438" max="438" width="19.77734375" bestFit="1" customWidth="1"/>
    <col min="439" max="439" width="14.44140625" bestFit="1" customWidth="1"/>
    <col min="440" max="441" width="16.5546875" bestFit="1" customWidth="1"/>
    <col min="442" max="442" width="15" bestFit="1" customWidth="1"/>
    <col min="443" max="443" width="43.21875" bestFit="1" customWidth="1"/>
    <col min="444" max="444" width="27.33203125" bestFit="1" customWidth="1"/>
    <col min="445" max="445" width="20.88671875" bestFit="1" customWidth="1"/>
    <col min="446" max="446" width="17.88671875" bestFit="1" customWidth="1"/>
    <col min="447" max="447" width="23.5546875" bestFit="1" customWidth="1"/>
    <col min="448" max="448" width="31.33203125" bestFit="1" customWidth="1"/>
    <col min="449" max="449" width="32.77734375" bestFit="1" customWidth="1"/>
    <col min="450" max="450" width="23.33203125" bestFit="1" customWidth="1"/>
    <col min="451" max="451" width="26.88671875" bestFit="1" customWidth="1"/>
    <col min="452" max="452" width="16.44140625" bestFit="1" customWidth="1"/>
    <col min="453" max="453" width="17.88671875" bestFit="1" customWidth="1"/>
    <col min="454" max="454" width="19.21875" bestFit="1" customWidth="1"/>
    <col min="455" max="455" width="23.5546875" bestFit="1" customWidth="1"/>
    <col min="456" max="456" width="28.6640625" bestFit="1" customWidth="1"/>
    <col min="457" max="457" width="14.21875" bestFit="1" customWidth="1"/>
    <col min="458" max="458" width="20.77734375" bestFit="1" customWidth="1"/>
    <col min="459" max="459" width="13.77734375" bestFit="1" customWidth="1"/>
    <col min="460" max="460" width="16.44140625" bestFit="1" customWidth="1"/>
    <col min="461" max="462" width="19.21875" bestFit="1" customWidth="1"/>
    <col min="463" max="463" width="18.77734375" bestFit="1" customWidth="1"/>
    <col min="464" max="464" width="21.77734375" bestFit="1" customWidth="1"/>
    <col min="465" max="465" width="35.44140625" bestFit="1" customWidth="1"/>
    <col min="466" max="466" width="21.88671875" bestFit="1" customWidth="1"/>
    <col min="467" max="467" width="32.88671875" bestFit="1" customWidth="1"/>
    <col min="468" max="468" width="16.77734375" bestFit="1" customWidth="1"/>
    <col min="469" max="469" width="19.33203125" bestFit="1" customWidth="1"/>
    <col min="470" max="470" width="28.21875" bestFit="1" customWidth="1"/>
    <col min="471" max="471" width="37.109375" bestFit="1" customWidth="1"/>
    <col min="472" max="472" width="35.44140625" bestFit="1" customWidth="1"/>
    <col min="473" max="473" width="31.5546875" bestFit="1" customWidth="1"/>
    <col min="474" max="474" width="17.44140625" bestFit="1" customWidth="1"/>
    <col min="475" max="475" width="11.77734375" bestFit="1" customWidth="1"/>
    <col min="476" max="476" width="17.88671875" bestFit="1" customWidth="1"/>
    <col min="477" max="477" width="11.77734375" bestFit="1" customWidth="1"/>
    <col min="478" max="479" width="20.77734375" bestFit="1" customWidth="1"/>
    <col min="480" max="480" width="16.44140625" bestFit="1" customWidth="1"/>
    <col min="481" max="481" width="17.109375" bestFit="1" customWidth="1"/>
    <col min="482" max="482" width="22.77734375" bestFit="1" customWidth="1"/>
    <col min="483" max="483" width="19.21875" bestFit="1" customWidth="1"/>
    <col min="484" max="484" width="17.88671875" bestFit="1" customWidth="1"/>
    <col min="485" max="485" width="23.5546875" bestFit="1" customWidth="1"/>
    <col min="486" max="486" width="22.77734375" bestFit="1" customWidth="1"/>
    <col min="487" max="487" width="22.33203125" bestFit="1" customWidth="1"/>
    <col min="488" max="488" width="27.109375" bestFit="1" customWidth="1"/>
    <col min="489" max="489" width="31.21875" bestFit="1" customWidth="1"/>
    <col min="490" max="490" width="23.109375" bestFit="1" customWidth="1"/>
    <col min="491" max="491" width="20.77734375" bestFit="1" customWidth="1"/>
    <col min="492" max="492" width="25.6640625" bestFit="1" customWidth="1"/>
    <col min="493" max="493" width="20.109375" bestFit="1" customWidth="1"/>
    <col min="494" max="495" width="16.44140625" bestFit="1" customWidth="1"/>
    <col min="496" max="496" width="13.109375" bestFit="1" customWidth="1"/>
    <col min="497" max="497" width="14.21875" bestFit="1" customWidth="1"/>
    <col min="498" max="498" width="24.6640625" bestFit="1" customWidth="1"/>
    <col min="499" max="499" width="19.21875" bestFit="1" customWidth="1"/>
    <col min="500" max="500" width="20.77734375" bestFit="1" customWidth="1"/>
    <col min="501" max="501" width="29.77734375" bestFit="1" customWidth="1"/>
    <col min="502" max="502" width="20.109375" bestFit="1" customWidth="1"/>
    <col min="503" max="503" width="20" bestFit="1" customWidth="1"/>
    <col min="504" max="504" width="18.44140625" bestFit="1" customWidth="1"/>
    <col min="505" max="505" width="20.77734375" bestFit="1" customWidth="1"/>
    <col min="506" max="506" width="11.77734375" bestFit="1" customWidth="1"/>
    <col min="507" max="507" width="22.44140625" bestFit="1" customWidth="1"/>
    <col min="508" max="508" width="20.77734375" bestFit="1" customWidth="1"/>
    <col min="509" max="509" width="17.44140625" bestFit="1" customWidth="1"/>
    <col min="510" max="510" width="11.77734375" bestFit="1" customWidth="1"/>
    <col min="511" max="511" width="20.77734375" bestFit="1" customWidth="1"/>
    <col min="512" max="512" width="30.21875" bestFit="1" customWidth="1"/>
    <col min="513" max="513" width="20.77734375" bestFit="1" customWidth="1"/>
    <col min="514" max="514" width="17.77734375" bestFit="1" customWidth="1"/>
    <col min="515" max="515" width="15" bestFit="1" customWidth="1"/>
    <col min="516" max="516" width="18.44140625" bestFit="1" customWidth="1"/>
    <col min="517" max="517" width="19.33203125" bestFit="1" customWidth="1"/>
    <col min="518" max="518" width="26.88671875" bestFit="1" customWidth="1"/>
    <col min="519" max="519" width="17.6640625" bestFit="1" customWidth="1"/>
    <col min="520" max="520" width="17.88671875" bestFit="1" customWidth="1"/>
    <col min="521" max="521" width="27.33203125" bestFit="1" customWidth="1"/>
    <col min="522" max="522" width="17.44140625" bestFit="1" customWidth="1"/>
    <col min="523" max="523" width="16.33203125" bestFit="1" customWidth="1"/>
    <col min="524" max="524" width="20.77734375" bestFit="1" customWidth="1"/>
    <col min="525" max="525" width="17.88671875" bestFit="1" customWidth="1"/>
    <col min="526" max="526" width="16" bestFit="1" customWidth="1"/>
    <col min="527" max="527" width="35.6640625" bestFit="1" customWidth="1"/>
    <col min="528" max="528" width="23.109375" bestFit="1" customWidth="1"/>
    <col min="529" max="529" width="26.88671875" bestFit="1" customWidth="1"/>
    <col min="530" max="530" width="20.77734375" bestFit="1" customWidth="1"/>
    <col min="531" max="532" width="17.88671875" bestFit="1" customWidth="1"/>
    <col min="533" max="533" width="25.21875" bestFit="1" customWidth="1"/>
    <col min="534" max="534" width="17.77734375" bestFit="1" customWidth="1"/>
    <col min="535" max="535" width="20.109375" bestFit="1" customWidth="1"/>
    <col min="536" max="536" width="24.5546875" bestFit="1" customWidth="1"/>
    <col min="537" max="537" width="19.33203125" bestFit="1" customWidth="1"/>
    <col min="538" max="538" width="26.6640625" bestFit="1" customWidth="1"/>
    <col min="539" max="539" width="17.88671875" bestFit="1" customWidth="1"/>
    <col min="540" max="540" width="17.77734375" bestFit="1" customWidth="1"/>
    <col min="541" max="541" width="20.109375" bestFit="1" customWidth="1"/>
    <col min="542" max="542" width="14.33203125" bestFit="1" customWidth="1"/>
    <col min="543" max="543" width="21.21875" bestFit="1" customWidth="1"/>
    <col min="544" max="544" width="20.77734375" bestFit="1" customWidth="1"/>
    <col min="545" max="545" width="17.88671875" bestFit="1" customWidth="1"/>
    <col min="546" max="546" width="27.33203125" bestFit="1" customWidth="1"/>
    <col min="547" max="547" width="19.33203125" bestFit="1" customWidth="1"/>
    <col min="548" max="548" width="24.33203125" bestFit="1" customWidth="1"/>
    <col min="549" max="549" width="17.88671875" bestFit="1" customWidth="1"/>
    <col min="550" max="550" width="22.77734375" bestFit="1" customWidth="1"/>
    <col min="551" max="551" width="22.6640625" bestFit="1" customWidth="1"/>
    <col min="552" max="552" width="19.33203125" bestFit="1" customWidth="1"/>
    <col min="553" max="553" width="33.6640625" bestFit="1" customWidth="1"/>
    <col min="554" max="554" width="16.77734375" bestFit="1" customWidth="1"/>
    <col min="555" max="555" width="44.77734375" bestFit="1" customWidth="1"/>
    <col min="556" max="556" width="19.44140625" bestFit="1" customWidth="1"/>
    <col min="557" max="557" width="17.88671875" bestFit="1" customWidth="1"/>
    <col min="558" max="558" width="17.21875" bestFit="1" customWidth="1"/>
    <col min="559" max="559" width="16.5546875" bestFit="1" customWidth="1"/>
    <col min="560" max="560" width="15.5546875" bestFit="1" customWidth="1"/>
    <col min="561" max="561" width="19.109375" bestFit="1" customWidth="1"/>
    <col min="562" max="562" width="17.88671875" bestFit="1" customWidth="1"/>
    <col min="563" max="563" width="13.6640625" bestFit="1" customWidth="1"/>
    <col min="564" max="564" width="27.6640625" bestFit="1" customWidth="1"/>
    <col min="565" max="565" width="14.21875" bestFit="1" customWidth="1"/>
    <col min="566" max="566" width="27.33203125" bestFit="1" customWidth="1"/>
    <col min="567" max="567" width="22.88671875" bestFit="1" customWidth="1"/>
    <col min="568" max="568" width="17.77734375" bestFit="1" customWidth="1"/>
    <col min="569" max="569" width="19.21875" bestFit="1" customWidth="1"/>
    <col min="570" max="570" width="17.21875" bestFit="1" customWidth="1"/>
    <col min="571" max="571" width="18.5546875" bestFit="1" customWidth="1"/>
    <col min="572" max="572" width="19.33203125" bestFit="1" customWidth="1"/>
    <col min="573" max="573" width="28.5546875" bestFit="1" customWidth="1"/>
    <col min="574" max="574" width="17.6640625" bestFit="1" customWidth="1"/>
    <col min="575" max="575" width="17.21875" bestFit="1" customWidth="1"/>
    <col min="576" max="576" width="19.33203125" bestFit="1" customWidth="1"/>
    <col min="577" max="577" width="15" bestFit="1" customWidth="1"/>
    <col min="578" max="578" width="22.88671875" bestFit="1" customWidth="1"/>
    <col min="579" max="579" width="17.21875" bestFit="1" customWidth="1"/>
    <col min="580" max="580" width="19.6640625" bestFit="1" customWidth="1"/>
    <col min="581" max="581" width="17.77734375" bestFit="1" customWidth="1"/>
    <col min="582" max="582" width="25.77734375" bestFit="1" customWidth="1"/>
    <col min="583" max="583" width="27.33203125" bestFit="1" customWidth="1"/>
    <col min="584" max="584" width="16.77734375" bestFit="1" customWidth="1"/>
    <col min="585" max="585" width="17.77734375" bestFit="1" customWidth="1"/>
    <col min="586" max="586" width="21.21875" bestFit="1" customWidth="1"/>
    <col min="587" max="587" width="15.77734375" bestFit="1" customWidth="1"/>
    <col min="588" max="588" width="17.88671875" bestFit="1" customWidth="1"/>
    <col min="589" max="589" width="22.6640625" bestFit="1" customWidth="1"/>
    <col min="590" max="590" width="13.109375" bestFit="1" customWidth="1"/>
    <col min="591" max="591" width="23.21875" bestFit="1" customWidth="1"/>
    <col min="592" max="592" width="13.77734375" bestFit="1" customWidth="1"/>
    <col min="593" max="593" width="40.5546875" bestFit="1" customWidth="1"/>
    <col min="594" max="594" width="17.77734375" bestFit="1" customWidth="1"/>
    <col min="595" max="595" width="13.5546875" bestFit="1" customWidth="1"/>
    <col min="596" max="596" width="19.77734375" bestFit="1" customWidth="1"/>
    <col min="597" max="598" width="17.21875" bestFit="1" customWidth="1"/>
    <col min="599" max="599" width="20.88671875" bestFit="1" customWidth="1"/>
    <col min="600" max="600" width="20.21875" bestFit="1" customWidth="1"/>
    <col min="601" max="601" width="21.77734375" bestFit="1" customWidth="1"/>
    <col min="602" max="602" width="17.77734375" bestFit="1" customWidth="1"/>
    <col min="603" max="603" width="20.88671875" bestFit="1" customWidth="1"/>
    <col min="604" max="604" width="17.21875" bestFit="1" customWidth="1"/>
    <col min="605" max="605" width="11.77734375" bestFit="1" customWidth="1"/>
    <col min="606" max="606" width="18.77734375" bestFit="1" customWidth="1"/>
    <col min="607" max="607" width="23.21875" bestFit="1" customWidth="1"/>
    <col min="608" max="608" width="19.88671875" bestFit="1" customWidth="1"/>
    <col min="609" max="609" width="22.21875" bestFit="1" customWidth="1"/>
    <col min="610" max="610" width="15.33203125" bestFit="1" customWidth="1"/>
    <col min="611" max="611" width="19.33203125" bestFit="1" customWidth="1"/>
    <col min="612" max="612" width="13.21875" bestFit="1" customWidth="1"/>
    <col min="613" max="613" width="15" bestFit="1" customWidth="1"/>
    <col min="614" max="614" width="18.109375" bestFit="1" customWidth="1"/>
    <col min="615" max="615" width="19.33203125" bestFit="1" customWidth="1"/>
    <col min="616" max="616" width="19.109375" bestFit="1" customWidth="1"/>
    <col min="617" max="617" width="23.21875" bestFit="1" customWidth="1"/>
    <col min="618" max="618" width="19.33203125" bestFit="1" customWidth="1"/>
    <col min="619" max="619" width="15.77734375" bestFit="1" customWidth="1"/>
    <col min="620" max="620" width="16.77734375" bestFit="1" customWidth="1"/>
    <col min="621" max="621" width="17.21875" bestFit="1" customWidth="1"/>
    <col min="622" max="622" width="18.5546875" bestFit="1" customWidth="1"/>
    <col min="623" max="623" width="19.109375" bestFit="1" customWidth="1"/>
    <col min="624" max="624" width="27.33203125" bestFit="1" customWidth="1"/>
    <col min="625" max="625" width="23.21875" bestFit="1" customWidth="1"/>
    <col min="626" max="626" width="12.109375" bestFit="1" customWidth="1"/>
    <col min="627" max="627" width="19.109375" bestFit="1" customWidth="1"/>
    <col min="628" max="628" width="17.21875" bestFit="1" customWidth="1"/>
    <col min="629" max="629" width="13.21875" bestFit="1" customWidth="1"/>
    <col min="630" max="630" width="24.21875" bestFit="1" customWidth="1"/>
    <col min="631" max="631" width="15.33203125" bestFit="1" customWidth="1"/>
    <col min="632" max="632" width="17.21875" bestFit="1" customWidth="1"/>
    <col min="633" max="633" width="20.21875" bestFit="1" customWidth="1"/>
    <col min="634" max="634" width="11.77734375" bestFit="1" customWidth="1"/>
    <col min="635" max="635" width="12.5546875" bestFit="1" customWidth="1"/>
    <col min="636" max="636" width="17.77734375" bestFit="1" customWidth="1"/>
    <col min="637" max="637" width="15" bestFit="1" customWidth="1"/>
    <col min="638" max="638" width="15.77734375" bestFit="1" customWidth="1"/>
    <col min="639" max="639" width="17.21875" bestFit="1" customWidth="1"/>
    <col min="640" max="640" width="21.44140625" bestFit="1" customWidth="1"/>
    <col min="641" max="641" width="19.109375" bestFit="1" customWidth="1"/>
    <col min="642" max="642" width="21.77734375" bestFit="1" customWidth="1"/>
    <col min="643" max="643" width="16.5546875" bestFit="1" customWidth="1"/>
    <col min="644" max="644" width="16.21875" bestFit="1" customWidth="1"/>
    <col min="645" max="645" width="26.88671875" bestFit="1" customWidth="1"/>
    <col min="646" max="646" width="15.33203125" bestFit="1" customWidth="1"/>
    <col min="647" max="647" width="18.44140625" bestFit="1" customWidth="1"/>
    <col min="648" max="648" width="16" bestFit="1" customWidth="1"/>
    <col min="649" max="649" width="15.6640625" bestFit="1" customWidth="1"/>
    <col min="650" max="650" width="16.77734375" bestFit="1" customWidth="1"/>
    <col min="651" max="651" width="17.21875" bestFit="1" customWidth="1"/>
    <col min="652" max="652" width="29.77734375" bestFit="1" customWidth="1"/>
    <col min="653" max="653" width="24.109375" bestFit="1" customWidth="1"/>
    <col min="654" max="654" width="15.6640625" bestFit="1" customWidth="1"/>
    <col min="655" max="655" width="16.21875" bestFit="1" customWidth="1"/>
    <col min="656" max="656" width="14.77734375" bestFit="1" customWidth="1"/>
    <col min="657" max="657" width="20.109375" bestFit="1" customWidth="1"/>
    <col min="658" max="658" width="29.77734375" bestFit="1" customWidth="1"/>
    <col min="659" max="659" width="18.21875" bestFit="1" customWidth="1"/>
    <col min="660" max="660" width="11.77734375" bestFit="1" customWidth="1"/>
    <col min="661" max="661" width="16" bestFit="1" customWidth="1"/>
    <col min="662" max="662" width="14.5546875" bestFit="1" customWidth="1"/>
    <col min="663" max="663" width="20.109375" bestFit="1" customWidth="1"/>
    <col min="664" max="665" width="15" bestFit="1" customWidth="1"/>
    <col min="666" max="666" width="19.109375" bestFit="1" customWidth="1"/>
    <col min="667" max="668" width="15.6640625" bestFit="1" customWidth="1"/>
    <col min="669" max="669" width="28.5546875" bestFit="1" customWidth="1"/>
    <col min="670" max="670" width="19.109375" bestFit="1" customWidth="1"/>
    <col min="671" max="671" width="15.77734375" bestFit="1" customWidth="1"/>
    <col min="672" max="672" width="19.109375" bestFit="1" customWidth="1"/>
    <col min="673" max="673" width="18.88671875" bestFit="1" customWidth="1"/>
    <col min="674" max="674" width="17.33203125" bestFit="1" customWidth="1"/>
    <col min="675" max="675" width="15.6640625" bestFit="1" customWidth="1"/>
    <col min="676" max="676" width="18.44140625" bestFit="1" customWidth="1"/>
    <col min="677" max="677" width="15.6640625" bestFit="1" customWidth="1"/>
    <col min="678" max="678" width="17.21875" bestFit="1" customWidth="1"/>
    <col min="679" max="679" width="15.6640625" bestFit="1" customWidth="1"/>
    <col min="680" max="680" width="19.109375" bestFit="1" customWidth="1"/>
    <col min="681" max="681" width="15.109375" bestFit="1" customWidth="1"/>
    <col min="682" max="682" width="17.6640625" bestFit="1" customWidth="1"/>
    <col min="683" max="683" width="19.109375" bestFit="1" customWidth="1"/>
    <col min="684" max="684" width="18.44140625" bestFit="1" customWidth="1"/>
    <col min="685" max="685" width="21.44140625" bestFit="1" customWidth="1"/>
    <col min="686" max="686" width="19.109375" bestFit="1" customWidth="1"/>
    <col min="687" max="687" width="11.77734375" bestFit="1" customWidth="1"/>
    <col min="688" max="688" width="28.77734375" bestFit="1" customWidth="1"/>
    <col min="689" max="690" width="20.109375" bestFit="1" customWidth="1"/>
    <col min="691" max="691" width="17.21875" bestFit="1" customWidth="1"/>
    <col min="692" max="692" width="15.6640625" bestFit="1" customWidth="1"/>
    <col min="693" max="693" width="17.6640625" bestFit="1" customWidth="1"/>
    <col min="694" max="694" width="31" bestFit="1" customWidth="1"/>
    <col min="695" max="695" width="15.5546875" bestFit="1" customWidth="1"/>
    <col min="696" max="696" width="15.77734375" bestFit="1" customWidth="1"/>
    <col min="697" max="697" width="20.109375" bestFit="1" customWidth="1"/>
    <col min="698" max="698" width="17.88671875" bestFit="1" customWidth="1"/>
    <col min="699" max="699" width="17.21875" bestFit="1" customWidth="1"/>
    <col min="700" max="700" width="19.109375" bestFit="1" customWidth="1"/>
    <col min="701" max="701" width="17.6640625" bestFit="1" customWidth="1"/>
    <col min="702" max="702" width="12.21875" bestFit="1" customWidth="1"/>
    <col min="703" max="704" width="19.109375" bestFit="1" customWidth="1"/>
    <col min="705" max="705" width="20.21875" bestFit="1" customWidth="1"/>
    <col min="706" max="706" width="20.6640625" bestFit="1" customWidth="1"/>
    <col min="707" max="707" width="20.21875" bestFit="1" customWidth="1"/>
    <col min="708" max="708" width="17.33203125" bestFit="1" customWidth="1"/>
    <col min="709" max="709" width="16.77734375" bestFit="1" customWidth="1"/>
    <col min="710" max="710" width="19.109375" bestFit="1" customWidth="1"/>
    <col min="711" max="711" width="18.77734375" bestFit="1" customWidth="1"/>
    <col min="712" max="712" width="21.33203125" bestFit="1" customWidth="1"/>
    <col min="713" max="713" width="29.21875" bestFit="1" customWidth="1"/>
    <col min="714" max="714" width="20.21875" bestFit="1" customWidth="1"/>
    <col min="715" max="715" width="26.6640625" bestFit="1" customWidth="1"/>
    <col min="716" max="716" width="15" bestFit="1" customWidth="1"/>
    <col min="717" max="717" width="20.21875" bestFit="1" customWidth="1"/>
    <col min="718" max="718" width="18.21875" bestFit="1" customWidth="1"/>
    <col min="719" max="719" width="28.77734375" bestFit="1" customWidth="1"/>
    <col min="720" max="720" width="25.77734375" bestFit="1" customWidth="1"/>
    <col min="721" max="721" width="29.88671875" bestFit="1" customWidth="1"/>
    <col min="722" max="722" width="16.109375" bestFit="1" customWidth="1"/>
    <col min="723" max="723" width="18.33203125" bestFit="1" customWidth="1"/>
    <col min="724" max="724" width="19.5546875" bestFit="1" customWidth="1"/>
    <col min="725" max="725" width="12.109375" bestFit="1" customWidth="1"/>
    <col min="726" max="726" width="19.109375" bestFit="1" customWidth="1"/>
    <col min="727" max="727" width="20.21875" bestFit="1" customWidth="1"/>
    <col min="728" max="728" width="19.109375" bestFit="1" customWidth="1"/>
    <col min="729" max="729" width="20.21875" bestFit="1" customWidth="1"/>
    <col min="730" max="730" width="28.77734375" bestFit="1" customWidth="1"/>
    <col min="731" max="731" width="15" bestFit="1" customWidth="1"/>
    <col min="732" max="732" width="14.88671875" bestFit="1" customWidth="1"/>
    <col min="733" max="733" width="17.21875" bestFit="1" customWidth="1"/>
    <col min="734" max="734" width="25.88671875" bestFit="1" customWidth="1"/>
    <col min="735" max="735" width="23" bestFit="1" customWidth="1"/>
    <col min="736" max="736" width="33.6640625" bestFit="1" customWidth="1"/>
    <col min="737" max="737" width="26.88671875" bestFit="1" customWidth="1"/>
    <col min="738" max="738" width="15" bestFit="1" customWidth="1"/>
    <col min="739" max="739" width="19.109375" bestFit="1" customWidth="1"/>
    <col min="740" max="740" width="21.21875" bestFit="1" customWidth="1"/>
    <col min="741" max="741" width="16.5546875" bestFit="1" customWidth="1"/>
    <col min="742" max="742" width="20.21875" bestFit="1" customWidth="1"/>
    <col min="743" max="743" width="17.88671875" bestFit="1" customWidth="1"/>
    <col min="744" max="744" width="25.88671875" bestFit="1" customWidth="1"/>
    <col min="745" max="745" width="15" bestFit="1" customWidth="1"/>
    <col min="746" max="746" width="18.88671875" bestFit="1" customWidth="1"/>
    <col min="747" max="747" width="17.21875" bestFit="1" customWidth="1"/>
    <col min="748" max="748" width="17.88671875" bestFit="1" customWidth="1"/>
    <col min="749" max="749" width="22.88671875" bestFit="1" customWidth="1"/>
    <col min="750" max="750" width="20.21875" bestFit="1" customWidth="1"/>
    <col min="751" max="751" width="17.88671875" bestFit="1" customWidth="1"/>
    <col min="752" max="752" width="22.33203125" bestFit="1" customWidth="1"/>
    <col min="753" max="753" width="16.33203125" bestFit="1" customWidth="1"/>
    <col min="754" max="754" width="18.77734375" bestFit="1" customWidth="1"/>
    <col min="755" max="755" width="17.88671875" bestFit="1" customWidth="1"/>
    <col min="756" max="757" width="20.21875" bestFit="1" customWidth="1"/>
    <col min="758" max="758" width="15.77734375" bestFit="1" customWidth="1"/>
    <col min="759" max="759" width="20.77734375" bestFit="1" customWidth="1"/>
    <col min="760" max="760" width="19.109375" bestFit="1" customWidth="1"/>
    <col min="761" max="761" width="28.5546875" bestFit="1" customWidth="1"/>
    <col min="762" max="762" width="18.33203125" bestFit="1" customWidth="1"/>
    <col min="763" max="763" width="25.88671875" bestFit="1" customWidth="1"/>
    <col min="764" max="764" width="20.21875" bestFit="1" customWidth="1"/>
    <col min="765" max="765" width="29.77734375" bestFit="1" customWidth="1"/>
    <col min="766" max="766" width="20.21875" bestFit="1" customWidth="1"/>
    <col min="767" max="768" width="15.6640625" bestFit="1" customWidth="1"/>
    <col min="769" max="769" width="26.5546875" bestFit="1" customWidth="1"/>
    <col min="770" max="770" width="28.5546875" bestFit="1" customWidth="1"/>
    <col min="771" max="771" width="26.21875" bestFit="1" customWidth="1"/>
    <col min="772" max="772" width="19.33203125" bestFit="1" customWidth="1"/>
    <col min="773" max="773" width="11.77734375" bestFit="1" customWidth="1"/>
    <col min="774" max="774" width="20.6640625" bestFit="1" customWidth="1"/>
    <col min="775" max="775" width="23.5546875" bestFit="1" customWidth="1"/>
    <col min="776" max="776" width="20.77734375" bestFit="1" customWidth="1"/>
    <col min="777" max="777" width="30.44140625" bestFit="1" customWidth="1"/>
    <col min="778" max="778" width="33.88671875" bestFit="1" customWidth="1"/>
    <col min="779" max="779" width="19.5546875" bestFit="1" customWidth="1"/>
    <col min="780" max="780" width="23.109375" bestFit="1" customWidth="1"/>
    <col min="781" max="781" width="20.77734375" bestFit="1" customWidth="1"/>
    <col min="782" max="783" width="17.88671875" bestFit="1" customWidth="1"/>
    <col min="784" max="784" width="32" bestFit="1" customWidth="1"/>
    <col min="785" max="785" width="23.5546875" bestFit="1" customWidth="1"/>
    <col min="786" max="786" width="19.21875" bestFit="1" customWidth="1"/>
    <col min="787" max="787" width="15.77734375" bestFit="1" customWidth="1"/>
    <col min="788" max="789" width="19.21875" bestFit="1" customWidth="1"/>
    <col min="790" max="790" width="17.88671875" bestFit="1" customWidth="1"/>
    <col min="791" max="791" width="23" bestFit="1" customWidth="1"/>
    <col min="792" max="792" width="26.77734375" bestFit="1" customWidth="1"/>
    <col min="793" max="793" width="27" bestFit="1" customWidth="1"/>
    <col min="794" max="794" width="20.21875" bestFit="1" customWidth="1"/>
    <col min="795" max="795" width="20.109375" bestFit="1" customWidth="1"/>
    <col min="796" max="796" width="18.33203125" bestFit="1" customWidth="1"/>
    <col min="797" max="797" width="19.109375" bestFit="1" customWidth="1"/>
    <col min="798" max="798" width="17.77734375" bestFit="1" customWidth="1"/>
    <col min="799" max="799" width="26.6640625" bestFit="1" customWidth="1"/>
    <col min="800" max="800" width="19.33203125" bestFit="1" customWidth="1"/>
    <col min="801" max="801" width="12.6640625" bestFit="1" customWidth="1"/>
    <col min="802" max="802" width="20.21875" bestFit="1" customWidth="1"/>
    <col min="803" max="803" width="15.6640625" bestFit="1" customWidth="1"/>
    <col min="804" max="804" width="17.109375" bestFit="1" customWidth="1"/>
    <col min="805" max="805" width="16.33203125" bestFit="1" customWidth="1"/>
    <col min="806" max="806" width="17.109375" bestFit="1" customWidth="1"/>
    <col min="807" max="807" width="20.77734375" bestFit="1" customWidth="1"/>
    <col min="808" max="808" width="37.44140625" bestFit="1" customWidth="1"/>
    <col min="809" max="809" width="15.33203125" bestFit="1" customWidth="1"/>
    <col min="810" max="811" width="16.44140625" bestFit="1" customWidth="1"/>
    <col min="812" max="812" width="19.21875" bestFit="1" customWidth="1"/>
    <col min="813" max="813" width="19.77734375" bestFit="1" customWidth="1"/>
    <col min="814" max="814" width="16.44140625" bestFit="1" customWidth="1"/>
    <col min="815" max="815" width="13.77734375" bestFit="1" customWidth="1"/>
    <col min="816" max="816" width="15" bestFit="1" customWidth="1"/>
    <col min="817" max="817" width="17.21875" bestFit="1" customWidth="1"/>
    <col min="818" max="818" width="19.21875" bestFit="1" customWidth="1"/>
    <col min="819" max="819" width="43" bestFit="1" customWidth="1"/>
    <col min="820" max="820" width="21.77734375" bestFit="1" customWidth="1"/>
    <col min="821" max="821" width="19.21875" bestFit="1" customWidth="1"/>
    <col min="822" max="822" width="13.44140625" bestFit="1" customWidth="1"/>
    <col min="823" max="823" width="14.21875" bestFit="1" customWidth="1"/>
    <col min="824" max="824" width="17.6640625" bestFit="1" customWidth="1"/>
    <col min="825" max="825" width="20.77734375" bestFit="1" customWidth="1"/>
    <col min="826" max="826" width="31.77734375" bestFit="1" customWidth="1"/>
    <col min="827" max="827" width="12.21875" bestFit="1" customWidth="1"/>
    <col min="828" max="828" width="19.109375" bestFit="1" customWidth="1"/>
    <col min="829" max="829" width="13.88671875" bestFit="1" customWidth="1"/>
    <col min="830" max="830" width="15.77734375" bestFit="1" customWidth="1"/>
    <col min="831" max="831" width="17.88671875" bestFit="1" customWidth="1"/>
    <col min="832" max="832" width="15.77734375" bestFit="1" customWidth="1"/>
    <col min="833" max="833" width="16.44140625" bestFit="1" customWidth="1"/>
    <col min="834" max="834" width="15.21875" bestFit="1" customWidth="1"/>
    <col min="835" max="835" width="17.21875" bestFit="1" customWidth="1"/>
    <col min="836" max="836" width="12.77734375" bestFit="1" customWidth="1"/>
    <col min="837" max="837" width="14.88671875" bestFit="1" customWidth="1"/>
    <col min="838" max="838" width="19.77734375" bestFit="1" customWidth="1"/>
    <col min="839" max="839" width="20.77734375" bestFit="1" customWidth="1"/>
    <col min="840" max="840" width="18.33203125" bestFit="1" customWidth="1"/>
    <col min="841" max="841" width="19.109375" bestFit="1" customWidth="1"/>
    <col min="842" max="842" width="17.6640625" bestFit="1" customWidth="1"/>
    <col min="843" max="843" width="14" bestFit="1" customWidth="1"/>
    <col min="844" max="844" width="27.33203125" bestFit="1" customWidth="1"/>
    <col min="845" max="845" width="15.33203125" bestFit="1" customWidth="1"/>
    <col min="846" max="846" width="15.6640625" bestFit="1" customWidth="1"/>
    <col min="847" max="847" width="14.21875" bestFit="1" customWidth="1"/>
    <col min="848" max="848" width="17.21875" bestFit="1" customWidth="1"/>
    <col min="849" max="850" width="14.21875" bestFit="1" customWidth="1"/>
    <col min="851" max="851" width="26.88671875" bestFit="1" customWidth="1"/>
    <col min="852" max="852" width="12.44140625" bestFit="1" customWidth="1"/>
    <col min="853" max="853" width="19.44140625" bestFit="1" customWidth="1"/>
    <col min="854" max="855" width="26.88671875" bestFit="1" customWidth="1"/>
    <col min="856" max="856" width="18.21875" bestFit="1" customWidth="1"/>
    <col min="857" max="857" width="19.33203125" bestFit="1" customWidth="1"/>
    <col min="858" max="858" width="17.88671875" bestFit="1" customWidth="1"/>
    <col min="859" max="859" width="16.44140625" bestFit="1" customWidth="1"/>
    <col min="860" max="860" width="19.21875" bestFit="1" customWidth="1"/>
    <col min="861" max="861" width="15.77734375" bestFit="1" customWidth="1"/>
    <col min="862" max="862" width="25.21875" bestFit="1" customWidth="1"/>
    <col min="863" max="863" width="25.77734375" bestFit="1" customWidth="1"/>
    <col min="864" max="864" width="26.77734375" bestFit="1" customWidth="1"/>
    <col min="865" max="865" width="22" bestFit="1" customWidth="1"/>
    <col min="866" max="866" width="15.5546875" bestFit="1" customWidth="1"/>
    <col min="867" max="867" width="17.6640625" bestFit="1" customWidth="1"/>
    <col min="868" max="868" width="14.5546875" bestFit="1" customWidth="1"/>
    <col min="869" max="869" width="15.6640625" bestFit="1" customWidth="1"/>
    <col min="870" max="870" width="19.33203125" bestFit="1" customWidth="1"/>
    <col min="871" max="871" width="14.5546875" bestFit="1" customWidth="1"/>
    <col min="872" max="872" width="21.109375" bestFit="1" customWidth="1"/>
    <col min="873" max="875" width="19.33203125" bestFit="1" customWidth="1"/>
    <col min="876" max="876" width="29.5546875" bestFit="1" customWidth="1"/>
    <col min="877" max="877" width="17.88671875" bestFit="1" customWidth="1"/>
    <col min="878" max="878" width="16.44140625" bestFit="1" customWidth="1"/>
    <col min="879" max="879" width="17.109375" bestFit="1" customWidth="1"/>
    <col min="880" max="880" width="17.77734375" bestFit="1" customWidth="1"/>
    <col min="881" max="881" width="27.33203125" bestFit="1" customWidth="1"/>
    <col min="882" max="882" width="15" bestFit="1" customWidth="1"/>
    <col min="883" max="883" width="14.21875" bestFit="1" customWidth="1"/>
    <col min="884" max="884" width="22.77734375" bestFit="1" customWidth="1"/>
    <col min="885" max="885" width="17.44140625" bestFit="1" customWidth="1"/>
    <col min="886" max="886" width="15.5546875" bestFit="1" customWidth="1"/>
    <col min="887" max="887" width="15.77734375" bestFit="1" customWidth="1"/>
    <col min="888" max="888" width="13.33203125" bestFit="1" customWidth="1"/>
    <col min="889" max="889" width="22.5546875" bestFit="1" customWidth="1"/>
    <col min="890" max="891" width="16.6640625" bestFit="1" customWidth="1"/>
    <col min="892" max="892" width="15.109375" bestFit="1" customWidth="1"/>
    <col min="893" max="893" width="16.109375" bestFit="1" customWidth="1"/>
    <col min="894" max="894" width="28.77734375" bestFit="1" customWidth="1"/>
    <col min="895" max="895" width="13.6640625" bestFit="1" customWidth="1"/>
    <col min="896" max="898" width="20.109375" bestFit="1" customWidth="1"/>
    <col min="899" max="899" width="20.21875" bestFit="1" customWidth="1"/>
    <col min="900" max="900" width="21.109375" bestFit="1" customWidth="1"/>
    <col min="901" max="905" width="20.109375" bestFit="1" customWidth="1"/>
    <col min="906" max="907" width="22.6640625" bestFit="1" customWidth="1"/>
    <col min="908" max="909" width="20.109375" bestFit="1" customWidth="1"/>
    <col min="910" max="910" width="19.21875" bestFit="1" customWidth="1"/>
    <col min="911" max="911" width="21.21875" bestFit="1" customWidth="1"/>
    <col min="912" max="912" width="17.21875" bestFit="1" customWidth="1"/>
    <col min="913" max="913" width="14.6640625" bestFit="1" customWidth="1"/>
    <col min="914" max="914" width="19.109375" bestFit="1" customWidth="1"/>
    <col min="915" max="915" width="20.21875" bestFit="1" customWidth="1"/>
    <col min="916" max="916" width="14" bestFit="1" customWidth="1"/>
    <col min="917" max="917" width="20.109375" bestFit="1" customWidth="1"/>
    <col min="918" max="918" width="16.6640625" bestFit="1" customWidth="1"/>
    <col min="919" max="921" width="13.33203125" bestFit="1" customWidth="1"/>
    <col min="922" max="922" width="21.21875" bestFit="1" customWidth="1"/>
    <col min="923" max="923" width="28.77734375" bestFit="1" customWidth="1"/>
    <col min="924" max="924" width="20" bestFit="1" customWidth="1"/>
    <col min="925" max="925" width="20.21875" bestFit="1" customWidth="1"/>
    <col min="926" max="926" width="20" bestFit="1" customWidth="1"/>
    <col min="927" max="927" width="13.88671875" bestFit="1" customWidth="1"/>
    <col min="928" max="928" width="20.21875" bestFit="1" customWidth="1"/>
    <col min="929" max="932" width="21.21875" bestFit="1" customWidth="1"/>
    <col min="933" max="933" width="18.5546875" bestFit="1" customWidth="1"/>
    <col min="934" max="934" width="15.77734375" bestFit="1" customWidth="1"/>
    <col min="935" max="935" width="19.109375" bestFit="1" customWidth="1"/>
    <col min="936" max="936" width="17.77734375" bestFit="1" customWidth="1"/>
    <col min="937" max="937" width="19.5546875" bestFit="1" customWidth="1"/>
    <col min="938" max="938" width="17.77734375" bestFit="1" customWidth="1"/>
    <col min="939" max="939" width="25.5546875" bestFit="1" customWidth="1"/>
    <col min="940" max="940" width="18.77734375" bestFit="1" customWidth="1"/>
    <col min="941" max="941" width="17.21875" bestFit="1" customWidth="1"/>
    <col min="942" max="942" width="20.21875" bestFit="1" customWidth="1"/>
    <col min="943" max="943" width="17.21875" bestFit="1" customWidth="1"/>
    <col min="944" max="944" width="22.6640625" bestFit="1" customWidth="1"/>
    <col min="945" max="945" width="11.77734375" bestFit="1" customWidth="1"/>
    <col min="946" max="946" width="22.6640625" bestFit="1" customWidth="1"/>
    <col min="947" max="947" width="17.21875" bestFit="1" customWidth="1"/>
    <col min="948" max="948" width="26.88671875" bestFit="1" customWidth="1"/>
    <col min="949" max="949" width="12.44140625" bestFit="1" customWidth="1"/>
    <col min="950" max="950" width="16.6640625" bestFit="1" customWidth="1"/>
    <col min="951" max="951" width="27.21875" bestFit="1" customWidth="1"/>
    <col min="952" max="952" width="22.6640625" bestFit="1" customWidth="1"/>
    <col min="953" max="953" width="28" bestFit="1" customWidth="1"/>
    <col min="954" max="954" width="15.77734375" bestFit="1" customWidth="1"/>
    <col min="955" max="955" width="16.21875" bestFit="1" customWidth="1"/>
    <col min="956" max="956" width="18" bestFit="1" customWidth="1"/>
    <col min="957" max="957" width="16.21875" bestFit="1" customWidth="1"/>
    <col min="958" max="958" width="18.5546875" bestFit="1" customWidth="1"/>
    <col min="959" max="959" width="27.21875" bestFit="1" customWidth="1"/>
    <col min="960" max="960" width="24.33203125" bestFit="1" customWidth="1"/>
    <col min="961" max="961" width="28.77734375" bestFit="1" customWidth="1"/>
    <col min="962" max="962" width="22.6640625" bestFit="1" customWidth="1"/>
    <col min="963" max="963" width="20.77734375" bestFit="1" customWidth="1"/>
    <col min="964" max="964" width="22.6640625" bestFit="1" customWidth="1"/>
    <col min="965" max="965" width="16.33203125" bestFit="1" customWidth="1"/>
    <col min="966" max="966" width="17.77734375" bestFit="1" customWidth="1"/>
    <col min="967" max="967" width="20.77734375" bestFit="1" customWidth="1"/>
    <col min="968" max="968" width="17.21875" bestFit="1" customWidth="1"/>
    <col min="969" max="969" width="22.6640625" bestFit="1" customWidth="1"/>
    <col min="970" max="970" width="13.109375" bestFit="1" customWidth="1"/>
    <col min="971" max="971" width="37.77734375" bestFit="1" customWidth="1"/>
    <col min="972" max="972" width="20.6640625" bestFit="1" customWidth="1"/>
    <col min="973" max="974" width="18.77734375" bestFit="1" customWidth="1"/>
    <col min="975" max="975" width="22.6640625" bestFit="1" customWidth="1"/>
    <col min="976" max="978" width="16.44140625" bestFit="1" customWidth="1"/>
    <col min="979" max="979" width="18.109375" bestFit="1" customWidth="1"/>
    <col min="980" max="980" width="24.6640625" bestFit="1" customWidth="1"/>
    <col min="981" max="982" width="20.21875" bestFit="1" customWidth="1"/>
    <col min="983" max="983" width="17.88671875" bestFit="1" customWidth="1"/>
    <col min="984" max="984" width="14.5546875" bestFit="1" customWidth="1"/>
    <col min="985" max="985" width="13.109375" bestFit="1" customWidth="1"/>
    <col min="986" max="986" width="25.77734375" bestFit="1" customWidth="1"/>
    <col min="987" max="987" width="22.6640625" bestFit="1" customWidth="1"/>
    <col min="988" max="988" width="17.44140625" bestFit="1" customWidth="1"/>
    <col min="989" max="989" width="16.44140625" bestFit="1" customWidth="1"/>
    <col min="990" max="990" width="26.88671875" bestFit="1" customWidth="1"/>
    <col min="991" max="991" width="15" bestFit="1" customWidth="1"/>
    <col min="992" max="992" width="19.77734375" bestFit="1" customWidth="1"/>
    <col min="993" max="993" width="17.88671875" bestFit="1" customWidth="1"/>
    <col min="994" max="994" width="22.33203125" bestFit="1" customWidth="1"/>
    <col min="995" max="995" width="20.33203125" bestFit="1" customWidth="1"/>
    <col min="996" max="996" width="19.77734375" bestFit="1" customWidth="1"/>
    <col min="997" max="997" width="15.77734375" bestFit="1" customWidth="1"/>
    <col min="998" max="998" width="21.6640625" bestFit="1" customWidth="1"/>
    <col min="999" max="1000" width="19.5546875" bestFit="1" customWidth="1"/>
    <col min="1001" max="1001" width="17.21875" bestFit="1" customWidth="1"/>
    <col min="1002" max="1002" width="14.6640625" bestFit="1" customWidth="1"/>
    <col min="1003" max="1003" width="23.77734375" bestFit="1" customWidth="1"/>
    <col min="1004" max="1007" width="19.5546875" bestFit="1" customWidth="1"/>
    <col min="1008" max="1008" width="20.6640625" bestFit="1" customWidth="1"/>
    <col min="1009" max="1009" width="22.77734375" bestFit="1" customWidth="1"/>
    <col min="1010" max="1010" width="15.77734375" bestFit="1" customWidth="1"/>
    <col min="1011" max="1011" width="27.33203125" bestFit="1" customWidth="1"/>
    <col min="1012" max="1012" width="19.77734375" bestFit="1" customWidth="1"/>
    <col min="1013" max="1015" width="18.109375" bestFit="1" customWidth="1"/>
    <col min="1016" max="1017" width="15.6640625" bestFit="1" customWidth="1"/>
    <col min="1018" max="1018" width="28.77734375" bestFit="1" customWidth="1"/>
    <col min="1019" max="1019" width="27.109375" bestFit="1" customWidth="1"/>
    <col min="1020" max="1021" width="20.21875" bestFit="1" customWidth="1"/>
    <col min="1022" max="1022" width="21.33203125" bestFit="1" customWidth="1"/>
    <col min="1023" max="1024" width="20.21875" bestFit="1" customWidth="1"/>
    <col min="1025" max="1025" width="23.33203125" bestFit="1" customWidth="1"/>
    <col min="1026" max="1026" width="19.21875" bestFit="1" customWidth="1"/>
    <col min="1027" max="1027" width="13.33203125" bestFit="1" customWidth="1"/>
    <col min="1028" max="1028" width="19.77734375" bestFit="1" customWidth="1"/>
    <col min="1029" max="1029" width="19.109375" bestFit="1" customWidth="1"/>
    <col min="1030" max="1030" width="15.77734375" bestFit="1" customWidth="1"/>
    <col min="1031" max="1031" width="17.6640625" bestFit="1" customWidth="1"/>
    <col min="1032" max="1032" width="22.6640625" bestFit="1" customWidth="1"/>
    <col min="1033" max="1033" width="14.5546875" bestFit="1" customWidth="1"/>
    <col min="1034" max="1034" width="22.6640625" bestFit="1" customWidth="1"/>
    <col min="1035" max="1035" width="20.6640625" bestFit="1" customWidth="1"/>
    <col min="1036" max="1036" width="14.21875" bestFit="1" customWidth="1"/>
    <col min="1037" max="1037" width="18.21875" bestFit="1" customWidth="1"/>
    <col min="1038" max="1038" width="22.77734375" bestFit="1" customWidth="1"/>
    <col min="1039" max="1039" width="19.21875" bestFit="1" customWidth="1"/>
    <col min="1040" max="1040" width="14.21875" bestFit="1" customWidth="1"/>
    <col min="1041" max="1041" width="19.21875" bestFit="1" customWidth="1"/>
    <col min="1042" max="1042" width="22.33203125" bestFit="1" customWidth="1"/>
    <col min="1043" max="1043" width="19.109375" bestFit="1" customWidth="1"/>
    <col min="1044" max="1044" width="19.5546875" bestFit="1" customWidth="1"/>
    <col min="1045" max="1045" width="27.33203125" bestFit="1" customWidth="1"/>
    <col min="1046" max="1046" width="17.88671875" bestFit="1" customWidth="1"/>
    <col min="1047" max="1047" width="23.21875" bestFit="1" customWidth="1"/>
    <col min="1048" max="1048" width="25" bestFit="1" customWidth="1"/>
    <col min="1049" max="1049" width="19.109375" bestFit="1" customWidth="1"/>
    <col min="1050" max="1050" width="15.77734375" bestFit="1" customWidth="1"/>
    <col min="1051" max="1051" width="14.21875" bestFit="1" customWidth="1"/>
    <col min="1052" max="1052" width="29.88671875" bestFit="1" customWidth="1"/>
    <col min="1053" max="1053" width="15" bestFit="1" customWidth="1"/>
    <col min="1054" max="1054" width="17.21875" bestFit="1" customWidth="1"/>
    <col min="1055" max="1055" width="31.33203125" bestFit="1" customWidth="1"/>
    <col min="1056" max="1056" width="22.6640625" bestFit="1" customWidth="1"/>
    <col min="1057" max="1057" width="20.77734375" bestFit="1" customWidth="1"/>
    <col min="1058" max="1058" width="13.21875" bestFit="1" customWidth="1"/>
    <col min="1059" max="1059" width="21.21875" bestFit="1" customWidth="1"/>
    <col min="1060" max="1061" width="17.88671875" bestFit="1" customWidth="1"/>
    <col min="1062" max="1062" width="15" bestFit="1" customWidth="1"/>
    <col min="1063" max="1063" width="20.21875" bestFit="1" customWidth="1"/>
    <col min="1064" max="1065" width="19.109375" bestFit="1" customWidth="1"/>
    <col min="1066" max="1066" width="19.77734375" bestFit="1" customWidth="1"/>
    <col min="1067" max="1067" width="21.21875" bestFit="1" customWidth="1"/>
    <col min="1068" max="1068" width="15" bestFit="1" customWidth="1"/>
    <col min="1069" max="1069" width="16.33203125" bestFit="1" customWidth="1"/>
    <col min="1070" max="1070" width="21.109375" bestFit="1" customWidth="1"/>
    <col min="1071" max="1071" width="24.6640625" bestFit="1" customWidth="1"/>
    <col min="1072" max="1072" width="17.21875" bestFit="1" customWidth="1"/>
    <col min="1073" max="1073" width="18.33203125" bestFit="1" customWidth="1"/>
    <col min="1074" max="1074" width="17.33203125" bestFit="1" customWidth="1"/>
    <col min="1075" max="1075" width="22.5546875" bestFit="1" customWidth="1"/>
    <col min="1076" max="1076" width="22.88671875" bestFit="1" customWidth="1"/>
  </cols>
  <sheetData>
    <row r="1" spans="1:1076" x14ac:dyDescent="0.3">
      <c r="A1" s="46" t="s">
        <v>0</v>
      </c>
      <c r="B1" s="44">
        <v>345</v>
      </c>
      <c r="C1" s="31">
        <v>441</v>
      </c>
      <c r="D1" s="31">
        <v>454</v>
      </c>
      <c r="E1" s="31">
        <v>1490</v>
      </c>
      <c r="F1" s="31">
        <v>1491</v>
      </c>
      <c r="G1" s="31">
        <v>1492</v>
      </c>
      <c r="H1" s="31">
        <v>1493</v>
      </c>
      <c r="I1" s="31">
        <v>1141</v>
      </c>
      <c r="J1" s="31">
        <v>357</v>
      </c>
      <c r="K1" s="31">
        <v>488</v>
      </c>
      <c r="L1" s="31">
        <v>205</v>
      </c>
      <c r="M1" s="31">
        <v>213</v>
      </c>
      <c r="N1" s="31">
        <v>226</v>
      </c>
      <c r="O1" s="31">
        <v>1138</v>
      </c>
      <c r="P1" s="31">
        <v>1229</v>
      </c>
      <c r="Q1" s="31">
        <v>1230</v>
      </c>
      <c r="R1" s="31">
        <v>1237</v>
      </c>
      <c r="S1" s="31">
        <v>1238</v>
      </c>
      <c r="T1" s="31">
        <v>1474</v>
      </c>
      <c r="U1" s="31">
        <v>72</v>
      </c>
      <c r="V1" s="31">
        <v>207</v>
      </c>
      <c r="W1" s="31">
        <v>231</v>
      </c>
      <c r="X1" s="31">
        <v>1205</v>
      </c>
      <c r="Y1" s="31">
        <v>1207</v>
      </c>
      <c r="Z1" s="31">
        <v>1220</v>
      </c>
      <c r="AA1" s="31">
        <v>1221</v>
      </c>
      <c r="AB1" s="31">
        <v>1301</v>
      </c>
      <c r="AC1" s="31">
        <v>1302</v>
      </c>
      <c r="AD1" s="31">
        <v>1303</v>
      </c>
      <c r="AE1" s="31">
        <v>1304</v>
      </c>
      <c r="AF1" s="31">
        <v>1309</v>
      </c>
      <c r="AG1" s="31">
        <v>1331</v>
      </c>
      <c r="AH1" s="31">
        <v>1365</v>
      </c>
      <c r="AI1" s="31">
        <v>223</v>
      </c>
      <c r="AJ1" s="31">
        <v>227</v>
      </c>
      <c r="AK1" s="31">
        <v>255</v>
      </c>
      <c r="AL1" s="31">
        <v>1462</v>
      </c>
      <c r="AM1" s="31">
        <v>1675</v>
      </c>
      <c r="AN1" s="31">
        <v>238</v>
      </c>
      <c r="AO1" s="31">
        <v>1167</v>
      </c>
      <c r="AP1" s="31">
        <v>1168</v>
      </c>
      <c r="AQ1" s="31">
        <v>1169</v>
      </c>
      <c r="AR1" s="31">
        <v>1170</v>
      </c>
      <c r="AS1" s="31">
        <v>1171</v>
      </c>
      <c r="AT1" s="31">
        <v>1195</v>
      </c>
      <c r="AU1" s="31">
        <v>1197</v>
      </c>
      <c r="AV1" s="31">
        <v>1209</v>
      </c>
      <c r="AW1" s="31">
        <v>1210</v>
      </c>
      <c r="AX1" s="31">
        <v>1228</v>
      </c>
      <c r="AY1" s="31">
        <v>1232</v>
      </c>
      <c r="AZ1" s="31">
        <v>1247</v>
      </c>
      <c r="BA1" s="31">
        <v>1248</v>
      </c>
      <c r="BB1" s="31">
        <v>1249</v>
      </c>
      <c r="BC1" s="31">
        <v>1250</v>
      </c>
      <c r="BD1" s="31">
        <v>1310</v>
      </c>
      <c r="BE1" s="31">
        <v>1239</v>
      </c>
      <c r="BF1" s="31">
        <v>1241</v>
      </c>
      <c r="BG1" s="31">
        <v>633</v>
      </c>
      <c r="BH1" s="31">
        <v>650</v>
      </c>
      <c r="BI1" s="31">
        <v>1377</v>
      </c>
      <c r="BJ1" s="31">
        <v>1378</v>
      </c>
      <c r="BK1" s="31">
        <v>260</v>
      </c>
      <c r="BL1" s="31">
        <v>262</v>
      </c>
      <c r="BM1" s="31">
        <v>263</v>
      </c>
      <c r="BN1" s="31">
        <v>598</v>
      </c>
      <c r="BO1" s="31">
        <v>1253</v>
      </c>
      <c r="BP1" s="31">
        <v>1269</v>
      </c>
      <c r="BQ1" s="31">
        <v>1270</v>
      </c>
      <c r="BR1" s="31">
        <v>1281</v>
      </c>
      <c r="BS1" s="31">
        <v>1287</v>
      </c>
      <c r="BT1" s="31">
        <v>1289</v>
      </c>
      <c r="BU1" s="31">
        <v>1298</v>
      </c>
      <c r="BV1" s="31">
        <v>1299</v>
      </c>
      <c r="BW1" s="31">
        <v>1359</v>
      </c>
      <c r="BX1" s="31">
        <v>3</v>
      </c>
      <c r="BY1" s="31">
        <v>59</v>
      </c>
      <c r="BZ1" s="31">
        <v>73</v>
      </c>
      <c r="CA1" s="31">
        <v>74</v>
      </c>
      <c r="CB1" s="31">
        <v>265</v>
      </c>
      <c r="CC1" s="31">
        <v>271</v>
      </c>
      <c r="CD1" s="31">
        <v>283</v>
      </c>
      <c r="CE1" s="31">
        <v>293</v>
      </c>
      <c r="CF1" s="31">
        <v>1399</v>
      </c>
      <c r="CG1" s="31">
        <v>253</v>
      </c>
      <c r="CH1" s="31">
        <v>1395</v>
      </c>
      <c r="CI1" s="31">
        <v>1322</v>
      </c>
      <c r="CJ1" s="31">
        <v>1323</v>
      </c>
      <c r="CK1" s="31">
        <v>1575</v>
      </c>
      <c r="CL1" s="31">
        <v>1579</v>
      </c>
      <c r="CM1" s="31">
        <v>1582</v>
      </c>
      <c r="CN1" s="31">
        <v>1242</v>
      </c>
      <c r="CO1" s="31">
        <v>1243</v>
      </c>
      <c r="CP1" s="31">
        <v>1245</v>
      </c>
      <c r="CQ1" s="31">
        <v>1246</v>
      </c>
      <c r="CR1" s="31">
        <v>11</v>
      </c>
      <c r="CS1" s="31">
        <v>18</v>
      </c>
      <c r="CT1" s="31">
        <v>22</v>
      </c>
      <c r="CU1" s="31">
        <v>31</v>
      </c>
      <c r="CV1" s="31">
        <v>35</v>
      </c>
      <c r="CW1" s="31">
        <v>38</v>
      </c>
      <c r="CX1" s="31">
        <v>51</v>
      </c>
      <c r="CY1" s="31">
        <v>61</v>
      </c>
      <c r="CZ1" s="31">
        <v>65</v>
      </c>
      <c r="DA1" s="31">
        <v>120</v>
      </c>
      <c r="DB1" s="31">
        <v>156</v>
      </c>
      <c r="DC1" s="31">
        <v>157</v>
      </c>
      <c r="DD1" s="31">
        <v>167</v>
      </c>
      <c r="DE1" s="31">
        <v>178</v>
      </c>
      <c r="DF1" s="31">
        <v>194</v>
      </c>
      <c r="DG1" s="31">
        <v>202</v>
      </c>
      <c r="DH1" s="31">
        <v>206</v>
      </c>
      <c r="DI1" s="31">
        <v>216</v>
      </c>
      <c r="DJ1" s="31">
        <v>219</v>
      </c>
      <c r="DK1" s="31">
        <v>220</v>
      </c>
      <c r="DL1" s="31">
        <v>221</v>
      </c>
      <c r="DM1" s="31">
        <v>222</v>
      </c>
      <c r="DN1" s="31">
        <v>228</v>
      </c>
      <c r="DO1" s="31">
        <v>233</v>
      </c>
      <c r="DP1" s="31">
        <v>236</v>
      </c>
      <c r="DQ1" s="31">
        <v>239</v>
      </c>
      <c r="DR1" s="31">
        <v>241</v>
      </c>
      <c r="DS1" s="31">
        <v>242</v>
      </c>
      <c r="DT1" s="31">
        <v>251</v>
      </c>
      <c r="DU1" s="31">
        <v>252</v>
      </c>
      <c r="DV1" s="31">
        <v>256</v>
      </c>
      <c r="DW1" s="31">
        <v>258</v>
      </c>
      <c r="DX1" s="31">
        <v>264</v>
      </c>
      <c r="DY1" s="31">
        <v>266</v>
      </c>
      <c r="DZ1" s="31">
        <v>291</v>
      </c>
      <c r="EA1" s="31">
        <v>300</v>
      </c>
      <c r="EB1" s="31">
        <v>311</v>
      </c>
      <c r="EC1" s="31">
        <v>312</v>
      </c>
      <c r="ED1" s="31">
        <v>321</v>
      </c>
      <c r="EE1" s="31">
        <v>327</v>
      </c>
      <c r="EF1" s="31">
        <v>334</v>
      </c>
      <c r="EG1" s="31">
        <v>336</v>
      </c>
      <c r="EH1" s="31">
        <v>339</v>
      </c>
      <c r="EI1" s="31">
        <v>346</v>
      </c>
      <c r="EJ1" s="31">
        <v>369</v>
      </c>
      <c r="EK1" s="31">
        <v>376</v>
      </c>
      <c r="EL1" s="31">
        <v>382</v>
      </c>
      <c r="EM1" s="31">
        <v>494</v>
      </c>
      <c r="EN1" s="31">
        <v>498</v>
      </c>
      <c r="EO1" s="31">
        <v>500</v>
      </c>
      <c r="EP1" s="31">
        <v>524</v>
      </c>
      <c r="EQ1" s="31">
        <v>531</v>
      </c>
      <c r="ER1" s="31">
        <v>544</v>
      </c>
      <c r="ES1" s="31">
        <v>548</v>
      </c>
      <c r="ET1" s="31">
        <v>588</v>
      </c>
      <c r="EU1" s="31">
        <v>589</v>
      </c>
      <c r="EV1" s="31">
        <v>609</v>
      </c>
      <c r="EW1" s="31">
        <v>614</v>
      </c>
      <c r="EX1" s="31">
        <v>615</v>
      </c>
      <c r="EY1" s="31">
        <v>639</v>
      </c>
      <c r="EZ1" s="31">
        <v>653</v>
      </c>
      <c r="FA1" s="31">
        <v>664</v>
      </c>
      <c r="FB1" s="31">
        <v>675</v>
      </c>
      <c r="FC1" s="31">
        <v>714</v>
      </c>
      <c r="FD1" s="31">
        <v>766</v>
      </c>
      <c r="FE1" s="31">
        <v>769</v>
      </c>
      <c r="FF1" s="31">
        <v>899</v>
      </c>
      <c r="FG1" s="31">
        <v>1125</v>
      </c>
      <c r="FH1" s="31">
        <v>1150</v>
      </c>
      <c r="FI1" s="31">
        <v>1151</v>
      </c>
      <c r="FJ1" s="31">
        <v>1154</v>
      </c>
      <c r="FK1" s="31">
        <v>1159</v>
      </c>
      <c r="FL1" s="31">
        <v>1161</v>
      </c>
      <c r="FM1" s="31">
        <v>1162</v>
      </c>
      <c r="FN1" s="31">
        <v>1164</v>
      </c>
      <c r="FO1" s="31">
        <v>1172</v>
      </c>
      <c r="FP1" s="31">
        <v>1173</v>
      </c>
      <c r="FQ1" s="31">
        <v>1219</v>
      </c>
      <c r="FR1" s="31">
        <v>1311</v>
      </c>
      <c r="FS1" s="31">
        <v>1314</v>
      </c>
      <c r="FT1" s="31">
        <v>1315</v>
      </c>
      <c r="FU1" s="31">
        <v>1316</v>
      </c>
      <c r="FV1" s="31">
        <v>1317</v>
      </c>
      <c r="FW1" s="31">
        <v>1319</v>
      </c>
      <c r="FX1" s="31">
        <v>1320</v>
      </c>
      <c r="FY1" s="31">
        <v>1326</v>
      </c>
      <c r="FZ1" s="31">
        <v>1327</v>
      </c>
      <c r="GA1" s="31">
        <v>1328</v>
      </c>
      <c r="GB1" s="31">
        <v>1330</v>
      </c>
      <c r="GC1" s="31">
        <v>1333</v>
      </c>
      <c r="GD1" s="31">
        <v>1334</v>
      </c>
      <c r="GE1" s="31">
        <v>1335</v>
      </c>
      <c r="GF1" s="31">
        <v>1336</v>
      </c>
      <c r="GG1" s="31">
        <v>1337</v>
      </c>
      <c r="GH1" s="31">
        <v>1371</v>
      </c>
      <c r="GI1" s="31">
        <v>1372</v>
      </c>
      <c r="GJ1" s="31">
        <v>1373</v>
      </c>
      <c r="GK1" s="31">
        <v>1374</v>
      </c>
      <c r="GL1" s="31">
        <v>1375</v>
      </c>
      <c r="GM1" s="31">
        <v>1376</v>
      </c>
      <c r="GN1" s="31">
        <v>1404</v>
      </c>
      <c r="GO1" s="31">
        <v>1415</v>
      </c>
      <c r="GP1" s="31">
        <v>1416</v>
      </c>
      <c r="GQ1" s="31">
        <v>1417</v>
      </c>
      <c r="GR1" s="31">
        <v>1418</v>
      </c>
      <c r="GS1" s="31">
        <v>1427</v>
      </c>
      <c r="GT1" s="31">
        <v>1429</v>
      </c>
      <c r="GU1" s="31">
        <v>1433</v>
      </c>
      <c r="GV1" s="31">
        <v>1456</v>
      </c>
      <c r="GW1" s="31">
        <v>1461</v>
      </c>
      <c r="GX1" s="31">
        <v>1472</v>
      </c>
      <c r="GY1" s="31">
        <v>1485</v>
      </c>
      <c r="GZ1" s="31">
        <v>1488</v>
      </c>
      <c r="HA1" s="31">
        <v>1505</v>
      </c>
      <c r="HB1" s="31">
        <v>1535</v>
      </c>
      <c r="HC1" s="31">
        <v>1542</v>
      </c>
      <c r="HD1" s="31">
        <v>1543</v>
      </c>
      <c r="HE1" s="31">
        <v>1546</v>
      </c>
      <c r="HF1" s="31">
        <v>1547</v>
      </c>
      <c r="HG1" s="31">
        <v>1557</v>
      </c>
      <c r="HH1" s="31">
        <v>1558</v>
      </c>
      <c r="HI1" s="31">
        <v>1560</v>
      </c>
      <c r="HJ1" s="31">
        <v>1561</v>
      </c>
      <c r="HK1" s="31">
        <v>1572</v>
      </c>
      <c r="HL1" s="31">
        <v>1599</v>
      </c>
      <c r="HM1" s="31">
        <v>1605</v>
      </c>
      <c r="HN1" s="31">
        <v>1606</v>
      </c>
      <c r="HO1" s="31">
        <v>1609</v>
      </c>
      <c r="HP1" s="31">
        <v>1610</v>
      </c>
      <c r="HQ1" s="31">
        <v>1612</v>
      </c>
      <c r="HR1" s="31">
        <v>1613</v>
      </c>
      <c r="HS1" s="31">
        <v>1620</v>
      </c>
      <c r="HT1" s="31">
        <v>1625</v>
      </c>
      <c r="HU1" s="31">
        <v>1644</v>
      </c>
      <c r="HV1" s="31">
        <v>1645</v>
      </c>
      <c r="HW1" s="31">
        <v>1646</v>
      </c>
      <c r="HX1" s="31">
        <v>1647</v>
      </c>
      <c r="HY1" s="31">
        <v>1650</v>
      </c>
      <c r="HZ1" s="31">
        <v>1653</v>
      </c>
      <c r="IA1" s="31">
        <v>1</v>
      </c>
      <c r="IB1" s="31">
        <v>2</v>
      </c>
      <c r="IC1" s="31">
        <v>5</v>
      </c>
      <c r="ID1" s="31">
        <v>6</v>
      </c>
      <c r="IE1" s="31">
        <v>7</v>
      </c>
      <c r="IF1" s="31">
        <v>8</v>
      </c>
      <c r="IG1" s="31">
        <v>9</v>
      </c>
      <c r="IH1" s="31">
        <v>10</v>
      </c>
      <c r="II1" s="31">
        <v>12</v>
      </c>
      <c r="IJ1" s="31">
        <v>13</v>
      </c>
      <c r="IK1" s="31">
        <v>14</v>
      </c>
      <c r="IL1" s="31">
        <v>15</v>
      </c>
      <c r="IM1" s="31">
        <v>16</v>
      </c>
      <c r="IN1" s="31">
        <v>17</v>
      </c>
      <c r="IO1" s="31">
        <v>19</v>
      </c>
      <c r="IP1" s="31">
        <v>20</v>
      </c>
      <c r="IQ1" s="31">
        <v>21</v>
      </c>
      <c r="IR1" s="31">
        <v>23</v>
      </c>
      <c r="IS1" s="31">
        <v>24</v>
      </c>
      <c r="IT1" s="31">
        <v>25</v>
      </c>
      <c r="IU1" s="31">
        <v>26</v>
      </c>
      <c r="IV1" s="31">
        <v>27</v>
      </c>
      <c r="IW1" s="31">
        <v>28</v>
      </c>
      <c r="IX1" s="31">
        <v>29</v>
      </c>
      <c r="IY1" s="31">
        <v>30</v>
      </c>
      <c r="IZ1" s="31">
        <v>32</v>
      </c>
      <c r="JA1" s="31">
        <v>33</v>
      </c>
      <c r="JB1" s="31">
        <v>34</v>
      </c>
      <c r="JC1" s="31">
        <v>36</v>
      </c>
      <c r="JD1" s="31">
        <v>37</v>
      </c>
      <c r="JE1" s="31">
        <v>39</v>
      </c>
      <c r="JF1" s="31">
        <v>40</v>
      </c>
      <c r="JG1" s="31">
        <v>41</v>
      </c>
      <c r="JH1" s="31">
        <v>42</v>
      </c>
      <c r="JI1" s="31">
        <v>43</v>
      </c>
      <c r="JJ1" s="31">
        <v>44</v>
      </c>
      <c r="JK1" s="31">
        <v>45</v>
      </c>
      <c r="JL1" s="31">
        <v>46</v>
      </c>
      <c r="JM1" s="31">
        <v>47</v>
      </c>
      <c r="JN1" s="31">
        <v>48</v>
      </c>
      <c r="JO1" s="31">
        <v>49</v>
      </c>
      <c r="JP1" s="31">
        <v>50</v>
      </c>
      <c r="JQ1" s="31">
        <v>52</v>
      </c>
      <c r="JR1" s="31">
        <v>53</v>
      </c>
      <c r="JS1" s="31">
        <v>54</v>
      </c>
      <c r="JT1" s="31">
        <v>55</v>
      </c>
      <c r="JU1" s="31">
        <v>56</v>
      </c>
      <c r="JV1" s="31">
        <v>57</v>
      </c>
      <c r="JW1" s="31">
        <v>58</v>
      </c>
      <c r="JX1" s="31">
        <v>60</v>
      </c>
      <c r="JY1" s="31">
        <v>62</v>
      </c>
      <c r="JZ1" s="31">
        <v>63</v>
      </c>
      <c r="KA1" s="31">
        <v>64</v>
      </c>
      <c r="KB1" s="31">
        <v>66</v>
      </c>
      <c r="KC1" s="31">
        <v>67</v>
      </c>
      <c r="KD1" s="31">
        <v>68</v>
      </c>
      <c r="KE1" s="31">
        <v>69</v>
      </c>
      <c r="KF1" s="31">
        <v>70</v>
      </c>
      <c r="KG1" s="31">
        <v>71</v>
      </c>
      <c r="KH1" s="31">
        <v>75</v>
      </c>
      <c r="KI1" s="31">
        <v>76</v>
      </c>
      <c r="KJ1" s="31">
        <v>77</v>
      </c>
      <c r="KK1" s="31">
        <v>78</v>
      </c>
      <c r="KL1" s="31">
        <v>79</v>
      </c>
      <c r="KM1" s="31">
        <v>80</v>
      </c>
      <c r="KN1" s="31">
        <v>81</v>
      </c>
      <c r="KO1" s="31">
        <v>82</v>
      </c>
      <c r="KP1" s="31">
        <v>83</v>
      </c>
      <c r="KQ1" s="31">
        <v>84</v>
      </c>
      <c r="KR1" s="31">
        <v>85</v>
      </c>
      <c r="KS1" s="31">
        <v>86</v>
      </c>
      <c r="KT1" s="31">
        <v>87</v>
      </c>
      <c r="KU1" s="31">
        <v>88</v>
      </c>
      <c r="KV1" s="31">
        <v>89</v>
      </c>
      <c r="KW1" s="31">
        <v>90</v>
      </c>
      <c r="KX1" s="31">
        <v>91</v>
      </c>
      <c r="KY1" s="31">
        <v>92</v>
      </c>
      <c r="KZ1" s="31">
        <v>93</v>
      </c>
      <c r="LA1" s="31">
        <v>94</v>
      </c>
      <c r="LB1" s="31">
        <v>95</v>
      </c>
      <c r="LC1" s="31">
        <v>96</v>
      </c>
      <c r="LD1" s="31">
        <v>97</v>
      </c>
      <c r="LE1" s="31">
        <v>98</v>
      </c>
      <c r="LF1" s="31">
        <v>99</v>
      </c>
      <c r="LG1" s="31">
        <v>100</v>
      </c>
      <c r="LH1" s="31">
        <v>101</v>
      </c>
      <c r="LI1" s="31">
        <v>102</v>
      </c>
      <c r="LJ1" s="31">
        <v>103</v>
      </c>
      <c r="LK1" s="31">
        <v>104</v>
      </c>
      <c r="LL1" s="31">
        <v>105</v>
      </c>
      <c r="LM1" s="31">
        <v>106</v>
      </c>
      <c r="LN1" s="31">
        <v>107</v>
      </c>
      <c r="LO1" s="31">
        <v>108</v>
      </c>
      <c r="LP1" s="31">
        <v>109</v>
      </c>
      <c r="LQ1" s="31">
        <v>110</v>
      </c>
      <c r="LR1" s="31">
        <v>111</v>
      </c>
      <c r="LS1" s="31">
        <v>112</v>
      </c>
      <c r="LT1" s="31">
        <v>113</v>
      </c>
      <c r="LU1" s="31">
        <v>114</v>
      </c>
      <c r="LV1" s="31">
        <v>115</v>
      </c>
      <c r="LW1" s="31">
        <v>116</v>
      </c>
      <c r="LX1" s="31">
        <v>117</v>
      </c>
      <c r="LY1" s="31">
        <v>118</v>
      </c>
      <c r="LZ1" s="31">
        <v>119</v>
      </c>
      <c r="MA1" s="31">
        <v>121</v>
      </c>
      <c r="MB1" s="31">
        <v>122</v>
      </c>
      <c r="MC1" s="31">
        <v>123</v>
      </c>
      <c r="MD1" s="31">
        <v>124</v>
      </c>
      <c r="ME1" s="31">
        <v>125</v>
      </c>
      <c r="MF1" s="31">
        <v>126</v>
      </c>
      <c r="MG1" s="31">
        <v>127</v>
      </c>
      <c r="MH1" s="31">
        <v>128</v>
      </c>
      <c r="MI1" s="31">
        <v>129</v>
      </c>
      <c r="MJ1" s="31">
        <v>130</v>
      </c>
      <c r="MK1" s="31">
        <v>131</v>
      </c>
      <c r="ML1" s="31">
        <v>132</v>
      </c>
      <c r="MM1" s="31">
        <v>133</v>
      </c>
      <c r="MN1" s="31">
        <v>134</v>
      </c>
      <c r="MO1" s="31">
        <v>135</v>
      </c>
      <c r="MP1" s="31">
        <v>136</v>
      </c>
      <c r="MQ1" s="31">
        <v>137</v>
      </c>
      <c r="MR1" s="31">
        <v>138</v>
      </c>
      <c r="MS1" s="31">
        <v>139</v>
      </c>
      <c r="MT1" s="31">
        <v>140</v>
      </c>
      <c r="MU1" s="31">
        <v>141</v>
      </c>
      <c r="MV1" s="31">
        <v>142</v>
      </c>
      <c r="MW1" s="31">
        <v>143</v>
      </c>
      <c r="MX1" s="31">
        <v>144</v>
      </c>
      <c r="MY1" s="31">
        <v>145</v>
      </c>
      <c r="MZ1" s="31">
        <v>146</v>
      </c>
      <c r="NA1" s="31">
        <v>147</v>
      </c>
      <c r="NB1" s="31">
        <v>148</v>
      </c>
      <c r="NC1" s="31">
        <v>149</v>
      </c>
      <c r="ND1" s="31">
        <v>150</v>
      </c>
      <c r="NE1" s="31">
        <v>151</v>
      </c>
      <c r="NF1" s="31">
        <v>152</v>
      </c>
      <c r="NG1" s="31">
        <v>153</v>
      </c>
      <c r="NH1" s="31">
        <v>154</v>
      </c>
      <c r="NI1" s="31">
        <v>155</v>
      </c>
      <c r="NJ1" s="31">
        <v>158</v>
      </c>
      <c r="NK1" s="31">
        <v>159</v>
      </c>
      <c r="NL1" s="31">
        <v>160</v>
      </c>
      <c r="NM1" s="31">
        <v>161</v>
      </c>
      <c r="NN1" s="31">
        <v>162</v>
      </c>
      <c r="NO1" s="31">
        <v>163</v>
      </c>
      <c r="NP1" s="31">
        <v>164</v>
      </c>
      <c r="NQ1" s="31">
        <v>165</v>
      </c>
      <c r="NR1" s="31">
        <v>166</v>
      </c>
      <c r="NS1" s="31">
        <v>168</v>
      </c>
      <c r="NT1" s="31">
        <v>169</v>
      </c>
      <c r="NU1" s="31">
        <v>170</v>
      </c>
      <c r="NV1" s="31">
        <v>171</v>
      </c>
      <c r="NW1" s="31">
        <v>172</v>
      </c>
      <c r="NX1" s="31">
        <v>173</v>
      </c>
      <c r="NY1" s="31">
        <v>174</v>
      </c>
      <c r="NZ1" s="31">
        <v>175</v>
      </c>
      <c r="OA1" s="31">
        <v>176</v>
      </c>
      <c r="OB1" s="31">
        <v>177</v>
      </c>
      <c r="OC1" s="31">
        <v>179</v>
      </c>
      <c r="OD1" s="31">
        <v>180</v>
      </c>
      <c r="OE1" s="31">
        <v>181</v>
      </c>
      <c r="OF1" s="31">
        <v>182</v>
      </c>
      <c r="OG1" s="31">
        <v>183</v>
      </c>
      <c r="OH1" s="31">
        <v>184</v>
      </c>
      <c r="OI1" s="31">
        <v>185</v>
      </c>
      <c r="OJ1" s="31">
        <v>186</v>
      </c>
      <c r="OK1" s="31">
        <v>187</v>
      </c>
      <c r="OL1" s="31">
        <v>188</v>
      </c>
      <c r="OM1" s="31">
        <v>189</v>
      </c>
      <c r="ON1" s="31">
        <v>190</v>
      </c>
      <c r="OO1" s="31">
        <v>191</v>
      </c>
      <c r="OP1" s="31">
        <v>192</v>
      </c>
      <c r="OQ1" s="31">
        <v>193</v>
      </c>
      <c r="OR1" s="31">
        <v>195</v>
      </c>
      <c r="OS1" s="31">
        <v>196</v>
      </c>
      <c r="OT1" s="31">
        <v>197</v>
      </c>
      <c r="OU1" s="31">
        <v>199</v>
      </c>
      <c r="OV1" s="31">
        <v>200</v>
      </c>
      <c r="OW1" s="31">
        <v>201</v>
      </c>
      <c r="OX1" s="31">
        <v>203</v>
      </c>
      <c r="OY1" s="31">
        <v>204</v>
      </c>
      <c r="OZ1" s="31">
        <v>208</v>
      </c>
      <c r="PA1" s="31">
        <v>209</v>
      </c>
      <c r="PB1" s="31">
        <v>210</v>
      </c>
      <c r="PC1" s="31">
        <v>211</v>
      </c>
      <c r="PD1" s="31">
        <v>212</v>
      </c>
      <c r="PE1" s="31">
        <v>214</v>
      </c>
      <c r="PF1" s="31">
        <v>215</v>
      </c>
      <c r="PG1" s="31">
        <v>217</v>
      </c>
      <c r="PH1" s="31">
        <v>218</v>
      </c>
      <c r="PI1" s="31">
        <v>224</v>
      </c>
      <c r="PJ1" s="31">
        <v>225</v>
      </c>
      <c r="PK1" s="31">
        <v>229</v>
      </c>
      <c r="PL1" s="31">
        <v>230</v>
      </c>
      <c r="PM1" s="31">
        <v>232</v>
      </c>
      <c r="PN1" s="31">
        <v>234</v>
      </c>
      <c r="PO1" s="31">
        <v>237</v>
      </c>
      <c r="PP1" s="31">
        <v>240</v>
      </c>
      <c r="PQ1" s="31">
        <v>243</v>
      </c>
      <c r="PR1" s="31">
        <v>244</v>
      </c>
      <c r="PS1" s="31">
        <v>245</v>
      </c>
      <c r="PT1" s="31">
        <v>246</v>
      </c>
      <c r="PU1" s="31">
        <v>249</v>
      </c>
      <c r="PV1" s="31">
        <v>250</v>
      </c>
      <c r="PW1" s="31">
        <v>254</v>
      </c>
      <c r="PX1" s="31">
        <v>257</v>
      </c>
      <c r="PY1" s="31">
        <v>259</v>
      </c>
      <c r="PZ1" s="31">
        <v>261</v>
      </c>
      <c r="QA1" s="31">
        <v>267</v>
      </c>
      <c r="QB1" s="31">
        <v>270</v>
      </c>
      <c r="QC1" s="31">
        <v>272</v>
      </c>
      <c r="QD1" s="31">
        <v>273</v>
      </c>
      <c r="QE1" s="31">
        <v>274</v>
      </c>
      <c r="QF1" s="31">
        <v>275</v>
      </c>
      <c r="QG1" s="31">
        <v>276</v>
      </c>
      <c r="QH1" s="31">
        <v>277</v>
      </c>
      <c r="QI1" s="31">
        <v>278</v>
      </c>
      <c r="QJ1" s="31">
        <v>279</v>
      </c>
      <c r="QK1" s="31">
        <v>280</v>
      </c>
      <c r="QL1" s="31">
        <v>281</v>
      </c>
      <c r="QM1" s="31">
        <v>282</v>
      </c>
      <c r="QN1" s="31">
        <v>284</v>
      </c>
      <c r="QO1" s="31">
        <v>285</v>
      </c>
      <c r="QP1" s="31">
        <v>286</v>
      </c>
      <c r="QQ1" s="31">
        <v>287</v>
      </c>
      <c r="QR1" s="31">
        <v>288</v>
      </c>
      <c r="QS1" s="31">
        <v>289</v>
      </c>
      <c r="QT1" s="31">
        <v>290</v>
      </c>
      <c r="QU1" s="31">
        <v>292</v>
      </c>
      <c r="QV1" s="31">
        <v>294</v>
      </c>
      <c r="QW1" s="31">
        <v>295</v>
      </c>
      <c r="QX1" s="31">
        <v>296</v>
      </c>
      <c r="QY1" s="31">
        <v>297</v>
      </c>
      <c r="QZ1" s="31">
        <v>298</v>
      </c>
      <c r="RA1" s="31">
        <v>299</v>
      </c>
      <c r="RB1" s="31">
        <v>301</v>
      </c>
      <c r="RC1" s="31">
        <v>302</v>
      </c>
      <c r="RD1" s="31">
        <v>303</v>
      </c>
      <c r="RE1" s="31">
        <v>304</v>
      </c>
      <c r="RF1" s="31">
        <v>305</v>
      </c>
      <c r="RG1" s="31">
        <v>306</v>
      </c>
      <c r="RH1" s="31">
        <v>307</v>
      </c>
      <c r="RI1" s="31">
        <v>308</v>
      </c>
      <c r="RJ1" s="31">
        <v>309</v>
      </c>
      <c r="RK1" s="31">
        <v>310</v>
      </c>
      <c r="RL1" s="31">
        <v>313</v>
      </c>
      <c r="RM1" s="31">
        <v>314</v>
      </c>
      <c r="RN1" s="31">
        <v>315</v>
      </c>
      <c r="RO1" s="31">
        <v>316</v>
      </c>
      <c r="RP1" s="31">
        <v>317</v>
      </c>
      <c r="RQ1" s="31">
        <v>318</v>
      </c>
      <c r="RR1" s="31">
        <v>319</v>
      </c>
      <c r="RS1" s="31">
        <v>320</v>
      </c>
      <c r="RT1" s="31">
        <v>322</v>
      </c>
      <c r="RU1" s="31">
        <v>323</v>
      </c>
      <c r="RV1" s="31">
        <v>324</v>
      </c>
      <c r="RW1" s="31">
        <v>325</v>
      </c>
      <c r="RX1" s="31">
        <v>326</v>
      </c>
      <c r="RY1" s="31">
        <v>328</v>
      </c>
      <c r="RZ1" s="31">
        <v>329</v>
      </c>
      <c r="SA1" s="31">
        <v>330</v>
      </c>
      <c r="SB1" s="31">
        <v>332</v>
      </c>
      <c r="SC1" s="31">
        <v>333</v>
      </c>
      <c r="SD1" s="31">
        <v>335</v>
      </c>
      <c r="SE1" s="31">
        <v>337</v>
      </c>
      <c r="SF1" s="31">
        <v>338</v>
      </c>
      <c r="SG1" s="31">
        <v>340</v>
      </c>
      <c r="SH1" s="31">
        <v>341</v>
      </c>
      <c r="SI1" s="31">
        <v>342</v>
      </c>
      <c r="SJ1" s="31">
        <v>343</v>
      </c>
      <c r="SK1" s="31">
        <v>344</v>
      </c>
      <c r="SL1" s="31">
        <v>347</v>
      </c>
      <c r="SM1" s="31">
        <v>348</v>
      </c>
      <c r="SN1" s="31">
        <v>349</v>
      </c>
      <c r="SO1" s="31">
        <v>350</v>
      </c>
      <c r="SP1" s="31">
        <v>351</v>
      </c>
      <c r="SQ1" s="31">
        <v>352</v>
      </c>
      <c r="SR1" s="31">
        <v>353</v>
      </c>
      <c r="SS1" s="31">
        <v>354</v>
      </c>
      <c r="ST1" s="31">
        <v>355</v>
      </c>
      <c r="SU1" s="31">
        <v>356</v>
      </c>
      <c r="SV1" s="31">
        <v>358</v>
      </c>
      <c r="SW1" s="31">
        <v>359</v>
      </c>
      <c r="SX1" s="31">
        <v>360</v>
      </c>
      <c r="SY1" s="31">
        <v>361</v>
      </c>
      <c r="SZ1" s="31">
        <v>362</v>
      </c>
      <c r="TA1" s="31">
        <v>363</v>
      </c>
      <c r="TB1" s="31">
        <v>364</v>
      </c>
      <c r="TC1" s="31">
        <v>365</v>
      </c>
      <c r="TD1" s="31">
        <v>366</v>
      </c>
      <c r="TE1" s="31">
        <v>367</v>
      </c>
      <c r="TF1" s="31">
        <v>368</v>
      </c>
      <c r="TG1" s="31">
        <v>370</v>
      </c>
      <c r="TH1" s="31">
        <v>371</v>
      </c>
      <c r="TI1" s="31">
        <v>372</v>
      </c>
      <c r="TJ1" s="31">
        <v>373</v>
      </c>
      <c r="TK1" s="31">
        <v>374</v>
      </c>
      <c r="TL1" s="31">
        <v>375</v>
      </c>
      <c r="TM1" s="31">
        <v>377</v>
      </c>
      <c r="TN1" s="31">
        <v>378</v>
      </c>
      <c r="TO1" s="31">
        <v>380</v>
      </c>
      <c r="TP1" s="31">
        <v>381</v>
      </c>
      <c r="TQ1" s="31">
        <v>383</v>
      </c>
      <c r="TR1" s="31">
        <v>384</v>
      </c>
      <c r="TS1" s="31">
        <v>385</v>
      </c>
      <c r="TT1" s="31">
        <v>386</v>
      </c>
      <c r="TU1" s="31">
        <v>387</v>
      </c>
      <c r="TV1" s="31">
        <v>388</v>
      </c>
      <c r="TW1" s="31">
        <v>389</v>
      </c>
      <c r="TX1" s="31">
        <v>390</v>
      </c>
      <c r="TY1" s="31">
        <v>391</v>
      </c>
      <c r="TZ1" s="31">
        <v>392</v>
      </c>
      <c r="UA1" s="31">
        <v>393</v>
      </c>
      <c r="UB1" s="31">
        <v>394</v>
      </c>
      <c r="UC1" s="31">
        <v>395</v>
      </c>
      <c r="UD1" s="31">
        <v>396</v>
      </c>
      <c r="UE1" s="31">
        <v>397</v>
      </c>
      <c r="UF1" s="31">
        <v>398</v>
      </c>
      <c r="UG1" s="31">
        <v>399</v>
      </c>
      <c r="UH1" s="31">
        <v>400</v>
      </c>
      <c r="UI1" s="31">
        <v>401</v>
      </c>
      <c r="UJ1" s="31">
        <v>403</v>
      </c>
      <c r="UK1" s="31">
        <v>404</v>
      </c>
      <c r="UL1" s="31">
        <v>405</v>
      </c>
      <c r="UM1" s="31">
        <v>406</v>
      </c>
      <c r="UN1" s="31">
        <v>407</v>
      </c>
      <c r="UO1" s="31">
        <v>408</v>
      </c>
      <c r="UP1" s="31">
        <v>409</v>
      </c>
      <c r="UQ1" s="31">
        <v>410</v>
      </c>
      <c r="UR1" s="31">
        <v>411</v>
      </c>
      <c r="US1" s="31">
        <v>412</v>
      </c>
      <c r="UT1" s="31">
        <v>413</v>
      </c>
      <c r="UU1" s="31">
        <v>414</v>
      </c>
      <c r="UV1" s="31">
        <v>415</v>
      </c>
      <c r="UW1" s="31">
        <v>416</v>
      </c>
      <c r="UX1" s="31">
        <v>417</v>
      </c>
      <c r="UY1" s="31">
        <v>418</v>
      </c>
      <c r="UZ1" s="31">
        <v>419</v>
      </c>
      <c r="VA1" s="31">
        <v>420</v>
      </c>
      <c r="VB1" s="31">
        <v>421</v>
      </c>
      <c r="VC1" s="31">
        <v>422</v>
      </c>
      <c r="VD1" s="31">
        <v>423</v>
      </c>
      <c r="VE1" s="31">
        <v>424</v>
      </c>
      <c r="VF1" s="31">
        <v>425</v>
      </c>
      <c r="VG1" s="31">
        <v>426</v>
      </c>
      <c r="VH1" s="31">
        <v>427</v>
      </c>
      <c r="VI1" s="31">
        <v>428</v>
      </c>
      <c r="VJ1" s="31">
        <v>430</v>
      </c>
      <c r="VK1" s="31">
        <v>431</v>
      </c>
      <c r="VL1" s="31">
        <v>432</v>
      </c>
      <c r="VM1" s="31">
        <v>433</v>
      </c>
      <c r="VN1" s="31">
        <v>434</v>
      </c>
      <c r="VO1" s="31">
        <v>435</v>
      </c>
      <c r="VP1" s="31">
        <v>436</v>
      </c>
      <c r="VQ1" s="31">
        <v>437</v>
      </c>
      <c r="VR1" s="31">
        <v>438</v>
      </c>
      <c r="VS1" s="31">
        <v>439</v>
      </c>
      <c r="VT1" s="31">
        <v>440</v>
      </c>
      <c r="VU1" s="31">
        <v>442</v>
      </c>
      <c r="VV1" s="31">
        <v>443</v>
      </c>
      <c r="VW1" s="31">
        <v>444</v>
      </c>
      <c r="VX1" s="31">
        <v>445</v>
      </c>
      <c r="VY1" s="31">
        <v>446</v>
      </c>
      <c r="VZ1" s="31">
        <v>447</v>
      </c>
      <c r="WA1" s="31">
        <v>448</v>
      </c>
      <c r="WB1" s="31">
        <v>449</v>
      </c>
      <c r="WC1" s="31">
        <v>450</v>
      </c>
      <c r="WD1" s="31">
        <v>451</v>
      </c>
      <c r="WE1" s="31">
        <v>452</v>
      </c>
      <c r="WF1" s="31">
        <v>453</v>
      </c>
      <c r="WG1" s="31">
        <v>455</v>
      </c>
      <c r="WH1" s="31">
        <v>456</v>
      </c>
      <c r="WI1" s="31">
        <v>458</v>
      </c>
      <c r="WJ1" s="31">
        <v>460</v>
      </c>
      <c r="WK1" s="31">
        <v>461</v>
      </c>
      <c r="WL1" s="31">
        <v>462</v>
      </c>
      <c r="WM1" s="31">
        <v>463</v>
      </c>
      <c r="WN1" s="31">
        <v>464</v>
      </c>
      <c r="WO1" s="31">
        <v>465</v>
      </c>
      <c r="WP1" s="31">
        <v>466</v>
      </c>
      <c r="WQ1" s="31">
        <v>468</v>
      </c>
      <c r="WR1" s="31">
        <v>469</v>
      </c>
      <c r="WS1" s="31">
        <v>470</v>
      </c>
      <c r="WT1" s="31">
        <v>472</v>
      </c>
      <c r="WU1" s="31">
        <v>473</v>
      </c>
      <c r="WV1" s="31">
        <v>474</v>
      </c>
      <c r="WW1" s="31">
        <v>475</v>
      </c>
      <c r="WX1" s="31">
        <v>476</v>
      </c>
      <c r="WY1" s="31">
        <v>477</v>
      </c>
      <c r="WZ1" s="31">
        <v>478</v>
      </c>
      <c r="XA1" s="31">
        <v>479</v>
      </c>
      <c r="XB1" s="31">
        <v>480</v>
      </c>
      <c r="XC1" s="31">
        <v>481</v>
      </c>
      <c r="XD1" s="31">
        <v>482</v>
      </c>
      <c r="XE1" s="31">
        <v>485</v>
      </c>
      <c r="XF1" s="31">
        <v>486</v>
      </c>
      <c r="XG1" s="31">
        <v>487</v>
      </c>
      <c r="XH1" s="31">
        <v>489</v>
      </c>
      <c r="XI1" s="31">
        <v>490</v>
      </c>
      <c r="XJ1" s="31">
        <v>492</v>
      </c>
      <c r="XK1" s="31">
        <v>495</v>
      </c>
      <c r="XL1" s="31">
        <v>497</v>
      </c>
      <c r="XM1" s="31">
        <v>501</v>
      </c>
      <c r="XN1" s="31">
        <v>502</v>
      </c>
      <c r="XO1" s="31">
        <v>503</v>
      </c>
      <c r="XP1" s="31">
        <v>504</v>
      </c>
      <c r="XQ1" s="31">
        <v>505</v>
      </c>
      <c r="XR1" s="31">
        <v>507</v>
      </c>
      <c r="XS1" s="31">
        <v>509</v>
      </c>
      <c r="XT1" s="31">
        <v>510</v>
      </c>
      <c r="XU1" s="31">
        <v>511</v>
      </c>
      <c r="XV1" s="31">
        <v>512</v>
      </c>
      <c r="XW1" s="31">
        <v>513</v>
      </c>
      <c r="XX1" s="31">
        <v>514</v>
      </c>
      <c r="XY1" s="31">
        <v>515</v>
      </c>
      <c r="XZ1" s="31">
        <v>516</v>
      </c>
      <c r="YA1" s="31">
        <v>517</v>
      </c>
      <c r="YB1" s="31">
        <v>518</v>
      </c>
      <c r="YC1" s="31">
        <v>519</v>
      </c>
      <c r="YD1" s="31">
        <v>522</v>
      </c>
      <c r="YE1" s="31">
        <v>523</v>
      </c>
      <c r="YF1" s="31">
        <v>525</v>
      </c>
      <c r="YG1" s="31">
        <v>526</v>
      </c>
      <c r="YH1" s="31">
        <v>527</v>
      </c>
      <c r="YI1" s="31">
        <v>529</v>
      </c>
      <c r="YJ1" s="31">
        <v>532</v>
      </c>
      <c r="YK1" s="31">
        <v>533</v>
      </c>
      <c r="YL1" s="31">
        <v>534</v>
      </c>
      <c r="YM1" s="31">
        <v>537</v>
      </c>
      <c r="YN1" s="31">
        <v>538</v>
      </c>
      <c r="YO1" s="31">
        <v>540</v>
      </c>
      <c r="YP1" s="31">
        <v>541</v>
      </c>
      <c r="YQ1" s="31">
        <v>542</v>
      </c>
      <c r="YR1" s="31">
        <v>543</v>
      </c>
      <c r="YS1" s="31">
        <v>545</v>
      </c>
      <c r="YT1" s="31">
        <v>546</v>
      </c>
      <c r="YU1" s="31">
        <v>547</v>
      </c>
      <c r="YV1" s="31">
        <v>553</v>
      </c>
      <c r="YW1" s="31">
        <v>554</v>
      </c>
      <c r="YX1" s="31">
        <v>556</v>
      </c>
      <c r="YY1" s="31">
        <v>557</v>
      </c>
      <c r="YZ1" s="31">
        <v>558</v>
      </c>
      <c r="ZA1" s="31">
        <v>559</v>
      </c>
      <c r="ZB1" s="31">
        <v>561</v>
      </c>
      <c r="ZC1" s="31">
        <v>563</v>
      </c>
      <c r="ZD1" s="31">
        <v>564</v>
      </c>
      <c r="ZE1" s="31">
        <v>565</v>
      </c>
      <c r="ZF1" s="31">
        <v>566</v>
      </c>
      <c r="ZG1" s="31">
        <v>570</v>
      </c>
      <c r="ZH1" s="31">
        <v>572</v>
      </c>
      <c r="ZI1" s="31">
        <v>573</v>
      </c>
      <c r="ZJ1" s="31">
        <v>576</v>
      </c>
      <c r="ZK1" s="31">
        <v>578</v>
      </c>
      <c r="ZL1" s="31">
        <v>582</v>
      </c>
      <c r="ZM1" s="31">
        <v>583</v>
      </c>
      <c r="ZN1" s="31">
        <v>584</v>
      </c>
      <c r="ZO1" s="31">
        <v>590</v>
      </c>
      <c r="ZP1" s="31">
        <v>591</v>
      </c>
      <c r="ZQ1" s="31">
        <v>593</v>
      </c>
      <c r="ZR1" s="31">
        <v>600</v>
      </c>
      <c r="ZS1" s="31">
        <v>601</v>
      </c>
      <c r="ZT1" s="31">
        <v>602</v>
      </c>
      <c r="ZU1" s="31">
        <v>605</v>
      </c>
      <c r="ZV1" s="31">
        <v>611</v>
      </c>
      <c r="ZW1" s="31">
        <v>612</v>
      </c>
      <c r="ZX1" s="31">
        <v>613</v>
      </c>
      <c r="ZY1" s="31">
        <v>617</v>
      </c>
      <c r="ZZ1" s="31">
        <v>618</v>
      </c>
      <c r="AAA1" s="31">
        <v>619</v>
      </c>
      <c r="AAB1" s="31">
        <v>621</v>
      </c>
      <c r="AAC1" s="31">
        <v>622</v>
      </c>
      <c r="AAD1" s="31">
        <v>627</v>
      </c>
      <c r="AAE1" s="31">
        <v>636</v>
      </c>
      <c r="AAF1" s="31">
        <v>638</v>
      </c>
      <c r="AAG1" s="31">
        <v>646</v>
      </c>
      <c r="AAH1" s="31">
        <v>648</v>
      </c>
      <c r="AAI1" s="31">
        <v>655</v>
      </c>
      <c r="AAJ1" s="31">
        <v>656</v>
      </c>
      <c r="AAK1" s="31">
        <v>657</v>
      </c>
      <c r="AAL1" s="31">
        <v>660</v>
      </c>
      <c r="AAM1" s="31">
        <v>662</v>
      </c>
      <c r="AAN1" s="31">
        <v>665</v>
      </c>
      <c r="AAO1" s="31">
        <v>669</v>
      </c>
      <c r="AAP1" s="31">
        <v>670</v>
      </c>
      <c r="AAQ1" s="31">
        <v>674</v>
      </c>
      <c r="AAR1" s="31">
        <v>676</v>
      </c>
      <c r="AAS1" s="31">
        <v>682</v>
      </c>
      <c r="AAT1" s="31">
        <v>684</v>
      </c>
      <c r="AAU1" s="31">
        <v>685</v>
      </c>
      <c r="AAV1" s="31">
        <v>687</v>
      </c>
      <c r="AAW1" s="31">
        <v>688</v>
      </c>
      <c r="AAX1" s="31">
        <v>691</v>
      </c>
      <c r="AAY1" s="31">
        <v>694</v>
      </c>
      <c r="AAZ1" s="31">
        <v>695</v>
      </c>
      <c r="ABA1" s="31">
        <v>696</v>
      </c>
      <c r="ABB1" s="31">
        <v>697</v>
      </c>
      <c r="ABC1" s="31">
        <v>704</v>
      </c>
      <c r="ABD1" s="31">
        <v>709</v>
      </c>
      <c r="ABE1" s="31">
        <v>710</v>
      </c>
      <c r="ABF1" s="31">
        <v>721</v>
      </c>
      <c r="ABG1" s="31">
        <v>722</v>
      </c>
      <c r="ABH1" s="31">
        <v>724</v>
      </c>
      <c r="ABI1" s="31">
        <v>726</v>
      </c>
      <c r="ABJ1" s="31">
        <v>727</v>
      </c>
      <c r="ABK1" s="31">
        <v>728</v>
      </c>
      <c r="ABL1" s="31">
        <v>731</v>
      </c>
      <c r="ABM1" s="31">
        <v>736</v>
      </c>
      <c r="ABN1" s="31">
        <v>737</v>
      </c>
      <c r="ABO1" s="31">
        <v>738</v>
      </c>
      <c r="ABP1" s="31">
        <v>744</v>
      </c>
      <c r="ABQ1" s="31">
        <v>753</v>
      </c>
      <c r="ABR1" s="31">
        <v>754</v>
      </c>
      <c r="ABS1" s="31">
        <v>755</v>
      </c>
      <c r="ABT1" s="31">
        <v>757</v>
      </c>
      <c r="ABU1" s="31">
        <v>761</v>
      </c>
      <c r="ABV1" s="31">
        <v>767</v>
      </c>
      <c r="ABW1" s="31">
        <v>774</v>
      </c>
      <c r="ABX1" s="31">
        <v>776</v>
      </c>
      <c r="ABY1" s="31">
        <v>779</v>
      </c>
      <c r="ABZ1" s="31">
        <v>781</v>
      </c>
      <c r="ACA1" s="31">
        <v>783</v>
      </c>
      <c r="ACB1" s="31">
        <v>784</v>
      </c>
      <c r="ACC1" s="31">
        <v>785</v>
      </c>
      <c r="ACD1" s="31">
        <v>796</v>
      </c>
      <c r="ACE1" s="31">
        <v>853</v>
      </c>
      <c r="ACF1" s="31">
        <v>858</v>
      </c>
      <c r="ACG1" s="31">
        <v>885</v>
      </c>
      <c r="ACH1" s="31">
        <v>887</v>
      </c>
      <c r="ACI1" s="31">
        <v>893</v>
      </c>
      <c r="ACJ1" s="31">
        <v>900</v>
      </c>
      <c r="ACK1" s="31">
        <v>913</v>
      </c>
      <c r="ACL1" s="31">
        <v>941</v>
      </c>
      <c r="ACM1" s="31">
        <v>972</v>
      </c>
      <c r="ACN1" s="31">
        <v>977</v>
      </c>
      <c r="ACO1" s="31">
        <v>982</v>
      </c>
      <c r="ACP1" s="31">
        <v>1063</v>
      </c>
      <c r="ACQ1" s="31">
        <v>1120</v>
      </c>
      <c r="ACR1" s="31">
        <v>1121</v>
      </c>
      <c r="ACS1" s="31">
        <v>1122</v>
      </c>
      <c r="ACT1" s="31">
        <v>1123</v>
      </c>
      <c r="ACU1" s="31">
        <v>1124</v>
      </c>
      <c r="ACV1" s="31">
        <v>1126</v>
      </c>
      <c r="ACW1" s="31">
        <v>1127</v>
      </c>
      <c r="ACX1" s="31">
        <v>1128</v>
      </c>
      <c r="ACY1" s="31">
        <v>1129</v>
      </c>
      <c r="ACZ1" s="31">
        <v>1130</v>
      </c>
      <c r="ADA1" s="31">
        <v>1131</v>
      </c>
      <c r="ADB1" s="31">
        <v>1132</v>
      </c>
      <c r="ADC1" s="31">
        <v>1133</v>
      </c>
      <c r="ADD1" s="31">
        <v>1134</v>
      </c>
      <c r="ADE1" s="31">
        <v>1135</v>
      </c>
      <c r="ADF1" s="31">
        <v>1136</v>
      </c>
      <c r="ADG1" s="31">
        <v>1137</v>
      </c>
      <c r="ADH1" s="31">
        <v>1139</v>
      </c>
      <c r="ADI1" s="31">
        <v>1140</v>
      </c>
      <c r="ADJ1" s="31">
        <v>1142</v>
      </c>
      <c r="ADK1" s="31">
        <v>1143</v>
      </c>
      <c r="ADL1" s="31">
        <v>1144</v>
      </c>
      <c r="ADM1" s="31">
        <v>1145</v>
      </c>
      <c r="ADN1" s="31">
        <v>1148</v>
      </c>
      <c r="ADO1" s="31">
        <v>1149</v>
      </c>
      <c r="ADP1" s="31">
        <v>1152</v>
      </c>
      <c r="ADQ1" s="31">
        <v>1156</v>
      </c>
      <c r="ADR1" s="31">
        <v>1157</v>
      </c>
      <c r="ADS1" s="31">
        <v>1158</v>
      </c>
      <c r="ADT1" s="31">
        <v>1163</v>
      </c>
      <c r="ADU1" s="31">
        <v>1165</v>
      </c>
      <c r="ADV1" s="31">
        <v>1166</v>
      </c>
      <c r="ADW1" s="31">
        <v>1185</v>
      </c>
      <c r="ADX1" s="31">
        <v>1203</v>
      </c>
      <c r="ADY1" s="31">
        <v>1204</v>
      </c>
      <c r="ADZ1" s="31">
        <v>1206</v>
      </c>
      <c r="AEA1" s="31">
        <v>1211</v>
      </c>
      <c r="AEB1" s="31">
        <v>1212</v>
      </c>
      <c r="AEC1" s="31">
        <v>1213</v>
      </c>
      <c r="AED1" s="31">
        <v>1214</v>
      </c>
      <c r="AEE1" s="31">
        <v>1215</v>
      </c>
      <c r="AEF1" s="31">
        <v>1216</v>
      </c>
      <c r="AEG1" s="31">
        <v>1217</v>
      </c>
      <c r="AEH1" s="31">
        <v>1218</v>
      </c>
      <c r="AEI1" s="31">
        <v>1233</v>
      </c>
      <c r="AEJ1" s="31">
        <v>1234</v>
      </c>
      <c r="AEK1" s="31">
        <v>1235</v>
      </c>
      <c r="AEL1" s="31">
        <v>1236</v>
      </c>
      <c r="AEM1" s="31">
        <v>1251</v>
      </c>
      <c r="AEN1" s="31">
        <v>1261</v>
      </c>
      <c r="AEO1" s="31">
        <v>1273</v>
      </c>
      <c r="AEP1" s="31">
        <v>1274</v>
      </c>
      <c r="AEQ1" s="31">
        <v>1275</v>
      </c>
      <c r="AER1" s="31">
        <v>1276</v>
      </c>
      <c r="AES1" s="31">
        <v>1277</v>
      </c>
      <c r="AET1" s="31">
        <v>1285</v>
      </c>
      <c r="AEU1" s="31">
        <v>1305</v>
      </c>
      <c r="AEV1" s="31">
        <v>1308</v>
      </c>
      <c r="AEW1" s="31">
        <v>1324</v>
      </c>
      <c r="AEX1" s="31">
        <v>1325</v>
      </c>
      <c r="AEY1" s="31">
        <v>1329</v>
      </c>
      <c r="AEZ1" s="31">
        <v>1332</v>
      </c>
      <c r="AFA1" s="31">
        <v>1338</v>
      </c>
      <c r="AFB1" s="31">
        <v>1339</v>
      </c>
      <c r="AFC1" s="31">
        <v>1340</v>
      </c>
      <c r="AFD1" s="31">
        <v>1341</v>
      </c>
      <c r="AFE1" s="31">
        <v>1342</v>
      </c>
      <c r="AFF1" s="31">
        <v>1343</v>
      </c>
      <c r="AFG1" s="31">
        <v>1344</v>
      </c>
      <c r="AFH1" s="31">
        <v>1345</v>
      </c>
      <c r="AFI1" s="31">
        <v>1346</v>
      </c>
      <c r="AFJ1" s="31">
        <v>1347</v>
      </c>
      <c r="AFK1" s="31">
        <v>1348</v>
      </c>
      <c r="AFL1" s="31">
        <v>1349</v>
      </c>
      <c r="AFM1" s="31">
        <v>1350</v>
      </c>
      <c r="AFN1" s="31">
        <v>1351</v>
      </c>
      <c r="AFO1" s="31">
        <v>1352</v>
      </c>
      <c r="AFP1" s="31">
        <v>1353</v>
      </c>
      <c r="AFQ1" s="31">
        <v>1354</v>
      </c>
      <c r="AFR1" s="31">
        <v>1355</v>
      </c>
      <c r="AFS1" s="31">
        <v>1356</v>
      </c>
      <c r="AFT1" s="31">
        <v>1357</v>
      </c>
      <c r="AFU1" s="31">
        <v>1358</v>
      </c>
      <c r="AFV1" s="31">
        <v>1360</v>
      </c>
      <c r="AFW1" s="31">
        <v>1361</v>
      </c>
      <c r="AFX1" s="31">
        <v>1362</v>
      </c>
      <c r="AFY1" s="31">
        <v>1363</v>
      </c>
      <c r="AFZ1" s="31">
        <v>1366</v>
      </c>
      <c r="AGA1" s="31">
        <v>1367</v>
      </c>
      <c r="AGB1" s="31">
        <v>1368</v>
      </c>
      <c r="AGC1" s="31">
        <v>1369</v>
      </c>
      <c r="AGD1" s="31">
        <v>1370</v>
      </c>
      <c r="AGE1" s="31">
        <v>1379</v>
      </c>
      <c r="AGF1" s="31">
        <v>1380</v>
      </c>
      <c r="AGG1" s="31">
        <v>1381</v>
      </c>
      <c r="AGH1" s="31">
        <v>1383</v>
      </c>
      <c r="AGI1" s="31">
        <v>1384</v>
      </c>
      <c r="AGJ1" s="31">
        <v>1385</v>
      </c>
      <c r="AGK1" s="31">
        <v>1386</v>
      </c>
      <c r="AGL1" s="31">
        <v>1387</v>
      </c>
      <c r="AGM1" s="31">
        <v>1388</v>
      </c>
      <c r="AGN1" s="31">
        <v>1389</v>
      </c>
      <c r="AGO1" s="31">
        <v>1390</v>
      </c>
      <c r="AGP1" s="31">
        <v>1391</v>
      </c>
      <c r="AGQ1" s="31">
        <v>1392</v>
      </c>
      <c r="AGR1" s="31">
        <v>1393</v>
      </c>
      <c r="AGS1" s="31">
        <v>1394</v>
      </c>
      <c r="AGT1" s="31">
        <v>1396</v>
      </c>
      <c r="AGU1" s="31">
        <v>1397</v>
      </c>
      <c r="AGV1" s="31">
        <v>1400</v>
      </c>
      <c r="AGW1" s="31">
        <v>1402</v>
      </c>
      <c r="AGX1" s="31">
        <v>1403</v>
      </c>
      <c r="AGY1" s="31">
        <v>1405</v>
      </c>
      <c r="AGZ1" s="31">
        <v>1406</v>
      </c>
      <c r="AHA1" s="31">
        <v>1407</v>
      </c>
      <c r="AHB1" s="31">
        <v>1408</v>
      </c>
      <c r="AHC1" s="31">
        <v>1409</v>
      </c>
      <c r="AHD1" s="31">
        <v>1410</v>
      </c>
      <c r="AHE1" s="31">
        <v>1411</v>
      </c>
      <c r="AHF1" s="31">
        <v>1412</v>
      </c>
      <c r="AHG1" s="31">
        <v>1413</v>
      </c>
      <c r="AHH1" s="31">
        <v>1414</v>
      </c>
      <c r="AHI1" s="31">
        <v>1419</v>
      </c>
      <c r="AHJ1" s="31">
        <v>1420</v>
      </c>
      <c r="AHK1" s="31">
        <v>1422</v>
      </c>
      <c r="AHL1" s="31">
        <v>1423</v>
      </c>
      <c r="AHM1" s="31">
        <v>1431</v>
      </c>
      <c r="AHN1" s="31">
        <v>1432</v>
      </c>
      <c r="AHO1" s="31">
        <v>1434</v>
      </c>
      <c r="AHP1" s="31">
        <v>1436</v>
      </c>
      <c r="AHQ1" s="31">
        <v>1437</v>
      </c>
      <c r="AHR1" s="31">
        <v>1438</v>
      </c>
      <c r="AHS1" s="31">
        <v>1439</v>
      </c>
      <c r="AHT1" s="31">
        <v>1440</v>
      </c>
      <c r="AHU1" s="31">
        <v>1441</v>
      </c>
      <c r="AHV1" s="31">
        <v>1442</v>
      </c>
      <c r="AHW1" s="31">
        <v>1443</v>
      </c>
      <c r="AHX1" s="31">
        <v>1444</v>
      </c>
      <c r="AHY1" s="31">
        <v>1445</v>
      </c>
      <c r="AHZ1" s="31">
        <v>1446</v>
      </c>
      <c r="AIA1" s="31">
        <v>1447</v>
      </c>
      <c r="AIB1" s="31">
        <v>1448</v>
      </c>
      <c r="AIC1" s="31">
        <v>1449</v>
      </c>
      <c r="AID1" s="31">
        <v>1450</v>
      </c>
      <c r="AIE1" s="31">
        <v>1451</v>
      </c>
      <c r="AIF1" s="31">
        <v>1452</v>
      </c>
      <c r="AIG1" s="31">
        <v>1453</v>
      </c>
      <c r="AIH1" s="31">
        <v>1454</v>
      </c>
      <c r="AII1" s="31">
        <v>1455</v>
      </c>
      <c r="AIJ1" s="31">
        <v>1457</v>
      </c>
      <c r="AIK1" s="31">
        <v>1458</v>
      </c>
      <c r="AIL1" s="31">
        <v>1459</v>
      </c>
      <c r="AIM1" s="31">
        <v>1460</v>
      </c>
      <c r="AIN1" s="31">
        <v>1463</v>
      </c>
      <c r="AIO1" s="31">
        <v>1464</v>
      </c>
      <c r="AIP1" s="31">
        <v>1465</v>
      </c>
      <c r="AIQ1" s="31">
        <v>1466</v>
      </c>
      <c r="AIR1" s="31">
        <v>1467</v>
      </c>
      <c r="AIS1" s="31">
        <v>1468</v>
      </c>
      <c r="AIT1" s="31">
        <v>1469</v>
      </c>
      <c r="AIU1" s="31">
        <v>1470</v>
      </c>
      <c r="AIV1" s="31">
        <v>1471</v>
      </c>
      <c r="AIW1" s="31">
        <v>1473</v>
      </c>
      <c r="AIX1" s="31">
        <v>1475</v>
      </c>
      <c r="AIY1" s="31">
        <v>1476</v>
      </c>
      <c r="AIZ1" s="31">
        <v>1478</v>
      </c>
      <c r="AJA1" s="31">
        <v>1479</v>
      </c>
      <c r="AJB1" s="31">
        <v>1480</v>
      </c>
      <c r="AJC1" s="31">
        <v>1481</v>
      </c>
      <c r="AJD1" s="31">
        <v>1482</v>
      </c>
      <c r="AJE1" s="31">
        <v>1483</v>
      </c>
      <c r="AJF1" s="31">
        <v>1484</v>
      </c>
      <c r="AJG1" s="31">
        <v>1486</v>
      </c>
      <c r="AJH1" s="31">
        <v>1487</v>
      </c>
      <c r="AJI1" s="31">
        <v>1489</v>
      </c>
      <c r="AJJ1" s="31">
        <v>1494</v>
      </c>
      <c r="AJK1" s="31">
        <v>1495</v>
      </c>
      <c r="AJL1" s="31">
        <v>1496</v>
      </c>
      <c r="AJM1" s="31">
        <v>1498</v>
      </c>
      <c r="AJN1" s="31">
        <v>1499</v>
      </c>
      <c r="AJO1" s="31">
        <v>1500</v>
      </c>
      <c r="AJP1" s="31">
        <v>1501</v>
      </c>
      <c r="AJQ1" s="31">
        <v>1503</v>
      </c>
      <c r="AJR1" s="31">
        <v>1504</v>
      </c>
      <c r="AJS1" s="31">
        <v>1507</v>
      </c>
      <c r="AJT1" s="31">
        <v>1508</v>
      </c>
      <c r="AJU1" s="31">
        <v>1509</v>
      </c>
      <c r="AJV1" s="31">
        <v>1510</v>
      </c>
      <c r="AJW1" s="31">
        <v>1511</v>
      </c>
      <c r="AJX1" s="31">
        <v>1512</v>
      </c>
      <c r="AJY1" s="31">
        <v>1513</v>
      </c>
      <c r="AJZ1" s="31">
        <v>1514</v>
      </c>
      <c r="AKA1" s="31">
        <v>1515</v>
      </c>
      <c r="AKB1" s="31">
        <v>1516</v>
      </c>
      <c r="AKC1" s="31">
        <v>1517</v>
      </c>
      <c r="AKD1" s="31">
        <v>1518</v>
      </c>
      <c r="AKE1" s="31">
        <v>1519</v>
      </c>
      <c r="AKF1" s="31">
        <v>1520</v>
      </c>
      <c r="AKG1" s="31">
        <v>1521</v>
      </c>
      <c r="AKH1" s="31">
        <v>1522</v>
      </c>
      <c r="AKI1" s="31">
        <v>1523</v>
      </c>
      <c r="AKJ1" s="31">
        <v>1524</v>
      </c>
      <c r="AKK1" s="31">
        <v>1525</v>
      </c>
      <c r="AKL1" s="31">
        <v>1526</v>
      </c>
      <c r="AKM1" s="31">
        <v>1527</v>
      </c>
      <c r="AKN1" s="31">
        <v>1528</v>
      </c>
      <c r="AKO1" s="31">
        <v>1529</v>
      </c>
      <c r="AKP1" s="31">
        <v>1530</v>
      </c>
      <c r="AKQ1" s="31">
        <v>1531</v>
      </c>
      <c r="AKR1" s="31">
        <v>1532</v>
      </c>
      <c r="AKS1" s="31">
        <v>1533</v>
      </c>
      <c r="AKT1" s="31">
        <v>1534</v>
      </c>
      <c r="AKU1" s="31">
        <v>1536</v>
      </c>
      <c r="AKV1" s="31">
        <v>1537</v>
      </c>
      <c r="AKW1" s="31">
        <v>1538</v>
      </c>
      <c r="AKX1" s="31">
        <v>1539</v>
      </c>
      <c r="AKY1" s="31">
        <v>1540</v>
      </c>
      <c r="AKZ1" s="31">
        <v>1541</v>
      </c>
      <c r="ALA1" s="31">
        <v>1545</v>
      </c>
      <c r="ALB1" s="31">
        <v>1548</v>
      </c>
      <c r="ALC1" s="31">
        <v>1550</v>
      </c>
      <c r="ALD1" s="31">
        <v>1551</v>
      </c>
      <c r="ALE1" s="31">
        <v>1552</v>
      </c>
      <c r="ALF1" s="31">
        <v>1553</v>
      </c>
      <c r="ALG1" s="31">
        <v>1554</v>
      </c>
      <c r="ALH1" s="31">
        <v>1555</v>
      </c>
      <c r="ALI1" s="31">
        <v>1556</v>
      </c>
      <c r="ALJ1" s="31">
        <v>1562</v>
      </c>
      <c r="ALK1" s="31">
        <v>1563</v>
      </c>
      <c r="ALL1" s="31">
        <v>1564</v>
      </c>
      <c r="ALM1" s="31">
        <v>1565</v>
      </c>
      <c r="ALN1" s="31">
        <v>1566</v>
      </c>
      <c r="ALO1" s="31">
        <v>1567</v>
      </c>
      <c r="ALP1" s="31">
        <v>1568</v>
      </c>
      <c r="ALQ1" s="31">
        <v>1569</v>
      </c>
      <c r="ALR1" s="31">
        <v>1570</v>
      </c>
      <c r="ALS1" s="31">
        <v>1571</v>
      </c>
      <c r="ALT1" s="31">
        <v>1573</v>
      </c>
      <c r="ALU1" s="31">
        <v>1574</v>
      </c>
      <c r="ALV1" s="31">
        <v>1577</v>
      </c>
      <c r="ALW1" s="31">
        <v>1580</v>
      </c>
      <c r="ALX1" s="31">
        <v>1581</v>
      </c>
      <c r="ALY1" s="31">
        <v>1583</v>
      </c>
      <c r="ALZ1" s="31">
        <v>1584</v>
      </c>
      <c r="AMA1" s="31">
        <v>1585</v>
      </c>
      <c r="AMB1" s="31">
        <v>1586</v>
      </c>
      <c r="AMC1" s="31">
        <v>1587</v>
      </c>
      <c r="AMD1" s="31">
        <v>1588</v>
      </c>
      <c r="AME1" s="31">
        <v>1589</v>
      </c>
      <c r="AMF1" s="31">
        <v>1590</v>
      </c>
      <c r="AMG1" s="31">
        <v>1591</v>
      </c>
      <c r="AMH1" s="31">
        <v>1592</v>
      </c>
      <c r="AMI1" s="31">
        <v>1593</v>
      </c>
      <c r="AMJ1" s="31">
        <v>1594</v>
      </c>
      <c r="AMK1" s="31">
        <v>1596</v>
      </c>
      <c r="AML1" s="31">
        <v>1597</v>
      </c>
      <c r="AMM1" s="31">
        <v>1600</v>
      </c>
      <c r="AMN1" s="31">
        <v>1601</v>
      </c>
      <c r="AMO1" s="31">
        <v>1602</v>
      </c>
      <c r="AMP1" s="31">
        <v>1603</v>
      </c>
      <c r="AMQ1" s="31">
        <v>1604</v>
      </c>
      <c r="AMR1" s="31">
        <v>1607</v>
      </c>
      <c r="AMS1" s="31">
        <v>1614</v>
      </c>
      <c r="AMT1" s="31">
        <v>1615</v>
      </c>
      <c r="AMU1" s="31">
        <v>1616</v>
      </c>
      <c r="AMV1" s="31">
        <v>1617</v>
      </c>
      <c r="AMW1" s="31">
        <v>1618</v>
      </c>
      <c r="AMX1" s="31">
        <v>1619</v>
      </c>
      <c r="AMY1" s="31">
        <v>1621</v>
      </c>
      <c r="AMZ1" s="31">
        <v>1622</v>
      </c>
      <c r="ANA1" s="31">
        <v>1624</v>
      </c>
      <c r="ANB1" s="31">
        <v>1626</v>
      </c>
      <c r="ANC1" s="31">
        <v>1627</v>
      </c>
      <c r="AND1" s="31">
        <v>1628</v>
      </c>
      <c r="ANE1" s="31">
        <v>1629</v>
      </c>
      <c r="ANF1" s="31">
        <v>1630</v>
      </c>
      <c r="ANG1" s="31">
        <v>1631</v>
      </c>
      <c r="ANH1" s="31">
        <v>1632</v>
      </c>
      <c r="ANI1" s="31">
        <v>1633</v>
      </c>
      <c r="ANJ1" s="31">
        <v>1634</v>
      </c>
      <c r="ANK1" s="31">
        <v>1635</v>
      </c>
      <c r="ANL1" s="31">
        <v>1636</v>
      </c>
      <c r="ANM1" s="31">
        <v>1637</v>
      </c>
      <c r="ANN1" s="31">
        <v>1638</v>
      </c>
      <c r="ANO1" s="31">
        <v>1639</v>
      </c>
      <c r="ANP1" s="31">
        <v>1640</v>
      </c>
      <c r="ANQ1" s="31">
        <v>1641</v>
      </c>
      <c r="ANR1" s="31">
        <v>1642</v>
      </c>
      <c r="ANS1" s="31">
        <v>1643</v>
      </c>
      <c r="ANT1" s="31">
        <v>1648</v>
      </c>
      <c r="ANU1" s="31">
        <v>1649</v>
      </c>
      <c r="ANV1" s="31">
        <v>1655</v>
      </c>
      <c r="ANW1" s="31">
        <v>1658</v>
      </c>
      <c r="ANX1" s="31">
        <v>1660</v>
      </c>
      <c r="ANY1" s="31">
        <v>1663</v>
      </c>
      <c r="ANZ1" s="31">
        <v>1664</v>
      </c>
      <c r="AOA1" s="31">
        <v>1666</v>
      </c>
      <c r="AOB1" s="31">
        <v>1667</v>
      </c>
      <c r="AOC1" s="31">
        <v>1668</v>
      </c>
      <c r="AOD1" s="31">
        <v>1670</v>
      </c>
      <c r="AOE1" s="31">
        <v>1671</v>
      </c>
      <c r="AOF1" s="31">
        <v>1672</v>
      </c>
      <c r="AOG1" s="31">
        <v>1673</v>
      </c>
      <c r="AOH1" s="31">
        <v>1674</v>
      </c>
      <c r="AOI1" s="31">
        <v>1676</v>
      </c>
      <c r="AOJ1" s="31">
        <v>1677</v>
      </c>
    </row>
    <row r="2" spans="1:1076" x14ac:dyDescent="0.3">
      <c r="A2" s="47" t="s">
        <v>1</v>
      </c>
      <c r="B2" s="44" t="s">
        <v>654</v>
      </c>
      <c r="C2" s="31" t="s">
        <v>821</v>
      </c>
      <c r="D2" s="31" t="s">
        <v>843</v>
      </c>
      <c r="E2" s="31" t="s">
        <v>1593</v>
      </c>
      <c r="F2" s="31" t="s">
        <v>1594</v>
      </c>
      <c r="G2" s="31" t="s">
        <v>1595</v>
      </c>
      <c r="H2" s="31" t="s">
        <v>1596</v>
      </c>
      <c r="I2" s="31" t="s">
        <v>1203</v>
      </c>
      <c r="J2" s="31" t="s">
        <v>675</v>
      </c>
      <c r="K2" s="31" t="s">
        <v>886</v>
      </c>
      <c r="L2" s="31" t="s">
        <v>419</v>
      </c>
      <c r="M2" s="31" t="s">
        <v>435</v>
      </c>
      <c r="N2" s="31" t="s">
        <v>459</v>
      </c>
      <c r="O2" s="31" t="s">
        <v>1197</v>
      </c>
      <c r="P2" s="31" t="s">
        <v>1290</v>
      </c>
      <c r="Q2" s="31" t="s">
        <v>1291</v>
      </c>
      <c r="R2" s="31" t="s">
        <v>1297</v>
      </c>
      <c r="S2" s="31" t="s">
        <v>1298</v>
      </c>
      <c r="T2" s="31" t="s">
        <v>1574</v>
      </c>
      <c r="U2" s="31" t="s">
        <v>193</v>
      </c>
      <c r="V2" s="31" t="s">
        <v>427</v>
      </c>
      <c r="W2" s="31" t="s">
        <v>465</v>
      </c>
      <c r="X2" s="31" t="s">
        <v>1262</v>
      </c>
      <c r="Y2" s="31" t="s">
        <v>1266</v>
      </c>
      <c r="Z2" s="31" t="s">
        <v>1284</v>
      </c>
      <c r="AA2" s="31" t="s">
        <v>1285</v>
      </c>
      <c r="AB2" s="31" t="s">
        <v>1350</v>
      </c>
      <c r="AC2" s="31" t="s">
        <v>1352</v>
      </c>
      <c r="AD2" s="31" t="s">
        <v>1354</v>
      </c>
      <c r="AE2" s="31" t="s">
        <v>1355</v>
      </c>
      <c r="AF2" s="31" t="s">
        <v>1360</v>
      </c>
      <c r="AG2" s="31" t="s">
        <v>1393</v>
      </c>
      <c r="AH2" s="31" t="s">
        <v>1441</v>
      </c>
      <c r="AI2" s="31" t="s">
        <v>451</v>
      </c>
      <c r="AJ2" s="31" t="s">
        <v>460</v>
      </c>
      <c r="AK2" s="31" t="s">
        <v>506</v>
      </c>
      <c r="AL2" s="31" t="s">
        <v>1556</v>
      </c>
      <c r="AM2" s="31" t="s">
        <v>1799</v>
      </c>
      <c r="AN2" s="31" t="s">
        <v>476</v>
      </c>
      <c r="AO2" s="31" t="s">
        <v>1241</v>
      </c>
      <c r="AP2" s="31" t="s">
        <v>1243</v>
      </c>
      <c r="AQ2" s="31" t="s">
        <v>1244</v>
      </c>
      <c r="AR2" s="31" t="s">
        <v>1246</v>
      </c>
      <c r="AS2" s="31" t="s">
        <v>1248</v>
      </c>
      <c r="AT2" s="31" t="s">
        <v>1255</v>
      </c>
      <c r="AU2" s="31" t="s">
        <v>1257</v>
      </c>
      <c r="AV2" s="31" t="s">
        <v>1269</v>
      </c>
      <c r="AW2" s="31" t="s">
        <v>1271</v>
      </c>
      <c r="AX2" s="31" t="s">
        <v>1288</v>
      </c>
      <c r="AY2" s="31" t="s">
        <v>1292</v>
      </c>
      <c r="AZ2" s="31" t="s">
        <v>1315</v>
      </c>
      <c r="BA2" s="31" t="s">
        <v>1317</v>
      </c>
      <c r="BB2" s="31" t="s">
        <v>1318</v>
      </c>
      <c r="BC2" s="31" t="s">
        <v>1320</v>
      </c>
      <c r="BD2" s="31" t="s">
        <v>1363</v>
      </c>
      <c r="BE2" s="31" t="s">
        <v>1299</v>
      </c>
      <c r="BF2" s="31" t="s">
        <v>1304</v>
      </c>
      <c r="BG2" s="31" t="s">
        <v>1043</v>
      </c>
      <c r="BH2" s="31" t="s">
        <v>1056</v>
      </c>
      <c r="BI2" s="31" t="s">
        <v>1456</v>
      </c>
      <c r="BJ2" s="31" t="s">
        <v>1457</v>
      </c>
      <c r="BK2" s="31" t="s">
        <v>515</v>
      </c>
      <c r="BL2" s="31" t="s">
        <v>523</v>
      </c>
      <c r="BM2" s="31" t="s">
        <v>524</v>
      </c>
      <c r="BN2" s="31" t="s">
        <v>1015</v>
      </c>
      <c r="BO2" s="31" t="s">
        <v>1322</v>
      </c>
      <c r="BP2" s="31" t="s">
        <v>1327</v>
      </c>
      <c r="BQ2" s="31" t="s">
        <v>1330</v>
      </c>
      <c r="BR2" s="31" t="s">
        <v>1338</v>
      </c>
      <c r="BS2" s="31" t="s">
        <v>1342</v>
      </c>
      <c r="BT2" s="31" t="s">
        <v>1345</v>
      </c>
      <c r="BU2" s="31" t="s">
        <v>701</v>
      </c>
      <c r="BV2" s="31" t="s">
        <v>1349</v>
      </c>
      <c r="BW2" s="31" t="s">
        <v>1432</v>
      </c>
      <c r="BX2" s="31" t="s">
        <v>26</v>
      </c>
      <c r="BY2" s="31" t="s">
        <v>171</v>
      </c>
      <c r="BZ2" s="31" t="s">
        <v>197</v>
      </c>
      <c r="CA2" s="31" t="s">
        <v>198</v>
      </c>
      <c r="CB2" s="31" t="s">
        <v>528</v>
      </c>
      <c r="CC2" s="31" t="s">
        <v>535</v>
      </c>
      <c r="CD2" s="31" t="s">
        <v>558</v>
      </c>
      <c r="CE2" s="31" t="s">
        <v>571</v>
      </c>
      <c r="CF2" s="31" t="s">
        <v>1480</v>
      </c>
      <c r="CG2" s="31" t="s">
        <v>500</v>
      </c>
      <c r="CH2" s="31" t="s">
        <v>1476</v>
      </c>
      <c r="CI2" s="31" t="s">
        <v>1377</v>
      </c>
      <c r="CJ2" s="31" t="s">
        <v>1381</v>
      </c>
      <c r="CK2" s="31" t="s">
        <v>1682</v>
      </c>
      <c r="CL2" s="31" t="s">
        <v>1689</v>
      </c>
      <c r="CM2" s="31" t="s">
        <v>1692</v>
      </c>
      <c r="CN2" s="31" t="s">
        <v>1305</v>
      </c>
      <c r="CO2" s="31" t="s">
        <v>1310</v>
      </c>
      <c r="CP2" s="31" t="s">
        <v>1313</v>
      </c>
      <c r="CQ2" s="31" t="s">
        <v>1314</v>
      </c>
      <c r="CR2" s="31" t="s">
        <v>51</v>
      </c>
      <c r="CS2" s="31" t="s">
        <v>76</v>
      </c>
      <c r="CT2" s="31" t="s">
        <v>83</v>
      </c>
      <c r="CU2" s="31" t="s">
        <v>104</v>
      </c>
      <c r="CV2" s="31" t="s">
        <v>112</v>
      </c>
      <c r="CW2" s="31" t="s">
        <v>120</v>
      </c>
      <c r="CX2" s="31" t="s">
        <v>147</v>
      </c>
      <c r="CY2" s="31" t="s">
        <v>175</v>
      </c>
      <c r="CZ2" s="31" t="s">
        <v>182</v>
      </c>
      <c r="DA2" s="31" t="s">
        <v>276</v>
      </c>
      <c r="DB2" s="31" t="s">
        <v>334</v>
      </c>
      <c r="DC2" s="31" t="s">
        <v>336</v>
      </c>
      <c r="DD2" s="31" t="s">
        <v>355</v>
      </c>
      <c r="DE2" s="31" t="s">
        <v>378</v>
      </c>
      <c r="DF2" s="31" t="s">
        <v>401</v>
      </c>
      <c r="DG2" s="31" t="s">
        <v>413</v>
      </c>
      <c r="DH2" s="31" t="s">
        <v>424</v>
      </c>
      <c r="DI2" s="31" t="s">
        <v>441</v>
      </c>
      <c r="DJ2" s="31" t="s">
        <v>444</v>
      </c>
      <c r="DK2" s="31" t="s">
        <v>447</v>
      </c>
      <c r="DL2" s="31" t="s">
        <v>448</v>
      </c>
      <c r="DM2" s="31" t="s">
        <v>450</v>
      </c>
      <c r="DN2" s="31" t="s">
        <v>175</v>
      </c>
      <c r="DO2" s="31" t="s">
        <v>470</v>
      </c>
      <c r="DP2" s="31" t="s">
        <v>473</v>
      </c>
      <c r="DQ2" s="31" t="s">
        <v>481</v>
      </c>
      <c r="DR2" s="31" t="s">
        <v>485</v>
      </c>
      <c r="DS2" s="31" t="s">
        <v>486</v>
      </c>
      <c r="DT2" s="31" t="s">
        <v>498</v>
      </c>
      <c r="DU2" s="31" t="s">
        <v>499</v>
      </c>
      <c r="DV2" s="31" t="s">
        <v>509</v>
      </c>
      <c r="DW2" s="31" t="s">
        <v>512</v>
      </c>
      <c r="DX2" s="31" t="s">
        <v>526</v>
      </c>
      <c r="DY2" s="31" t="s">
        <v>530</v>
      </c>
      <c r="DZ2" s="31" t="s">
        <v>569</v>
      </c>
      <c r="EA2" s="31" t="s">
        <v>583</v>
      </c>
      <c r="EB2" s="31" t="s">
        <v>602</v>
      </c>
      <c r="EC2" s="31" t="s">
        <v>603</v>
      </c>
      <c r="ED2" s="31" t="s">
        <v>617</v>
      </c>
      <c r="EE2" s="31" t="s">
        <v>625</v>
      </c>
      <c r="EF2" s="31" t="s">
        <v>635</v>
      </c>
      <c r="EG2" s="31" t="s">
        <v>640</v>
      </c>
      <c r="EH2" s="31" t="s">
        <v>645</v>
      </c>
      <c r="EI2" s="31" t="s">
        <v>657</v>
      </c>
      <c r="EJ2" s="31" t="s">
        <v>696</v>
      </c>
      <c r="EK2" s="31" t="s">
        <v>709</v>
      </c>
      <c r="EL2" s="31" t="s">
        <v>717</v>
      </c>
      <c r="EM2" s="31" t="s">
        <v>895</v>
      </c>
      <c r="EN2" s="31" t="s">
        <v>901</v>
      </c>
      <c r="EO2" s="31" t="s">
        <v>903</v>
      </c>
      <c r="EP2" s="31" t="s">
        <v>940</v>
      </c>
      <c r="EQ2" s="31" t="s">
        <v>948</v>
      </c>
      <c r="ER2" s="31" t="s">
        <v>963</v>
      </c>
      <c r="ES2" s="31" t="s">
        <v>971</v>
      </c>
      <c r="ET2" s="31" t="s">
        <v>1006</v>
      </c>
      <c r="EU2" s="31" t="s">
        <v>1009</v>
      </c>
      <c r="EV2" s="31" t="s">
        <v>1025</v>
      </c>
      <c r="EW2" s="31" t="s">
        <v>1031</v>
      </c>
      <c r="EX2" s="31" t="s">
        <v>1033</v>
      </c>
      <c r="EY2" s="31" t="s">
        <v>1051</v>
      </c>
      <c r="EZ2" s="31" t="s">
        <v>1057</v>
      </c>
      <c r="FA2" s="31" t="s">
        <v>1068</v>
      </c>
      <c r="FB2" s="31" t="s">
        <v>1077</v>
      </c>
      <c r="FC2" s="31" t="s">
        <v>1103</v>
      </c>
      <c r="FD2" s="31" t="s">
        <v>1132</v>
      </c>
      <c r="FE2" s="31" t="s">
        <v>1136</v>
      </c>
      <c r="FF2" s="31" t="s">
        <v>1159</v>
      </c>
      <c r="FG2" s="31" t="s">
        <v>1179</v>
      </c>
      <c r="FH2" s="31" t="s">
        <v>1215</v>
      </c>
      <c r="FI2" s="31" t="s">
        <v>1216</v>
      </c>
      <c r="FJ2" s="31" t="s">
        <v>1163</v>
      </c>
      <c r="FK2" s="31" t="s">
        <v>1228</v>
      </c>
      <c r="FL2" s="31" t="s">
        <v>1230</v>
      </c>
      <c r="FM2" s="31" t="s">
        <v>1232</v>
      </c>
      <c r="FN2" s="31" t="s">
        <v>1234</v>
      </c>
      <c r="FO2" s="31" t="s">
        <v>1249</v>
      </c>
      <c r="FP2" s="31" t="s">
        <v>1251</v>
      </c>
      <c r="FQ2" s="31" t="s">
        <v>1282</v>
      </c>
      <c r="FR2" s="31" t="s">
        <v>1364</v>
      </c>
      <c r="FS2" s="31" t="s">
        <v>1368</v>
      </c>
      <c r="FT2" s="31" t="s">
        <v>1369</v>
      </c>
      <c r="FU2" s="31" t="s">
        <v>1371</v>
      </c>
      <c r="FV2" s="31" t="s">
        <v>1374</v>
      </c>
      <c r="FW2" s="31" t="s">
        <v>1375</v>
      </c>
      <c r="FX2" s="31" t="s">
        <v>1376</v>
      </c>
      <c r="FY2" s="31" t="s">
        <v>1385</v>
      </c>
      <c r="FZ2" s="31" t="s">
        <v>1386</v>
      </c>
      <c r="GA2" s="31" t="s">
        <v>1388</v>
      </c>
      <c r="GB2" s="31" t="s">
        <v>1390</v>
      </c>
      <c r="GC2" s="31" t="s">
        <v>1397</v>
      </c>
      <c r="GD2" s="31" t="s">
        <v>1398</v>
      </c>
      <c r="GE2" s="31" t="s">
        <v>1399</v>
      </c>
      <c r="GF2" s="31" t="s">
        <v>1401</v>
      </c>
      <c r="GG2" s="31" t="s">
        <v>1402</v>
      </c>
      <c r="GH2" s="31" t="s">
        <v>1448</v>
      </c>
      <c r="GI2" s="31" t="s">
        <v>1449</v>
      </c>
      <c r="GJ2" s="31" t="s">
        <v>1451</v>
      </c>
      <c r="GK2" s="31" t="s">
        <v>1453</v>
      </c>
      <c r="GL2" s="31" t="s">
        <v>1454</v>
      </c>
      <c r="GM2" s="31" t="s">
        <v>1455</v>
      </c>
      <c r="GN2" s="31" t="s">
        <v>1485</v>
      </c>
      <c r="GO2" s="31" t="s">
        <v>1505</v>
      </c>
      <c r="GP2" s="31" t="s">
        <v>1506</v>
      </c>
      <c r="GQ2" s="31" t="s">
        <v>1507</v>
      </c>
      <c r="GR2" s="31" t="s">
        <v>1508</v>
      </c>
      <c r="GS2" s="31" t="s">
        <v>1513</v>
      </c>
      <c r="GT2" s="31" t="s">
        <v>1514</v>
      </c>
      <c r="GU2" s="31" t="s">
        <v>1518</v>
      </c>
      <c r="GV2" s="31" t="s">
        <v>1547</v>
      </c>
      <c r="GW2" s="31" t="s">
        <v>1554</v>
      </c>
      <c r="GX2" s="31" t="s">
        <v>1569</v>
      </c>
      <c r="GY2" s="31" t="s">
        <v>1586</v>
      </c>
      <c r="GZ2" s="31" t="s">
        <v>1590</v>
      </c>
      <c r="HA2" s="31" t="s">
        <v>1608</v>
      </c>
      <c r="HB2" s="31" t="s">
        <v>1637</v>
      </c>
      <c r="HC2" s="31" t="s">
        <v>1649</v>
      </c>
      <c r="HD2" s="31" t="s">
        <v>1163</v>
      </c>
      <c r="HE2" s="31" t="s">
        <v>1652</v>
      </c>
      <c r="HF2" s="31" t="s">
        <v>1654</v>
      </c>
      <c r="HG2" s="31" t="s">
        <v>1665</v>
      </c>
      <c r="HH2" s="31" t="s">
        <v>1666</v>
      </c>
      <c r="HI2" s="31" t="s">
        <v>1667</v>
      </c>
      <c r="HJ2" s="31" t="s">
        <v>1668</v>
      </c>
      <c r="HK2" s="31" t="s">
        <v>1678</v>
      </c>
      <c r="HL2" s="31" t="s">
        <v>1715</v>
      </c>
      <c r="HM2" s="31" t="s">
        <v>1726</v>
      </c>
      <c r="HN2" s="31" t="s">
        <v>1727</v>
      </c>
      <c r="HO2" s="31" t="s">
        <v>1732</v>
      </c>
      <c r="HP2" s="31" t="s">
        <v>1734</v>
      </c>
      <c r="HQ2" s="31" t="s">
        <v>1735</v>
      </c>
      <c r="HR2" s="31" t="s">
        <v>1736</v>
      </c>
      <c r="HS2" s="31" t="s">
        <v>1744</v>
      </c>
      <c r="HT2" s="31" t="s">
        <v>1749</v>
      </c>
      <c r="HU2" s="31" t="s">
        <v>1773</v>
      </c>
      <c r="HV2" s="31" t="s">
        <v>1775</v>
      </c>
      <c r="HW2" s="31" t="s">
        <v>1776</v>
      </c>
      <c r="HX2" s="31" t="s">
        <v>1778</v>
      </c>
      <c r="HY2" s="31" t="s">
        <v>1782</v>
      </c>
      <c r="HZ2" s="31" t="s">
        <v>1784</v>
      </c>
      <c r="IA2" s="31" t="s">
        <v>14</v>
      </c>
      <c r="IB2" s="31" t="s">
        <v>21</v>
      </c>
      <c r="IC2" s="31" t="s">
        <v>30</v>
      </c>
      <c r="ID2" s="31" t="s">
        <v>33</v>
      </c>
      <c r="IE2" s="31" t="s">
        <v>37</v>
      </c>
      <c r="IF2" s="31" t="s">
        <v>41</v>
      </c>
      <c r="IG2" s="31" t="s">
        <v>44</v>
      </c>
      <c r="IH2" s="31" t="s">
        <v>48</v>
      </c>
      <c r="II2" s="31" t="s">
        <v>56</v>
      </c>
      <c r="IJ2" s="31" t="s">
        <v>59</v>
      </c>
      <c r="IK2" s="31" t="s">
        <v>64</v>
      </c>
      <c r="IL2" s="31" t="s">
        <v>67</v>
      </c>
      <c r="IM2" s="31" t="s">
        <v>71</v>
      </c>
      <c r="IN2" s="31" t="s">
        <v>73</v>
      </c>
      <c r="IO2" s="31" t="s">
        <v>78</v>
      </c>
      <c r="IP2" s="31" t="s">
        <v>80</v>
      </c>
      <c r="IQ2" s="31" t="s">
        <v>82</v>
      </c>
      <c r="IR2" s="31" t="s">
        <v>87</v>
      </c>
      <c r="IS2" s="31" t="s">
        <v>90</v>
      </c>
      <c r="IT2" s="31" t="s">
        <v>91</v>
      </c>
      <c r="IU2" s="31" t="s">
        <v>93</v>
      </c>
      <c r="IV2" s="31" t="s">
        <v>94</v>
      </c>
      <c r="IW2" s="31" t="s">
        <v>95</v>
      </c>
      <c r="IX2" s="31" t="s">
        <v>98</v>
      </c>
      <c r="IY2" s="31" t="s">
        <v>101</v>
      </c>
      <c r="IZ2" s="31" t="s">
        <v>106</v>
      </c>
      <c r="JA2" s="31" t="s">
        <v>108</v>
      </c>
      <c r="JB2" s="31" t="s">
        <v>109</v>
      </c>
      <c r="JC2" s="31" t="s">
        <v>114</v>
      </c>
      <c r="JD2" s="31" t="s">
        <v>116</v>
      </c>
      <c r="JE2" s="31" t="s">
        <v>122</v>
      </c>
      <c r="JF2" s="31" t="s">
        <v>125</v>
      </c>
      <c r="JG2" s="31" t="s">
        <v>126</v>
      </c>
      <c r="JH2" s="31" t="s">
        <v>129</v>
      </c>
      <c r="JI2" s="31" t="s">
        <v>131</v>
      </c>
      <c r="JJ2" s="31" t="s">
        <v>134</v>
      </c>
      <c r="JK2" s="31" t="s">
        <v>136</v>
      </c>
      <c r="JL2" s="31" t="s">
        <v>138</v>
      </c>
      <c r="JM2" s="31" t="s">
        <v>141</v>
      </c>
      <c r="JN2" s="31" t="s">
        <v>144</v>
      </c>
      <c r="JO2" s="31" t="s">
        <v>145</v>
      </c>
      <c r="JP2" s="31" t="s">
        <v>146</v>
      </c>
      <c r="JQ2" s="31" t="s">
        <v>149</v>
      </c>
      <c r="JR2" s="31" t="s">
        <v>153</v>
      </c>
      <c r="JS2" s="31" t="s">
        <v>156</v>
      </c>
      <c r="JT2" s="31" t="s">
        <v>159</v>
      </c>
      <c r="JU2" s="31" t="s">
        <v>162</v>
      </c>
      <c r="JV2" s="31" t="s">
        <v>165</v>
      </c>
      <c r="JW2" s="31" t="s">
        <v>169</v>
      </c>
      <c r="JX2" s="31" t="s">
        <v>172</v>
      </c>
      <c r="JY2" s="31" t="s">
        <v>177</v>
      </c>
      <c r="JZ2" s="31" t="s">
        <v>178</v>
      </c>
      <c r="KA2" s="31" t="s">
        <v>180</v>
      </c>
      <c r="KB2" s="31" t="s">
        <v>183</v>
      </c>
      <c r="KC2" s="31" t="s">
        <v>184</v>
      </c>
      <c r="KD2" s="31" t="s">
        <v>186</v>
      </c>
      <c r="KE2" s="31" t="s">
        <v>187</v>
      </c>
      <c r="KF2" s="31" t="s">
        <v>189</v>
      </c>
      <c r="KG2" s="31" t="s">
        <v>191</v>
      </c>
      <c r="KH2" s="31" t="s">
        <v>199</v>
      </c>
      <c r="KI2" s="31" t="s">
        <v>203</v>
      </c>
      <c r="KJ2" s="31" t="s">
        <v>205</v>
      </c>
      <c r="KK2" s="31" t="s">
        <v>206</v>
      </c>
      <c r="KL2" s="31" t="s">
        <v>207</v>
      </c>
      <c r="KM2" s="31" t="s">
        <v>210</v>
      </c>
      <c r="KN2" s="31" t="s">
        <v>211</v>
      </c>
      <c r="KO2" s="31" t="s">
        <v>212</v>
      </c>
      <c r="KP2" s="31" t="s">
        <v>214</v>
      </c>
      <c r="KQ2" s="31" t="s">
        <v>216</v>
      </c>
      <c r="KR2" s="31" t="s">
        <v>217</v>
      </c>
      <c r="KS2" s="31" t="s">
        <v>218</v>
      </c>
      <c r="KT2" s="31" t="s">
        <v>219</v>
      </c>
      <c r="KU2" s="31" t="s">
        <v>221</v>
      </c>
      <c r="KV2" s="31" t="s">
        <v>223</v>
      </c>
      <c r="KW2" s="31" t="s">
        <v>226</v>
      </c>
      <c r="KX2" s="31" t="s">
        <v>227</v>
      </c>
      <c r="KY2" s="31" t="s">
        <v>229</v>
      </c>
      <c r="KZ2" s="31" t="s">
        <v>230</v>
      </c>
      <c r="LA2" s="31" t="s">
        <v>231</v>
      </c>
      <c r="LB2" s="31" t="s">
        <v>232</v>
      </c>
      <c r="LC2" s="31" t="s">
        <v>233</v>
      </c>
      <c r="LD2" s="31" t="s">
        <v>235</v>
      </c>
      <c r="LE2" s="31" t="s">
        <v>236</v>
      </c>
      <c r="LF2" s="31" t="s">
        <v>238</v>
      </c>
      <c r="LG2" s="31" t="s">
        <v>241</v>
      </c>
      <c r="LH2" s="31" t="s">
        <v>244</v>
      </c>
      <c r="LI2" s="31" t="s">
        <v>248</v>
      </c>
      <c r="LJ2" s="31" t="s">
        <v>249</v>
      </c>
      <c r="LK2" s="31" t="s">
        <v>250</v>
      </c>
      <c r="LL2" s="31" t="s">
        <v>252</v>
      </c>
      <c r="LM2" s="31" t="s">
        <v>254</v>
      </c>
      <c r="LN2" s="31" t="s">
        <v>255</v>
      </c>
      <c r="LO2" s="31" t="s">
        <v>258</v>
      </c>
      <c r="LP2" s="31" t="s">
        <v>259</v>
      </c>
      <c r="LQ2" s="31" t="s">
        <v>261</v>
      </c>
      <c r="LR2" s="31" t="s">
        <v>262</v>
      </c>
      <c r="LS2" s="31" t="s">
        <v>264</v>
      </c>
      <c r="LT2" s="31" t="s">
        <v>265</v>
      </c>
      <c r="LU2" s="31" t="s">
        <v>266</v>
      </c>
      <c r="LV2" s="31" t="s">
        <v>267</v>
      </c>
      <c r="LW2" s="31" t="s">
        <v>270</v>
      </c>
      <c r="LX2" s="31" t="s">
        <v>271</v>
      </c>
      <c r="LY2" s="31" t="s">
        <v>273</v>
      </c>
      <c r="LZ2" s="31" t="s">
        <v>274</v>
      </c>
      <c r="MA2" s="31" t="s">
        <v>277</v>
      </c>
      <c r="MB2" s="31" t="s">
        <v>279</v>
      </c>
      <c r="MC2" s="31" t="s">
        <v>281</v>
      </c>
      <c r="MD2" s="31" t="s">
        <v>283</v>
      </c>
      <c r="ME2" s="31" t="s">
        <v>284</v>
      </c>
      <c r="MF2" s="31" t="s">
        <v>286</v>
      </c>
      <c r="MG2" s="31" t="s">
        <v>289</v>
      </c>
      <c r="MH2" s="31">
        <v>300</v>
      </c>
      <c r="MI2" s="31" t="s">
        <v>292</v>
      </c>
      <c r="MJ2" s="31" t="s">
        <v>294</v>
      </c>
      <c r="MK2" s="31" t="s">
        <v>296</v>
      </c>
      <c r="ML2" s="31" t="s">
        <v>298</v>
      </c>
      <c r="MM2" s="31" t="s">
        <v>299</v>
      </c>
      <c r="MN2" s="31" t="s">
        <v>300</v>
      </c>
      <c r="MO2" s="31" t="s">
        <v>301</v>
      </c>
      <c r="MP2" s="31" t="s">
        <v>304</v>
      </c>
      <c r="MQ2" s="31" t="s">
        <v>306</v>
      </c>
      <c r="MR2" s="31" t="s">
        <v>308</v>
      </c>
      <c r="MS2" s="31" t="s">
        <v>309</v>
      </c>
      <c r="MT2" s="31" t="s">
        <v>310</v>
      </c>
      <c r="MU2" s="31" t="s">
        <v>312</v>
      </c>
      <c r="MV2" s="31" t="s">
        <v>313</v>
      </c>
      <c r="MW2" s="31" t="s">
        <v>315</v>
      </c>
      <c r="MX2" s="31" t="s">
        <v>317</v>
      </c>
      <c r="MY2" s="31" t="s">
        <v>319</v>
      </c>
      <c r="MZ2" s="31" t="s">
        <v>320</v>
      </c>
      <c r="NA2" s="31" t="s">
        <v>321</v>
      </c>
      <c r="NB2" s="31" t="s">
        <v>323</v>
      </c>
      <c r="NC2" s="31" t="s">
        <v>324</v>
      </c>
      <c r="ND2" s="31" t="s">
        <v>326</v>
      </c>
      <c r="NE2" s="31" t="s">
        <v>327</v>
      </c>
      <c r="NF2" s="31" t="s">
        <v>328</v>
      </c>
      <c r="NG2" s="31" t="s">
        <v>330</v>
      </c>
      <c r="NH2" s="31" t="s">
        <v>332</v>
      </c>
      <c r="NI2" s="31" t="s">
        <v>333</v>
      </c>
      <c r="NJ2" s="31" t="s">
        <v>337</v>
      </c>
      <c r="NK2" s="31" t="s">
        <v>340</v>
      </c>
      <c r="NL2" s="31" t="s">
        <v>342</v>
      </c>
      <c r="NM2" s="31" t="s">
        <v>344</v>
      </c>
      <c r="NN2" s="31" t="s">
        <v>347</v>
      </c>
      <c r="NO2" s="31" t="s">
        <v>349</v>
      </c>
      <c r="NP2" s="31" t="s">
        <v>350</v>
      </c>
      <c r="NQ2" s="31" t="s">
        <v>351</v>
      </c>
      <c r="NR2" s="31" t="s">
        <v>353</v>
      </c>
      <c r="NS2" s="31" t="s">
        <v>357</v>
      </c>
      <c r="NT2" s="31" t="s">
        <v>359</v>
      </c>
      <c r="NU2" s="31" t="s">
        <v>363</v>
      </c>
      <c r="NV2" s="31" t="s">
        <v>366</v>
      </c>
      <c r="NW2" s="31" t="s">
        <v>367</v>
      </c>
      <c r="NX2" s="31" t="s">
        <v>369</v>
      </c>
      <c r="NY2" s="31" t="s">
        <v>372</v>
      </c>
      <c r="NZ2" s="31" t="s">
        <v>374</v>
      </c>
      <c r="OA2" s="31" t="s">
        <v>375</v>
      </c>
      <c r="OB2" s="31" t="s">
        <v>377</v>
      </c>
      <c r="OC2" s="31" t="s">
        <v>379</v>
      </c>
      <c r="OD2" s="31" t="s">
        <v>380</v>
      </c>
      <c r="OE2" s="31" t="s">
        <v>382</v>
      </c>
      <c r="OF2" s="31" t="s">
        <v>385</v>
      </c>
      <c r="OG2" s="31" t="s">
        <v>387</v>
      </c>
      <c r="OH2" s="31" t="s">
        <v>388</v>
      </c>
      <c r="OI2" s="31" t="s">
        <v>389</v>
      </c>
      <c r="OJ2" s="31" t="s">
        <v>390</v>
      </c>
      <c r="OK2" s="31" t="s">
        <v>392</v>
      </c>
      <c r="OL2" s="31" t="s">
        <v>393</v>
      </c>
      <c r="OM2" s="31" t="s">
        <v>394</v>
      </c>
      <c r="ON2" s="31" t="s">
        <v>395</v>
      </c>
      <c r="OO2" s="31" t="s">
        <v>396</v>
      </c>
      <c r="OP2" s="31" t="s">
        <v>26</v>
      </c>
      <c r="OQ2" s="31" t="s">
        <v>400</v>
      </c>
      <c r="OR2" s="31" t="s">
        <v>404</v>
      </c>
      <c r="OS2" s="31" t="s">
        <v>406</v>
      </c>
      <c r="OT2" s="31" t="s">
        <v>408</v>
      </c>
      <c r="OU2" s="31" t="s">
        <v>409</v>
      </c>
      <c r="OV2" s="31" t="s">
        <v>410</v>
      </c>
      <c r="OW2" s="31" t="s">
        <v>412</v>
      </c>
      <c r="OX2" s="31" t="s">
        <v>416</v>
      </c>
      <c r="OY2" s="31" t="s">
        <v>418</v>
      </c>
      <c r="OZ2" s="31" t="s">
        <v>428</v>
      </c>
      <c r="PA2" s="31" t="s">
        <v>430</v>
      </c>
      <c r="PB2" s="31" t="s">
        <v>431</v>
      </c>
      <c r="PC2" s="31" t="s">
        <v>433</v>
      </c>
      <c r="PD2" s="31" t="s">
        <v>434</v>
      </c>
      <c r="PE2" s="31" t="s">
        <v>438</v>
      </c>
      <c r="PF2" s="31" t="s">
        <v>440</v>
      </c>
      <c r="PG2" s="31" t="s">
        <v>442</v>
      </c>
      <c r="PH2" s="31" t="s">
        <v>443</v>
      </c>
      <c r="PI2" s="31" t="s">
        <v>456</v>
      </c>
      <c r="PJ2" s="31" t="s">
        <v>458</v>
      </c>
      <c r="PK2" s="31" t="s">
        <v>463</v>
      </c>
      <c r="PL2" s="31" t="s">
        <v>464</v>
      </c>
      <c r="PM2" s="31" t="s">
        <v>469</v>
      </c>
      <c r="PN2" s="31" t="s">
        <v>472</v>
      </c>
      <c r="PO2" s="31" t="s">
        <v>475</v>
      </c>
      <c r="PP2" s="31" t="s">
        <v>483</v>
      </c>
      <c r="PQ2" s="31" t="s">
        <v>487</v>
      </c>
      <c r="PR2" s="31" t="s">
        <v>490</v>
      </c>
      <c r="PS2" s="31" t="s">
        <v>491</v>
      </c>
      <c r="PT2" s="31" t="s">
        <v>156</v>
      </c>
      <c r="PU2" s="31" t="s">
        <v>494</v>
      </c>
      <c r="PV2" s="31" t="s">
        <v>496</v>
      </c>
      <c r="PW2" s="31" t="s">
        <v>505</v>
      </c>
      <c r="PX2" s="31" t="s">
        <v>510</v>
      </c>
      <c r="PY2" s="31" t="s">
        <v>26</v>
      </c>
      <c r="PZ2" s="31" t="s">
        <v>519</v>
      </c>
      <c r="QA2" s="31" t="s">
        <v>533</v>
      </c>
      <c r="QB2" s="31" t="s">
        <v>534</v>
      </c>
      <c r="QC2" s="31" t="s">
        <v>536</v>
      </c>
      <c r="QD2" s="31" t="s">
        <v>538</v>
      </c>
      <c r="QE2" s="31" t="s">
        <v>540</v>
      </c>
      <c r="QF2" s="31" t="s">
        <v>541</v>
      </c>
      <c r="QG2" s="31" t="s">
        <v>543</v>
      </c>
      <c r="QH2" s="31" t="s">
        <v>545</v>
      </c>
      <c r="QI2" s="31" t="s">
        <v>547</v>
      </c>
      <c r="QJ2" s="31" t="s">
        <v>550</v>
      </c>
      <c r="QK2" s="31" t="s">
        <v>551</v>
      </c>
      <c r="QL2" s="31" t="s">
        <v>553</v>
      </c>
      <c r="QM2" s="31" t="s">
        <v>555</v>
      </c>
      <c r="QN2" s="31" t="s">
        <v>559</v>
      </c>
      <c r="QO2" s="31" t="s">
        <v>560</v>
      </c>
      <c r="QP2" s="31" t="s">
        <v>562</v>
      </c>
      <c r="QQ2" s="31" t="s">
        <v>564</v>
      </c>
      <c r="QR2" s="31" t="s">
        <v>565</v>
      </c>
      <c r="QS2" s="31" t="s">
        <v>566</v>
      </c>
      <c r="QT2" s="31" t="s">
        <v>568</v>
      </c>
      <c r="QU2" s="31" t="s">
        <v>570</v>
      </c>
      <c r="QV2" s="31" t="s">
        <v>572</v>
      </c>
      <c r="QW2" s="31" t="s">
        <v>574</v>
      </c>
      <c r="QX2" s="31" t="s">
        <v>577</v>
      </c>
      <c r="QY2" s="31" t="s">
        <v>578</v>
      </c>
      <c r="QZ2" s="31" t="s">
        <v>580</v>
      </c>
      <c r="RA2" s="31" t="s">
        <v>582</v>
      </c>
      <c r="RB2" s="31" t="s">
        <v>584</v>
      </c>
      <c r="RC2" s="31" t="s">
        <v>585</v>
      </c>
      <c r="RD2" s="31" t="s">
        <v>587</v>
      </c>
      <c r="RE2" s="31" t="s">
        <v>589</v>
      </c>
      <c r="RF2" s="31" t="s">
        <v>591</v>
      </c>
      <c r="RG2" s="31" t="s">
        <v>593</v>
      </c>
      <c r="RH2" s="31" t="s">
        <v>594</v>
      </c>
      <c r="RI2" s="31" t="s">
        <v>595</v>
      </c>
      <c r="RJ2" s="31" t="s">
        <v>598</v>
      </c>
      <c r="RK2" s="31" t="s">
        <v>600</v>
      </c>
      <c r="RL2" s="31" t="s">
        <v>604</v>
      </c>
      <c r="RM2" s="31" t="s">
        <v>605</v>
      </c>
      <c r="RN2" s="31" t="s">
        <v>607</v>
      </c>
      <c r="RO2" s="31" t="s">
        <v>609</v>
      </c>
      <c r="RP2" s="31" t="s">
        <v>611</v>
      </c>
      <c r="RQ2" s="31" t="s">
        <v>613</v>
      </c>
      <c r="RR2" s="31" t="s">
        <v>614</v>
      </c>
      <c r="RS2" s="31" t="s">
        <v>616</v>
      </c>
      <c r="RT2" s="31" t="s">
        <v>618</v>
      </c>
      <c r="RU2" s="31" t="s">
        <v>620</v>
      </c>
      <c r="RV2" s="31">
        <v>2012</v>
      </c>
      <c r="RW2" s="31" t="s">
        <v>622</v>
      </c>
      <c r="RX2" s="31" t="s">
        <v>623</v>
      </c>
      <c r="RY2" s="31" t="s">
        <v>627</v>
      </c>
      <c r="RZ2" s="31" t="s">
        <v>628</v>
      </c>
      <c r="SA2" s="31" t="s">
        <v>629</v>
      </c>
      <c r="SB2" s="31" t="s">
        <v>630</v>
      </c>
      <c r="SC2" s="31" t="s">
        <v>632</v>
      </c>
      <c r="SD2" s="31" t="s">
        <v>639</v>
      </c>
      <c r="SE2" s="31" t="s">
        <v>642</v>
      </c>
      <c r="SF2" s="31" t="s">
        <v>643</v>
      </c>
      <c r="SG2" s="31" t="s">
        <v>646</v>
      </c>
      <c r="SH2" s="31" t="s">
        <v>649</v>
      </c>
      <c r="SI2" s="31" t="s">
        <v>650</v>
      </c>
      <c r="SJ2" s="31" t="s">
        <v>651</v>
      </c>
      <c r="SK2" s="31" t="s">
        <v>653</v>
      </c>
      <c r="SL2" s="31" t="s">
        <v>658</v>
      </c>
      <c r="SM2" s="31" t="s">
        <v>659</v>
      </c>
      <c r="SN2" s="31" t="s">
        <v>662</v>
      </c>
      <c r="SO2" s="31" t="s">
        <v>663</v>
      </c>
      <c r="SP2" s="31" t="s">
        <v>666</v>
      </c>
      <c r="SQ2" s="31" t="s">
        <v>668</v>
      </c>
      <c r="SR2" s="31" t="s">
        <v>669</v>
      </c>
      <c r="SS2" s="31" t="s">
        <v>672</v>
      </c>
      <c r="ST2" s="31" t="s">
        <v>673</v>
      </c>
      <c r="SU2" s="31" t="s">
        <v>674</v>
      </c>
      <c r="SV2" s="31" t="s">
        <v>679</v>
      </c>
      <c r="SW2" s="31" t="s">
        <v>682</v>
      </c>
      <c r="SX2" s="31" t="s">
        <v>684</v>
      </c>
      <c r="SY2" s="31" t="s">
        <v>685</v>
      </c>
      <c r="SZ2" s="31" t="s">
        <v>687</v>
      </c>
      <c r="TA2" s="31" t="s">
        <v>689</v>
      </c>
      <c r="TB2" s="31" t="s">
        <v>690</v>
      </c>
      <c r="TC2" s="31" t="s">
        <v>691</v>
      </c>
      <c r="TD2" s="31" t="s">
        <v>692</v>
      </c>
      <c r="TE2" s="31" t="s">
        <v>693</v>
      </c>
      <c r="TF2" s="31" t="s">
        <v>695</v>
      </c>
      <c r="TG2" s="31" t="s">
        <v>699</v>
      </c>
      <c r="TH2" s="31" t="s">
        <v>701</v>
      </c>
      <c r="TI2" s="31" t="s">
        <v>702</v>
      </c>
      <c r="TJ2" s="31" t="s">
        <v>704</v>
      </c>
      <c r="TK2" s="31" t="s">
        <v>705</v>
      </c>
      <c r="TL2" s="31" t="s">
        <v>707</v>
      </c>
      <c r="TM2" s="31" t="s">
        <v>711</v>
      </c>
      <c r="TN2" s="31" t="s">
        <v>712</v>
      </c>
      <c r="TO2" s="31" t="s">
        <v>713</v>
      </c>
      <c r="TP2" s="31" t="s">
        <v>714</v>
      </c>
      <c r="TQ2" s="31" t="s">
        <v>719</v>
      </c>
      <c r="TR2" s="31" t="s">
        <v>721</v>
      </c>
      <c r="TS2" s="31" t="s">
        <v>723</v>
      </c>
      <c r="TT2" s="31" t="s">
        <v>726</v>
      </c>
      <c r="TU2" s="31" t="s">
        <v>727</v>
      </c>
      <c r="TV2" s="31" t="s">
        <v>728</v>
      </c>
      <c r="TW2" s="31" t="s">
        <v>730</v>
      </c>
      <c r="TX2" s="31" t="s">
        <v>733</v>
      </c>
      <c r="TY2" s="31" t="s">
        <v>734</v>
      </c>
      <c r="TZ2" s="31" t="s">
        <v>736</v>
      </c>
      <c r="UA2" s="31" t="s">
        <v>738</v>
      </c>
      <c r="UB2" s="31" t="s">
        <v>740</v>
      </c>
      <c r="UC2" s="31" t="s">
        <v>742</v>
      </c>
      <c r="UD2" s="31" t="s">
        <v>744</v>
      </c>
      <c r="UE2" s="31" t="s">
        <v>746</v>
      </c>
      <c r="UF2" s="31" t="s">
        <v>748</v>
      </c>
      <c r="UG2" s="31" t="s">
        <v>750</v>
      </c>
      <c r="UH2" s="31" t="s">
        <v>752</v>
      </c>
      <c r="UI2" s="31" t="s">
        <v>753</v>
      </c>
      <c r="UJ2" s="31" t="s">
        <v>756</v>
      </c>
      <c r="UK2" s="31" t="s">
        <v>758</v>
      </c>
      <c r="UL2" s="31" t="s">
        <v>760</v>
      </c>
      <c r="UM2" s="31" t="s">
        <v>762</v>
      </c>
      <c r="UN2" s="31" t="s">
        <v>765</v>
      </c>
      <c r="UO2" s="31" t="s">
        <v>767</v>
      </c>
      <c r="UP2" s="31" t="s">
        <v>769</v>
      </c>
      <c r="UQ2" s="31" t="s">
        <v>771</v>
      </c>
      <c r="UR2" s="31" t="s">
        <v>773</v>
      </c>
      <c r="US2" s="31" t="s">
        <v>775</v>
      </c>
      <c r="UT2" s="31" t="s">
        <v>776</v>
      </c>
      <c r="UU2" s="31" t="s">
        <v>777</v>
      </c>
      <c r="UV2" s="31" t="s">
        <v>780</v>
      </c>
      <c r="UW2" s="31" t="s">
        <v>782</v>
      </c>
      <c r="UX2" s="31" t="s">
        <v>784</v>
      </c>
      <c r="UY2" s="31" t="s">
        <v>786</v>
      </c>
      <c r="UZ2" s="31" t="s">
        <v>787</v>
      </c>
      <c r="VA2" s="31" t="s">
        <v>788</v>
      </c>
      <c r="VB2" s="31" t="s">
        <v>790</v>
      </c>
      <c r="VC2" s="31" t="s">
        <v>792</v>
      </c>
      <c r="VD2" s="31" t="s">
        <v>794</v>
      </c>
      <c r="VE2" s="31" t="s">
        <v>795</v>
      </c>
      <c r="VF2" s="31" t="s">
        <v>797</v>
      </c>
      <c r="VG2" s="31" t="s">
        <v>799</v>
      </c>
      <c r="VH2" s="31" t="s">
        <v>801</v>
      </c>
      <c r="VI2" s="31" t="s">
        <v>802</v>
      </c>
      <c r="VJ2" s="31" t="s">
        <v>804</v>
      </c>
      <c r="VK2" s="31" t="s">
        <v>806</v>
      </c>
      <c r="VL2" s="31" t="s">
        <v>807</v>
      </c>
      <c r="VM2" s="31" t="s">
        <v>809</v>
      </c>
      <c r="VN2" s="31" t="s">
        <v>810</v>
      </c>
      <c r="VO2" s="31" t="s">
        <v>811</v>
      </c>
      <c r="VP2" s="31" t="s">
        <v>812</v>
      </c>
      <c r="VQ2" s="31" t="s">
        <v>813</v>
      </c>
      <c r="VR2" s="31" t="s">
        <v>814</v>
      </c>
      <c r="VS2" s="31" t="s">
        <v>816</v>
      </c>
      <c r="VT2" s="31" t="s">
        <v>819</v>
      </c>
      <c r="VU2" s="31" t="s">
        <v>823</v>
      </c>
      <c r="VV2" s="31" t="s">
        <v>825</v>
      </c>
      <c r="VW2" s="31" t="s">
        <v>827</v>
      </c>
      <c r="VX2" s="31" t="s">
        <v>828</v>
      </c>
      <c r="VY2" s="31" t="s">
        <v>829</v>
      </c>
      <c r="VZ2" s="31" t="s">
        <v>830</v>
      </c>
      <c r="WA2" s="31" t="s">
        <v>831</v>
      </c>
      <c r="WB2" s="31" t="s">
        <v>832</v>
      </c>
      <c r="WC2" s="31" t="s">
        <v>835</v>
      </c>
      <c r="WD2" s="31" t="s">
        <v>838</v>
      </c>
      <c r="WE2" s="31" t="s">
        <v>840</v>
      </c>
      <c r="WF2" s="31" t="s">
        <v>842</v>
      </c>
      <c r="WG2" s="31" t="s">
        <v>846</v>
      </c>
      <c r="WH2" s="31" t="s">
        <v>847</v>
      </c>
      <c r="WI2" s="31" t="s">
        <v>849</v>
      </c>
      <c r="WJ2" s="31" t="s">
        <v>851</v>
      </c>
      <c r="WK2" s="31" t="s">
        <v>853</v>
      </c>
      <c r="WL2" s="31" t="s">
        <v>855</v>
      </c>
      <c r="WM2" s="31" t="s">
        <v>857</v>
      </c>
      <c r="WN2" s="31" t="s">
        <v>858</v>
      </c>
      <c r="WO2" s="31" t="s">
        <v>860</v>
      </c>
      <c r="WP2" s="31" t="s">
        <v>861</v>
      </c>
      <c r="WQ2" s="31" t="s">
        <v>863</v>
      </c>
      <c r="WR2" s="31" t="s">
        <v>864</v>
      </c>
      <c r="WS2" s="31" t="s">
        <v>865</v>
      </c>
      <c r="WT2" s="31" t="s">
        <v>867</v>
      </c>
      <c r="WU2" s="31" t="s">
        <v>869</v>
      </c>
      <c r="WV2" s="31" t="s">
        <v>870</v>
      </c>
      <c r="WW2" s="31" t="s">
        <v>872</v>
      </c>
      <c r="WX2" s="31" t="s">
        <v>873</v>
      </c>
      <c r="WY2" s="31" t="s">
        <v>874</v>
      </c>
      <c r="WZ2" s="31" t="s">
        <v>876</v>
      </c>
      <c r="XA2" s="31" t="s">
        <v>877</v>
      </c>
      <c r="XB2" s="31" t="s">
        <v>878</v>
      </c>
      <c r="XC2" s="31" t="s">
        <v>879</v>
      </c>
      <c r="XD2" s="31" t="s">
        <v>880</v>
      </c>
      <c r="XE2" s="31" t="s">
        <v>881</v>
      </c>
      <c r="XF2" s="31" t="s">
        <v>882</v>
      </c>
      <c r="XG2" s="31" t="s">
        <v>885</v>
      </c>
      <c r="XH2" s="31" t="s">
        <v>889</v>
      </c>
      <c r="XI2" s="31" t="s">
        <v>891</v>
      </c>
      <c r="XJ2" s="31" t="s">
        <v>893</v>
      </c>
      <c r="XK2" s="31" t="s">
        <v>897</v>
      </c>
      <c r="XL2" s="31" t="s">
        <v>899</v>
      </c>
      <c r="XM2" s="31" t="s">
        <v>906</v>
      </c>
      <c r="XN2" s="31" t="s">
        <v>908</v>
      </c>
      <c r="XO2" s="31" t="s">
        <v>910</v>
      </c>
      <c r="XP2" s="31" t="s">
        <v>911</v>
      </c>
      <c r="XQ2" s="31" t="s">
        <v>913</v>
      </c>
      <c r="XR2" s="31" t="s">
        <v>915</v>
      </c>
      <c r="XS2" s="31" t="s">
        <v>916</v>
      </c>
      <c r="XT2" s="31" t="s">
        <v>917</v>
      </c>
      <c r="XU2" s="31" t="s">
        <v>919</v>
      </c>
      <c r="XV2" s="31" t="s">
        <v>921</v>
      </c>
      <c r="XW2" s="31" t="s">
        <v>922</v>
      </c>
      <c r="XX2" s="31">
        <v>10</v>
      </c>
      <c r="XY2" s="31" t="s">
        <v>925</v>
      </c>
      <c r="XZ2" s="31" t="s">
        <v>927</v>
      </c>
      <c r="YA2" s="31" t="s">
        <v>930</v>
      </c>
      <c r="YB2" s="31" t="s">
        <v>932</v>
      </c>
      <c r="YC2" s="31" t="s">
        <v>933</v>
      </c>
      <c r="YD2" s="31" t="s">
        <v>935</v>
      </c>
      <c r="YE2" s="31" t="s">
        <v>937</v>
      </c>
      <c r="YF2" s="31" t="s">
        <v>942</v>
      </c>
      <c r="YG2" s="31" t="s">
        <v>945</v>
      </c>
      <c r="YH2" s="31" t="s">
        <v>946</v>
      </c>
      <c r="YI2" s="31" t="s">
        <v>947</v>
      </c>
      <c r="YJ2" s="31" t="s">
        <v>950</v>
      </c>
      <c r="YK2" s="31" t="s">
        <v>952</v>
      </c>
      <c r="YL2" s="31" t="s">
        <v>954</v>
      </c>
      <c r="YM2" s="31" t="s">
        <v>955</v>
      </c>
      <c r="YN2" s="31" t="s">
        <v>956</v>
      </c>
      <c r="YO2" s="31" t="s">
        <v>957</v>
      </c>
      <c r="YP2" s="31" t="s">
        <v>959</v>
      </c>
      <c r="YQ2" s="31" t="s">
        <v>960</v>
      </c>
      <c r="YR2" s="31" t="s">
        <v>962</v>
      </c>
      <c r="YS2" s="31" t="s">
        <v>965</v>
      </c>
      <c r="YT2" s="31" t="s">
        <v>967</v>
      </c>
      <c r="YU2" s="31" t="s">
        <v>969</v>
      </c>
      <c r="YV2" s="31" t="s">
        <v>972</v>
      </c>
      <c r="YW2" s="31" t="s">
        <v>974</v>
      </c>
      <c r="YX2" s="31" t="s">
        <v>975</v>
      </c>
      <c r="YY2" s="31" t="s">
        <v>976</v>
      </c>
      <c r="YZ2" s="31" t="s">
        <v>978</v>
      </c>
      <c r="ZA2" s="31" t="s">
        <v>979</v>
      </c>
      <c r="ZB2" s="31" t="s">
        <v>980</v>
      </c>
      <c r="ZC2" s="31" t="s">
        <v>982</v>
      </c>
      <c r="ZD2" s="31" t="s">
        <v>984</v>
      </c>
      <c r="ZE2" s="31" t="s">
        <v>986</v>
      </c>
      <c r="ZF2" s="31" t="s">
        <v>987</v>
      </c>
      <c r="ZG2" s="31" t="s">
        <v>991</v>
      </c>
      <c r="ZH2" s="31" t="s">
        <v>993</v>
      </c>
      <c r="ZI2" s="31" t="s">
        <v>994</v>
      </c>
      <c r="ZJ2" s="31" t="s">
        <v>996</v>
      </c>
      <c r="ZK2" s="31" t="s">
        <v>998</v>
      </c>
      <c r="ZL2" s="31" t="s">
        <v>1001</v>
      </c>
      <c r="ZM2" s="31" t="s">
        <v>1003</v>
      </c>
      <c r="ZN2" s="31" t="s">
        <v>1004</v>
      </c>
      <c r="ZO2" s="31" t="s">
        <v>1011</v>
      </c>
      <c r="ZP2" s="31" t="s">
        <v>1012</v>
      </c>
      <c r="ZQ2" s="31" t="s">
        <v>1014</v>
      </c>
      <c r="ZR2" s="31" t="s">
        <v>1017</v>
      </c>
      <c r="ZS2" s="31" t="s">
        <v>1018</v>
      </c>
      <c r="ZT2" s="31" t="s">
        <v>1020</v>
      </c>
      <c r="ZU2" s="31" t="s">
        <v>1022</v>
      </c>
      <c r="ZV2" s="31" t="s">
        <v>1027</v>
      </c>
      <c r="ZW2" s="31" t="s">
        <v>1028</v>
      </c>
      <c r="ZX2" s="31" t="s">
        <v>1030</v>
      </c>
      <c r="ZY2" s="31" t="s">
        <v>1035</v>
      </c>
      <c r="ZZ2" s="31" t="s">
        <v>1036</v>
      </c>
      <c r="AAA2" s="31" t="s">
        <v>1038</v>
      </c>
      <c r="AAB2" s="31" t="s">
        <v>1039</v>
      </c>
      <c r="AAC2" s="31" t="s">
        <v>1041</v>
      </c>
      <c r="AAD2" s="31" t="s">
        <v>1042</v>
      </c>
      <c r="AAE2" s="31" t="s">
        <v>1048</v>
      </c>
      <c r="AAF2" s="31" t="s">
        <v>1050</v>
      </c>
      <c r="AAG2" s="31" t="s">
        <v>1053</v>
      </c>
      <c r="AAH2" s="31" t="s">
        <v>1054</v>
      </c>
      <c r="AAI2" s="31" t="s">
        <v>1058</v>
      </c>
      <c r="AAJ2" s="31" t="s">
        <v>1060</v>
      </c>
      <c r="AAK2" s="31" t="s">
        <v>1062</v>
      </c>
      <c r="AAL2" s="31" t="s">
        <v>1064</v>
      </c>
      <c r="AAM2" s="31" t="s">
        <v>1065</v>
      </c>
      <c r="AAN2" s="31" t="s">
        <v>1070</v>
      </c>
      <c r="AAO2" s="31" t="s">
        <v>1072</v>
      </c>
      <c r="AAP2" s="31" t="s">
        <v>1074</v>
      </c>
      <c r="AAQ2" s="31" t="s">
        <v>1076</v>
      </c>
      <c r="AAR2" s="31" t="s">
        <v>1079</v>
      </c>
      <c r="AAS2" s="31" t="s">
        <v>1084</v>
      </c>
      <c r="AAT2" s="31" t="s">
        <v>1085</v>
      </c>
      <c r="AAU2" s="31" t="s">
        <v>1087</v>
      </c>
      <c r="AAV2" s="31" t="s">
        <v>1089</v>
      </c>
      <c r="AAW2" s="31" t="s">
        <v>1090</v>
      </c>
      <c r="AAX2" s="31" t="s">
        <v>1092</v>
      </c>
      <c r="AAY2" s="31" t="s">
        <v>1093</v>
      </c>
      <c r="AAZ2" s="31" t="s">
        <v>1095</v>
      </c>
      <c r="ABA2" s="31" t="s">
        <v>1096</v>
      </c>
      <c r="ABB2" s="31" t="s">
        <v>1097</v>
      </c>
      <c r="ABC2" s="31" t="s">
        <v>1100</v>
      </c>
      <c r="ABD2" s="31" t="s">
        <v>1101</v>
      </c>
      <c r="ABE2" s="31" t="s">
        <v>1102</v>
      </c>
      <c r="ABF2" s="31" t="s">
        <v>1104</v>
      </c>
      <c r="ABG2" s="31" t="s">
        <v>1107</v>
      </c>
      <c r="ABH2" s="31" t="s">
        <v>1109</v>
      </c>
      <c r="ABI2" s="31" t="s">
        <v>1111</v>
      </c>
      <c r="ABJ2" s="31" t="s">
        <v>1113</v>
      </c>
      <c r="ABK2" s="31" t="s">
        <v>1115</v>
      </c>
      <c r="ABL2" s="31" t="s">
        <v>1116</v>
      </c>
      <c r="ABM2" s="31" t="s">
        <v>1119</v>
      </c>
      <c r="ABN2" s="31" t="s">
        <v>1121</v>
      </c>
      <c r="ABO2" s="31" t="s">
        <v>1122</v>
      </c>
      <c r="ABP2" s="31" t="s">
        <v>1124</v>
      </c>
      <c r="ABQ2" s="31" t="s">
        <v>1125</v>
      </c>
      <c r="ABR2" s="31" t="s">
        <v>1127</v>
      </c>
      <c r="ABS2" s="31" t="s">
        <v>1128</v>
      </c>
      <c r="ABT2" s="31" t="s">
        <v>1130</v>
      </c>
      <c r="ABU2" s="31" t="s">
        <v>1131</v>
      </c>
      <c r="ABV2" s="31" t="s">
        <v>1134</v>
      </c>
      <c r="ABW2" s="31" t="s">
        <v>602</v>
      </c>
      <c r="ABX2" s="31" t="s">
        <v>1138</v>
      </c>
      <c r="ABY2" s="31" t="s">
        <v>1140</v>
      </c>
      <c r="ABZ2" s="31" t="s">
        <v>1141</v>
      </c>
      <c r="ACA2" s="31" t="s">
        <v>1143</v>
      </c>
      <c r="ACB2" s="31" t="s">
        <v>1144</v>
      </c>
      <c r="ACC2" s="31" t="s">
        <v>1146</v>
      </c>
      <c r="ACD2" s="31" t="s">
        <v>1147</v>
      </c>
      <c r="ACE2" s="31" t="s">
        <v>1149</v>
      </c>
      <c r="ACF2" s="31" t="s">
        <v>1151</v>
      </c>
      <c r="ACG2" s="31" t="s">
        <v>1153</v>
      </c>
      <c r="ACH2" s="31" t="s">
        <v>1156</v>
      </c>
      <c r="ACI2" s="31" t="s">
        <v>1157</v>
      </c>
      <c r="ACJ2" s="31" t="s">
        <v>1160</v>
      </c>
      <c r="ACK2" s="31" t="s">
        <v>1161</v>
      </c>
      <c r="ACL2" s="31" t="s">
        <v>1163</v>
      </c>
      <c r="ACM2" s="31" t="s">
        <v>1165</v>
      </c>
      <c r="ACN2" s="31" t="s">
        <v>1167</v>
      </c>
      <c r="ACO2" s="31" t="s">
        <v>1169</v>
      </c>
      <c r="ACP2" s="31" t="s">
        <v>1170</v>
      </c>
      <c r="ACQ2" s="31" t="s">
        <v>1172</v>
      </c>
      <c r="ACR2" s="31" t="s">
        <v>1173</v>
      </c>
      <c r="ACS2" s="31" t="s">
        <v>1175</v>
      </c>
      <c r="ACT2" s="31" t="s">
        <v>1177</v>
      </c>
      <c r="ACU2" s="31" t="s">
        <v>1178</v>
      </c>
      <c r="ACV2" s="31" t="s">
        <v>1180</v>
      </c>
      <c r="ACW2" s="31" t="s">
        <v>1181</v>
      </c>
      <c r="ACX2" s="31" t="s">
        <v>1183</v>
      </c>
      <c r="ACY2" s="31" t="s">
        <v>1184</v>
      </c>
      <c r="ACZ2" s="31" t="s">
        <v>1185</v>
      </c>
      <c r="ADA2" s="31" t="s">
        <v>1186</v>
      </c>
      <c r="ADB2" s="31" t="s">
        <v>1187</v>
      </c>
      <c r="ADC2" s="31" t="s">
        <v>1038</v>
      </c>
      <c r="ADD2" s="31" t="s">
        <v>1189</v>
      </c>
      <c r="ADE2" s="31" t="s">
        <v>1191</v>
      </c>
      <c r="ADF2" s="31" t="s">
        <v>1193</v>
      </c>
      <c r="ADG2" s="31" t="s">
        <v>1195</v>
      </c>
      <c r="ADH2" s="31" t="s">
        <v>1200</v>
      </c>
      <c r="ADI2" s="31" t="s">
        <v>1201</v>
      </c>
      <c r="ADJ2" s="31" t="s">
        <v>1082</v>
      </c>
      <c r="ADK2" s="31" t="s">
        <v>1208</v>
      </c>
      <c r="ADL2" s="31" t="s">
        <v>1210</v>
      </c>
      <c r="ADM2" s="31" t="s">
        <v>1211</v>
      </c>
      <c r="ADN2" s="31" t="s">
        <v>1072</v>
      </c>
      <c r="ADO2" s="31" t="s">
        <v>1213</v>
      </c>
      <c r="ADP2" s="31" t="s">
        <v>1217</v>
      </c>
      <c r="ADQ2" s="31" t="s">
        <v>1222</v>
      </c>
      <c r="ADR2" s="31" t="s">
        <v>1224</v>
      </c>
      <c r="ADS2" s="31" t="s">
        <v>1227</v>
      </c>
      <c r="ADT2" s="31" t="s">
        <v>1233</v>
      </c>
      <c r="ADU2" s="31" t="s">
        <v>1237</v>
      </c>
      <c r="ADV2" s="31" t="s">
        <v>1239</v>
      </c>
      <c r="ADW2" s="31" t="s">
        <v>1254</v>
      </c>
      <c r="ADX2" s="31" t="s">
        <v>1258</v>
      </c>
      <c r="ADY2" s="31" t="s">
        <v>1260</v>
      </c>
      <c r="ADZ2" s="31" t="s">
        <v>1265</v>
      </c>
      <c r="AEA2" s="31" t="s">
        <v>1273</v>
      </c>
      <c r="AEB2" s="31" t="s">
        <v>1274</v>
      </c>
      <c r="AEC2" s="31" t="s">
        <v>1275</v>
      </c>
      <c r="AED2" s="31" t="s">
        <v>1276</v>
      </c>
      <c r="AEE2" s="31" t="s">
        <v>1278</v>
      </c>
      <c r="AEF2" s="31" t="s">
        <v>1280</v>
      </c>
      <c r="AEG2" s="31" t="s">
        <v>1281</v>
      </c>
      <c r="AEH2" s="31" t="s">
        <v>1282</v>
      </c>
      <c r="AEI2" s="31" t="s">
        <v>1293</v>
      </c>
      <c r="AEJ2" s="31" t="s">
        <v>1294</v>
      </c>
      <c r="AEK2" s="31" t="s">
        <v>1295</v>
      </c>
      <c r="AEL2" s="31" t="s">
        <v>1296</v>
      </c>
      <c r="AEM2" s="31" t="s">
        <v>1321</v>
      </c>
      <c r="AEN2" s="31" t="s">
        <v>1324</v>
      </c>
      <c r="AEO2" s="31" t="s">
        <v>1331</v>
      </c>
      <c r="AEP2" s="31" t="s">
        <v>1333</v>
      </c>
      <c r="AEQ2" s="31" t="s">
        <v>1335</v>
      </c>
      <c r="AER2" s="31" t="s">
        <v>1336</v>
      </c>
      <c r="AES2" s="31" t="s">
        <v>1337</v>
      </c>
      <c r="AET2" s="31" t="s">
        <v>1341</v>
      </c>
      <c r="AEU2" s="31" t="s">
        <v>1356</v>
      </c>
      <c r="AEV2" s="31" t="s">
        <v>1358</v>
      </c>
      <c r="AEW2" s="31" t="s">
        <v>1383</v>
      </c>
      <c r="AEX2" s="31" t="s">
        <v>1384</v>
      </c>
      <c r="AEY2" s="31" t="s">
        <v>1389</v>
      </c>
      <c r="AEZ2" s="31" t="s">
        <v>1395</v>
      </c>
      <c r="AFA2" s="31" t="s">
        <v>1403</v>
      </c>
      <c r="AFB2" s="31" t="s">
        <v>1404</v>
      </c>
      <c r="AFC2" s="31" t="s">
        <v>1405</v>
      </c>
      <c r="AFD2" s="31" t="s">
        <v>1406</v>
      </c>
      <c r="AFE2" s="31" t="s">
        <v>1409</v>
      </c>
      <c r="AFF2" s="31" t="s">
        <v>1411</v>
      </c>
      <c r="AFG2" s="31" t="s">
        <v>1413</v>
      </c>
      <c r="AFH2" s="31" t="s">
        <v>1415</v>
      </c>
      <c r="AFI2" s="31" t="s">
        <v>1417</v>
      </c>
      <c r="AFJ2" s="31" t="s">
        <v>1418</v>
      </c>
      <c r="AFK2" s="31" t="s">
        <v>1419</v>
      </c>
      <c r="AFL2" s="31" t="s">
        <v>1422</v>
      </c>
      <c r="AFM2" s="31" t="s">
        <v>1423</v>
      </c>
      <c r="AFN2" s="31" t="s">
        <v>1424</v>
      </c>
      <c r="AFO2" s="31" t="s">
        <v>271</v>
      </c>
      <c r="AFP2" s="31" t="s">
        <v>1024</v>
      </c>
      <c r="AFQ2" s="31" t="s">
        <v>1425</v>
      </c>
      <c r="AFR2" s="31" t="s">
        <v>1426</v>
      </c>
      <c r="AFS2" s="31" t="s">
        <v>1427</v>
      </c>
      <c r="AFT2" s="31" t="s">
        <v>1429</v>
      </c>
      <c r="AFU2" s="31" t="s">
        <v>1431</v>
      </c>
      <c r="AFV2" s="31" t="s">
        <v>1434</v>
      </c>
      <c r="AFW2" s="31" t="s">
        <v>1435</v>
      </c>
      <c r="AFX2" s="31" t="s">
        <v>1435</v>
      </c>
      <c r="AFY2" s="31" t="s">
        <v>1438</v>
      </c>
      <c r="AFZ2" s="31" t="s">
        <v>1442</v>
      </c>
      <c r="AGA2" s="31" t="s">
        <v>1443</v>
      </c>
      <c r="AGB2" s="31" t="s">
        <v>1444</v>
      </c>
      <c r="AGC2" s="31" t="s">
        <v>1446</v>
      </c>
      <c r="AGD2" s="31" t="s">
        <v>1447</v>
      </c>
      <c r="AGE2" s="31" t="s">
        <v>1458</v>
      </c>
      <c r="AGF2" s="31" t="s">
        <v>1459</v>
      </c>
      <c r="AGG2" s="31" t="s">
        <v>1461</v>
      </c>
      <c r="AGH2" s="31" t="s">
        <v>1463</v>
      </c>
      <c r="AGI2" s="31" t="s">
        <v>1464</v>
      </c>
      <c r="AGJ2" s="31" t="s">
        <v>1465</v>
      </c>
      <c r="AGK2" s="31" t="s">
        <v>1466</v>
      </c>
      <c r="AGL2" s="31" t="s">
        <v>1467</v>
      </c>
      <c r="AGM2" s="31" t="s">
        <v>1468</v>
      </c>
      <c r="AGN2" s="31" t="s">
        <v>1469</v>
      </c>
      <c r="AGO2" s="31" t="s">
        <v>1470</v>
      </c>
      <c r="AGP2" s="31" t="s">
        <v>1471</v>
      </c>
      <c r="AGQ2" s="31" t="s">
        <v>1472</v>
      </c>
      <c r="AGR2" s="31" t="s">
        <v>1473</v>
      </c>
      <c r="AGS2" s="31" t="s">
        <v>1475</v>
      </c>
      <c r="AGT2" s="31" t="s">
        <v>1477</v>
      </c>
      <c r="AGU2" s="31" t="s">
        <v>1479</v>
      </c>
      <c r="AGV2" s="31" t="s">
        <v>1482</v>
      </c>
      <c r="AGW2" s="31" t="s">
        <v>1483</v>
      </c>
      <c r="AGX2" s="31" t="s">
        <v>1484</v>
      </c>
      <c r="AGY2" s="31" t="s">
        <v>1486</v>
      </c>
      <c r="AGZ2" s="31" t="s">
        <v>1488</v>
      </c>
      <c r="AHA2" s="31" t="s">
        <v>1489</v>
      </c>
      <c r="AHB2" s="31" t="s">
        <v>1490</v>
      </c>
      <c r="AHC2" s="31" t="s">
        <v>1491</v>
      </c>
      <c r="AHD2" s="31" t="s">
        <v>1493</v>
      </c>
      <c r="AHE2" s="31" t="s">
        <v>1495</v>
      </c>
      <c r="AHF2" s="31" t="s">
        <v>1498</v>
      </c>
      <c r="AHG2" s="31" t="s">
        <v>1501</v>
      </c>
      <c r="AHH2" s="31" t="s">
        <v>1503</v>
      </c>
      <c r="AHI2" s="31" t="s">
        <v>1509</v>
      </c>
      <c r="AHJ2" s="31" t="s">
        <v>1510</v>
      </c>
      <c r="AHK2" s="31" t="s">
        <v>1511</v>
      </c>
      <c r="AHL2" s="31" t="s">
        <v>1512</v>
      </c>
      <c r="AHM2" s="31" t="s">
        <v>1516</v>
      </c>
      <c r="AHN2" s="31" t="s">
        <v>1517</v>
      </c>
      <c r="AHO2" s="31" t="s">
        <v>1520</v>
      </c>
      <c r="AHP2" s="31" t="s">
        <v>1521</v>
      </c>
      <c r="AHQ2" s="31" t="s">
        <v>1522</v>
      </c>
      <c r="AHR2" s="31" t="s">
        <v>1523</v>
      </c>
      <c r="AHS2" s="31" t="s">
        <v>1524</v>
      </c>
      <c r="AHT2" s="31" t="s">
        <v>1525</v>
      </c>
      <c r="AHU2" s="31" t="s">
        <v>1526</v>
      </c>
      <c r="AHV2" s="31" t="s">
        <v>1527</v>
      </c>
      <c r="AHW2" s="31" t="s">
        <v>1528</v>
      </c>
      <c r="AHX2" s="31" t="s">
        <v>1529</v>
      </c>
      <c r="AHY2" s="31" t="s">
        <v>1530</v>
      </c>
      <c r="AHZ2" s="31" t="s">
        <v>1531</v>
      </c>
      <c r="AIA2" s="31" t="s">
        <v>1533</v>
      </c>
      <c r="AIB2" s="31" t="s">
        <v>1534</v>
      </c>
      <c r="AIC2" s="31" t="s">
        <v>1535</v>
      </c>
      <c r="AID2" s="31" t="s">
        <v>1537</v>
      </c>
      <c r="AIE2" s="31" t="s">
        <v>1539</v>
      </c>
      <c r="AIF2" s="31" t="s">
        <v>1541</v>
      </c>
      <c r="AIG2" s="31" t="s">
        <v>1542</v>
      </c>
      <c r="AIH2" s="31" t="s">
        <v>1544</v>
      </c>
      <c r="AII2" s="31" t="s">
        <v>1546</v>
      </c>
      <c r="AIJ2" s="31" t="s">
        <v>1548</v>
      </c>
      <c r="AIK2" s="31" t="s">
        <v>1550</v>
      </c>
      <c r="AIL2" s="31" t="s">
        <v>1552</v>
      </c>
      <c r="AIM2" s="31" t="s">
        <v>1553</v>
      </c>
      <c r="AIN2" s="31" t="s">
        <v>1558</v>
      </c>
      <c r="AIO2" s="31" t="s">
        <v>1559</v>
      </c>
      <c r="AIP2" s="31" t="s">
        <v>1560</v>
      </c>
      <c r="AIQ2" s="31" t="s">
        <v>1561</v>
      </c>
      <c r="AIR2" s="31" t="s">
        <v>1561</v>
      </c>
      <c r="AIS2" s="31" t="s">
        <v>1563</v>
      </c>
      <c r="AIT2" s="31" t="s">
        <v>1566</v>
      </c>
      <c r="AIU2" s="31" t="s">
        <v>1567</v>
      </c>
      <c r="AIV2" s="31" t="s">
        <v>1568</v>
      </c>
      <c r="AIW2" s="31" t="s">
        <v>1572</v>
      </c>
      <c r="AIX2" s="31" t="s">
        <v>1576</v>
      </c>
      <c r="AIY2" s="31" t="s">
        <v>1577</v>
      </c>
      <c r="AIZ2" s="31" t="s">
        <v>1578</v>
      </c>
      <c r="AJA2" s="31" t="s">
        <v>1579</v>
      </c>
      <c r="AJB2" s="31" t="s">
        <v>1581</v>
      </c>
      <c r="AJC2" s="31" t="s">
        <v>1582</v>
      </c>
      <c r="AJD2" s="31" t="s">
        <v>1583</v>
      </c>
      <c r="AJE2" s="31" t="s">
        <v>1584</v>
      </c>
      <c r="AJF2" s="31" t="s">
        <v>1585</v>
      </c>
      <c r="AJG2" s="31" t="s">
        <v>1587</v>
      </c>
      <c r="AJH2" s="31" t="s">
        <v>1588</v>
      </c>
      <c r="AJI2" s="31" t="s">
        <v>1592</v>
      </c>
      <c r="AJJ2" s="31" t="s">
        <v>1597</v>
      </c>
      <c r="AJK2" s="31" t="s">
        <v>1598</v>
      </c>
      <c r="AJL2" s="31" t="s">
        <v>1599</v>
      </c>
      <c r="AJM2" s="31" t="s">
        <v>1601</v>
      </c>
      <c r="AJN2" s="31" t="s">
        <v>1602</v>
      </c>
      <c r="AJO2" s="31" t="s">
        <v>1603</v>
      </c>
      <c r="AJP2" s="31" t="s">
        <v>369</v>
      </c>
      <c r="AJQ2" s="31" t="s">
        <v>1605</v>
      </c>
      <c r="AJR2" s="31" t="s">
        <v>1606</v>
      </c>
      <c r="AJS2" s="31" t="s">
        <v>1609</v>
      </c>
      <c r="AJT2" s="31" t="s">
        <v>1610</v>
      </c>
      <c r="AJU2" s="31" t="s">
        <v>1611</v>
      </c>
      <c r="AJV2" s="31" t="s">
        <v>1612</v>
      </c>
      <c r="AJW2" s="31" t="s">
        <v>1614</v>
      </c>
      <c r="AJX2" s="31" t="s">
        <v>1615</v>
      </c>
      <c r="AJY2" s="31" t="s">
        <v>1617</v>
      </c>
      <c r="AJZ2" s="31" t="s">
        <v>1617</v>
      </c>
      <c r="AKA2" s="31" t="s">
        <v>1618</v>
      </c>
      <c r="AKB2" s="31" t="s">
        <v>1619</v>
      </c>
      <c r="AKC2" s="31" t="s">
        <v>1620</v>
      </c>
      <c r="AKD2" s="31" t="s">
        <v>1621</v>
      </c>
      <c r="AKE2" s="31" t="s">
        <v>1622</v>
      </c>
      <c r="AKF2" s="31" t="s">
        <v>1623</v>
      </c>
      <c r="AKG2" s="31" t="s">
        <v>1624</v>
      </c>
      <c r="AKH2" s="31" t="s">
        <v>1625</v>
      </c>
      <c r="AKI2" s="31" t="s">
        <v>1627</v>
      </c>
      <c r="AKJ2" s="31" t="s">
        <v>1628</v>
      </c>
      <c r="AKK2" s="31" t="s">
        <v>1035</v>
      </c>
      <c r="AKL2" s="31" t="s">
        <v>1629</v>
      </c>
      <c r="AKM2" s="31" t="s">
        <v>1630</v>
      </c>
      <c r="AKN2" s="31" t="s">
        <v>1631</v>
      </c>
      <c r="AKO2" s="31" t="s">
        <v>565</v>
      </c>
      <c r="AKP2" s="31" t="s">
        <v>1632</v>
      </c>
      <c r="AKQ2" s="31" t="s">
        <v>937</v>
      </c>
      <c r="AKR2" s="31" t="s">
        <v>1633</v>
      </c>
      <c r="AKS2" s="31" t="s">
        <v>1634</v>
      </c>
      <c r="AKT2" s="31" t="s">
        <v>1635</v>
      </c>
      <c r="AKU2" s="31" t="s">
        <v>1638</v>
      </c>
      <c r="AKV2" s="31" t="s">
        <v>1639</v>
      </c>
      <c r="AKW2" s="31" t="s">
        <v>1641</v>
      </c>
      <c r="AKX2" s="31" t="s">
        <v>1643</v>
      </c>
      <c r="AKY2" s="31" t="s">
        <v>1645</v>
      </c>
      <c r="AKZ2" s="31" t="s">
        <v>1647</v>
      </c>
      <c r="ALA2" s="31" t="s">
        <v>701</v>
      </c>
      <c r="ALB2" s="31" t="s">
        <v>1656</v>
      </c>
      <c r="ALC2" s="31" t="s">
        <v>1658</v>
      </c>
      <c r="ALD2" s="31" t="s">
        <v>1658</v>
      </c>
      <c r="ALE2" s="31" t="s">
        <v>1660</v>
      </c>
      <c r="ALF2" s="31" t="s">
        <v>1661</v>
      </c>
      <c r="ALG2" s="31" t="s">
        <v>1662</v>
      </c>
      <c r="ALH2" s="31" t="s">
        <v>1663</v>
      </c>
      <c r="ALI2" s="31" t="s">
        <v>1664</v>
      </c>
      <c r="ALJ2" s="31" t="s">
        <v>1669</v>
      </c>
      <c r="ALK2" s="31" t="s">
        <v>1670</v>
      </c>
      <c r="ALL2" s="31" t="s">
        <v>1671</v>
      </c>
      <c r="ALM2" s="31" t="s">
        <v>1672</v>
      </c>
      <c r="ALN2" s="31" t="s">
        <v>1673</v>
      </c>
      <c r="ALO2" s="31" t="s">
        <v>1674</v>
      </c>
      <c r="ALP2" s="31" t="s">
        <v>1675</v>
      </c>
      <c r="ALQ2" s="31" t="s">
        <v>1676</v>
      </c>
      <c r="ALR2" s="31" t="s">
        <v>1677</v>
      </c>
      <c r="ALS2" s="31" t="s">
        <v>991</v>
      </c>
      <c r="ALT2" s="31" t="s">
        <v>1679</v>
      </c>
      <c r="ALU2" s="31" t="s">
        <v>1680</v>
      </c>
      <c r="ALV2" s="31" t="s">
        <v>1687</v>
      </c>
      <c r="ALW2" s="31" t="s">
        <v>1682</v>
      </c>
      <c r="ALX2" s="31" t="s">
        <v>1690</v>
      </c>
      <c r="ALY2" s="31" t="s">
        <v>1695</v>
      </c>
      <c r="ALZ2" s="31" t="s">
        <v>1697</v>
      </c>
      <c r="AMA2" s="31" t="s">
        <v>1698</v>
      </c>
      <c r="AMB2" s="31" t="s">
        <v>1700</v>
      </c>
      <c r="AMC2" s="31" t="s">
        <v>1702</v>
      </c>
      <c r="AMD2" s="31" t="s">
        <v>1703</v>
      </c>
      <c r="AME2" s="31" t="s">
        <v>1704</v>
      </c>
      <c r="AMF2" s="31" t="s">
        <v>1706</v>
      </c>
      <c r="AMG2" s="31" t="s">
        <v>1708</v>
      </c>
      <c r="AMH2" s="31" t="s">
        <v>1286</v>
      </c>
      <c r="AMI2" s="31" t="s">
        <v>1710</v>
      </c>
      <c r="AMJ2" s="31" t="s">
        <v>1711</v>
      </c>
      <c r="AMK2" s="31" t="s">
        <v>1712</v>
      </c>
      <c r="AML2" s="31" t="s">
        <v>1713</v>
      </c>
      <c r="AMM2" s="31" t="s">
        <v>1717</v>
      </c>
      <c r="AMN2" s="31" t="s">
        <v>1719</v>
      </c>
      <c r="AMO2" s="31" t="s">
        <v>1721</v>
      </c>
      <c r="AMP2" s="31" t="s">
        <v>1723</v>
      </c>
      <c r="AMQ2" s="31" t="s">
        <v>1724</v>
      </c>
      <c r="AMR2" s="31" t="s">
        <v>1730</v>
      </c>
      <c r="AMS2" s="31" t="s">
        <v>1737</v>
      </c>
      <c r="AMT2" s="31" t="s">
        <v>1738</v>
      </c>
      <c r="AMU2" s="31" t="s">
        <v>1739</v>
      </c>
      <c r="AMV2" s="31" t="s">
        <v>1741</v>
      </c>
      <c r="AMW2" s="31" t="s">
        <v>1742</v>
      </c>
      <c r="AMX2" s="31" t="s">
        <v>1743</v>
      </c>
      <c r="AMY2" s="31" t="s">
        <v>1745</v>
      </c>
      <c r="AMZ2" s="31" t="s">
        <v>1747</v>
      </c>
      <c r="ANA2" s="31" t="s">
        <v>1748</v>
      </c>
      <c r="ANB2" s="31" t="s">
        <v>1750</v>
      </c>
      <c r="ANC2" s="31" t="s">
        <v>1751</v>
      </c>
      <c r="AND2" s="31" t="s">
        <v>1239</v>
      </c>
      <c r="ANE2" s="31" t="s">
        <v>1752</v>
      </c>
      <c r="ANF2" s="31" t="s">
        <v>1753</v>
      </c>
      <c r="ANG2" s="31" t="s">
        <v>1754</v>
      </c>
      <c r="ANH2" s="31" t="s">
        <v>1756</v>
      </c>
      <c r="ANI2" s="31" t="s">
        <v>1758</v>
      </c>
      <c r="ANJ2" s="31" t="s">
        <v>1759</v>
      </c>
      <c r="ANK2" s="31" t="s">
        <v>1760</v>
      </c>
      <c r="ANL2" s="31" t="s">
        <v>1762</v>
      </c>
      <c r="ANM2" s="31" t="s">
        <v>1763</v>
      </c>
      <c r="ANN2" s="31" t="s">
        <v>1765</v>
      </c>
      <c r="ANO2" s="31" t="s">
        <v>1767</v>
      </c>
      <c r="ANP2" s="31" t="s">
        <v>1769</v>
      </c>
      <c r="ANQ2" s="31" t="s">
        <v>1770</v>
      </c>
      <c r="ANR2" s="31" t="s">
        <v>1771</v>
      </c>
      <c r="ANS2" s="31" t="s">
        <v>1772</v>
      </c>
      <c r="ANT2" s="31" t="s">
        <v>1780</v>
      </c>
      <c r="ANU2" s="31" t="s">
        <v>1780</v>
      </c>
      <c r="ANV2" s="31" t="s">
        <v>1785</v>
      </c>
      <c r="ANW2" s="31" t="s">
        <v>1786</v>
      </c>
      <c r="ANX2" s="31" t="s">
        <v>1144</v>
      </c>
      <c r="ANY2" s="31" t="s">
        <v>1788</v>
      </c>
      <c r="ANZ2" s="31" t="s">
        <v>1789</v>
      </c>
      <c r="AOA2" s="31" t="s">
        <v>1791</v>
      </c>
      <c r="AOB2" s="31" t="s">
        <v>1792</v>
      </c>
      <c r="AOC2" s="31" t="s">
        <v>1793</v>
      </c>
      <c r="AOD2" s="31" t="s">
        <v>1794</v>
      </c>
      <c r="AOE2" s="31" t="s">
        <v>1795</v>
      </c>
      <c r="AOF2" s="31" t="s">
        <v>1796</v>
      </c>
      <c r="AOG2" s="31" t="s">
        <v>1797</v>
      </c>
      <c r="AOH2" s="31" t="s">
        <v>1798</v>
      </c>
      <c r="AOI2" s="31" t="s">
        <v>1800</v>
      </c>
      <c r="AOJ2" s="31" t="s">
        <v>1801</v>
      </c>
    </row>
    <row r="3" spans="1:1076" x14ac:dyDescent="0.3">
      <c r="A3" s="47" t="s">
        <v>2</v>
      </c>
      <c r="B3" s="45">
        <v>39038</v>
      </c>
      <c r="C3" s="32">
        <v>32288</v>
      </c>
      <c r="D3" s="32">
        <v>31681</v>
      </c>
      <c r="E3" s="32">
        <v>28957</v>
      </c>
      <c r="F3" s="32">
        <v>29944</v>
      </c>
      <c r="G3" s="32">
        <v>31238</v>
      </c>
      <c r="H3" s="32">
        <v>42131</v>
      </c>
      <c r="I3" s="32">
        <v>37498</v>
      </c>
      <c r="J3" s="32">
        <v>37365</v>
      </c>
      <c r="K3" s="32">
        <v>30057</v>
      </c>
      <c r="L3" s="32">
        <v>37553</v>
      </c>
      <c r="M3" s="32">
        <v>36713</v>
      </c>
      <c r="N3" s="32">
        <v>38126</v>
      </c>
      <c r="O3" s="32">
        <v>42408</v>
      </c>
      <c r="P3" s="32">
        <v>40450</v>
      </c>
      <c r="Q3" s="32">
        <v>40892</v>
      </c>
      <c r="R3" s="32">
        <v>39639</v>
      </c>
      <c r="S3" s="32">
        <v>39820</v>
      </c>
      <c r="T3" s="32">
        <v>41416</v>
      </c>
      <c r="U3" s="32">
        <v>35557</v>
      </c>
      <c r="V3" s="32">
        <v>34591</v>
      </c>
      <c r="W3" s="32">
        <v>37006</v>
      </c>
      <c r="X3" s="32">
        <v>37078</v>
      </c>
      <c r="Y3" s="32">
        <v>38385</v>
      </c>
      <c r="Z3" s="32">
        <v>37531</v>
      </c>
      <c r="AA3" s="32">
        <v>38567</v>
      </c>
      <c r="AB3" s="32">
        <v>38301</v>
      </c>
      <c r="AC3" s="32">
        <v>39862</v>
      </c>
      <c r="AD3" s="32">
        <v>39505</v>
      </c>
      <c r="AE3" s="32">
        <v>40214</v>
      </c>
      <c r="AF3" s="32">
        <v>39949</v>
      </c>
      <c r="AG3" s="32">
        <v>40170</v>
      </c>
      <c r="AH3" s="32">
        <v>41682</v>
      </c>
      <c r="AI3" s="32">
        <v>38246</v>
      </c>
      <c r="AJ3" s="32">
        <v>29846</v>
      </c>
      <c r="AK3" s="32">
        <v>38799</v>
      </c>
      <c r="AL3" s="32">
        <v>38772</v>
      </c>
      <c r="AM3" s="32">
        <v>30778</v>
      </c>
      <c r="AN3" s="32">
        <v>34720</v>
      </c>
      <c r="AO3" s="32">
        <v>26209</v>
      </c>
      <c r="AP3" s="32">
        <v>26380</v>
      </c>
      <c r="AQ3" s="32">
        <v>26663</v>
      </c>
      <c r="AR3" s="32">
        <v>28572</v>
      </c>
      <c r="AS3" s="32">
        <v>26871</v>
      </c>
      <c r="AT3" s="32">
        <v>33789</v>
      </c>
      <c r="AU3" s="32">
        <v>33618</v>
      </c>
      <c r="AV3" s="32">
        <v>39428</v>
      </c>
      <c r="AW3" s="32">
        <v>40676</v>
      </c>
      <c r="AX3" s="32">
        <v>38562</v>
      </c>
      <c r="AY3" s="32">
        <v>33710</v>
      </c>
      <c r="AZ3" s="32">
        <v>39800</v>
      </c>
      <c r="BA3" s="32">
        <v>40297</v>
      </c>
      <c r="BB3" s="32">
        <v>42354</v>
      </c>
      <c r="BC3" s="32">
        <v>34215</v>
      </c>
      <c r="BD3" s="32">
        <v>38244</v>
      </c>
      <c r="BE3" s="32">
        <v>40794</v>
      </c>
      <c r="BF3" s="32">
        <v>41660</v>
      </c>
      <c r="BG3" s="32">
        <v>24456</v>
      </c>
      <c r="BH3" s="32">
        <v>23632</v>
      </c>
      <c r="BI3" s="32">
        <v>24064</v>
      </c>
      <c r="BJ3" s="32">
        <v>25193</v>
      </c>
      <c r="BK3" s="32">
        <v>19840</v>
      </c>
      <c r="BL3" s="32">
        <v>29337</v>
      </c>
      <c r="BM3" s="32">
        <v>31198</v>
      </c>
      <c r="BN3" s="32">
        <v>25834</v>
      </c>
      <c r="BO3" s="32">
        <v>18500</v>
      </c>
      <c r="BP3" s="32">
        <v>37148</v>
      </c>
      <c r="BQ3" s="32">
        <v>40446</v>
      </c>
      <c r="BR3" s="32">
        <v>36876</v>
      </c>
      <c r="BS3" s="32">
        <v>37564</v>
      </c>
      <c r="BT3" s="32">
        <v>37562</v>
      </c>
      <c r="BU3" s="32">
        <v>20031</v>
      </c>
      <c r="BV3" s="32">
        <v>22869</v>
      </c>
      <c r="BW3" s="32">
        <v>31231</v>
      </c>
      <c r="BX3" s="32">
        <v>38700</v>
      </c>
      <c r="BY3" s="32">
        <v>37244</v>
      </c>
      <c r="BZ3" s="32">
        <v>37972</v>
      </c>
      <c r="CA3" s="32">
        <v>37608</v>
      </c>
      <c r="CB3" s="32">
        <v>34803</v>
      </c>
      <c r="CC3" s="32">
        <v>41974</v>
      </c>
      <c r="CD3" s="32">
        <v>41621</v>
      </c>
      <c r="CE3" s="32">
        <v>41257</v>
      </c>
      <c r="CF3" s="32">
        <v>39221</v>
      </c>
      <c r="CG3" s="32">
        <v>38176</v>
      </c>
      <c r="CH3" s="32">
        <v>38718</v>
      </c>
      <c r="CI3" s="32">
        <v>42293</v>
      </c>
      <c r="CJ3" s="32">
        <v>40038</v>
      </c>
      <c r="CK3" s="32">
        <v>39871</v>
      </c>
      <c r="CL3" s="32">
        <v>40144</v>
      </c>
      <c r="CM3" s="32">
        <v>20867</v>
      </c>
      <c r="CN3" s="32">
        <v>37642</v>
      </c>
      <c r="CO3" s="32">
        <v>39786</v>
      </c>
      <c r="CP3" s="32">
        <v>38575</v>
      </c>
      <c r="CQ3" s="32">
        <v>41570</v>
      </c>
      <c r="CR3" s="32">
        <v>39274</v>
      </c>
      <c r="CS3" s="32">
        <v>38662</v>
      </c>
      <c r="CT3" s="32">
        <v>37580</v>
      </c>
      <c r="CU3" s="32">
        <v>36490</v>
      </c>
      <c r="CV3" s="32">
        <v>38138</v>
      </c>
      <c r="CW3" s="32">
        <v>37211</v>
      </c>
      <c r="CX3" s="32">
        <v>35776</v>
      </c>
      <c r="CY3" s="32">
        <v>39035</v>
      </c>
      <c r="CZ3" s="32">
        <v>37575</v>
      </c>
      <c r="DA3" s="32">
        <v>35027</v>
      </c>
      <c r="DB3" s="32">
        <v>32672</v>
      </c>
      <c r="DC3" s="32">
        <v>31955</v>
      </c>
      <c r="DD3" s="32">
        <v>29035</v>
      </c>
      <c r="DE3" s="32">
        <v>29761</v>
      </c>
      <c r="DF3" s="32">
        <v>30287</v>
      </c>
      <c r="DG3" s="32">
        <v>39023</v>
      </c>
      <c r="DH3" s="32">
        <v>39127</v>
      </c>
      <c r="DI3" s="32">
        <v>35046</v>
      </c>
      <c r="DJ3" s="32">
        <v>37561</v>
      </c>
      <c r="DK3" s="32">
        <v>36567</v>
      </c>
      <c r="DL3" s="32">
        <v>35118</v>
      </c>
      <c r="DM3" s="32">
        <v>28313</v>
      </c>
      <c r="DN3" s="32">
        <v>24590</v>
      </c>
      <c r="DO3" s="32">
        <v>24085</v>
      </c>
      <c r="DP3" s="32">
        <v>25555</v>
      </c>
      <c r="DQ3" s="32">
        <v>26281</v>
      </c>
      <c r="DR3" s="32">
        <v>26842</v>
      </c>
      <c r="DS3" s="32">
        <v>27382</v>
      </c>
      <c r="DT3" s="32">
        <v>38086</v>
      </c>
      <c r="DU3" s="32">
        <v>34467</v>
      </c>
      <c r="DV3" s="32">
        <v>23294</v>
      </c>
      <c r="DW3" s="32">
        <v>22924</v>
      </c>
      <c r="DX3" s="32">
        <v>39178</v>
      </c>
      <c r="DY3" s="32">
        <v>39024</v>
      </c>
      <c r="DZ3" s="32">
        <v>41208</v>
      </c>
      <c r="EA3" s="32">
        <v>40739</v>
      </c>
      <c r="EB3" s="32">
        <v>40234</v>
      </c>
      <c r="EC3" s="32">
        <v>40501</v>
      </c>
      <c r="ED3" s="32">
        <v>40009</v>
      </c>
      <c r="EE3" s="32">
        <v>40173</v>
      </c>
      <c r="EF3" s="32">
        <v>39629</v>
      </c>
      <c r="EG3" s="32">
        <v>39752</v>
      </c>
      <c r="EH3" s="32">
        <v>39584</v>
      </c>
      <c r="EI3" s="32">
        <v>38694</v>
      </c>
      <c r="EJ3" s="32">
        <v>36301</v>
      </c>
      <c r="EK3" s="32">
        <v>36132</v>
      </c>
      <c r="EL3" s="32">
        <v>35671</v>
      </c>
      <c r="EM3" s="32">
        <v>29685</v>
      </c>
      <c r="EN3" s="32">
        <v>29675</v>
      </c>
      <c r="EO3" s="32">
        <v>29777</v>
      </c>
      <c r="EP3" s="32">
        <v>28690</v>
      </c>
      <c r="EQ3" s="32">
        <v>28291</v>
      </c>
      <c r="ER3" s="32">
        <v>27620</v>
      </c>
      <c r="ES3" s="32">
        <v>27535</v>
      </c>
      <c r="ET3" s="32">
        <v>26286</v>
      </c>
      <c r="EU3" s="32">
        <v>26213</v>
      </c>
      <c r="EV3" s="32">
        <v>24931</v>
      </c>
      <c r="EW3" s="32">
        <v>25119</v>
      </c>
      <c r="EX3" s="32">
        <v>25107</v>
      </c>
      <c r="EY3" s="32">
        <v>24098</v>
      </c>
      <c r="EZ3" s="32">
        <v>23564</v>
      </c>
      <c r="FA3" s="32">
        <v>22990</v>
      </c>
      <c r="FB3" s="32">
        <v>22398</v>
      </c>
      <c r="FC3" s="32">
        <v>21095</v>
      </c>
      <c r="FD3" s="32">
        <v>19206</v>
      </c>
      <c r="FE3" s="32">
        <v>19351</v>
      </c>
      <c r="FF3" s="32">
        <v>14380</v>
      </c>
      <c r="FG3" s="32">
        <v>42303</v>
      </c>
      <c r="FH3" s="32">
        <v>22810</v>
      </c>
      <c r="FI3" s="32">
        <v>12941</v>
      </c>
      <c r="FJ3" s="32">
        <v>17554</v>
      </c>
      <c r="FK3" s="32">
        <v>16767</v>
      </c>
      <c r="FL3" s="32">
        <v>16728</v>
      </c>
      <c r="FM3" s="32">
        <v>17162</v>
      </c>
      <c r="FN3" s="32">
        <v>17657</v>
      </c>
      <c r="FO3" s="32">
        <v>27493</v>
      </c>
      <c r="FP3" s="32">
        <v>29084</v>
      </c>
      <c r="FQ3" s="32">
        <v>29749</v>
      </c>
      <c r="FR3" s="32">
        <v>38972</v>
      </c>
      <c r="FS3" s="32">
        <v>38261</v>
      </c>
      <c r="FT3" s="32">
        <v>38506</v>
      </c>
      <c r="FU3" s="32">
        <v>40077</v>
      </c>
      <c r="FV3" s="32">
        <v>40614</v>
      </c>
      <c r="FW3" s="32">
        <v>41460</v>
      </c>
      <c r="FX3" s="32">
        <v>42260</v>
      </c>
      <c r="FY3" s="32">
        <v>39690</v>
      </c>
      <c r="FZ3" s="32">
        <v>40877</v>
      </c>
      <c r="GA3" s="32">
        <v>42061</v>
      </c>
      <c r="GB3" s="32">
        <v>40606</v>
      </c>
      <c r="GC3" s="32">
        <v>34471</v>
      </c>
      <c r="GD3" s="32">
        <v>35727</v>
      </c>
      <c r="GE3" s="32">
        <v>39198</v>
      </c>
      <c r="GF3" s="32">
        <v>40425</v>
      </c>
      <c r="GG3" s="32">
        <v>41352</v>
      </c>
      <c r="GH3" s="32">
        <v>41986</v>
      </c>
      <c r="GI3" s="32">
        <v>40263</v>
      </c>
      <c r="GJ3" s="32">
        <v>39304</v>
      </c>
      <c r="GK3" s="32">
        <v>38261</v>
      </c>
      <c r="GL3" s="32">
        <v>37883</v>
      </c>
      <c r="GM3" s="32">
        <v>38737</v>
      </c>
      <c r="GN3" s="32">
        <v>29728</v>
      </c>
      <c r="GO3" s="32">
        <v>31945</v>
      </c>
      <c r="GP3" s="32">
        <v>36357</v>
      </c>
      <c r="GQ3" s="32">
        <v>29364</v>
      </c>
      <c r="GR3" s="32">
        <v>23405</v>
      </c>
      <c r="GS3" s="32">
        <v>27357</v>
      </c>
      <c r="GT3" s="32">
        <v>29560</v>
      </c>
      <c r="GU3" s="32">
        <v>25176</v>
      </c>
      <c r="GV3" s="32">
        <v>28153</v>
      </c>
      <c r="GW3" s="32">
        <v>23398</v>
      </c>
      <c r="GX3" s="32">
        <v>39738</v>
      </c>
      <c r="GY3" s="32">
        <v>40826</v>
      </c>
      <c r="GZ3" s="32">
        <v>31590</v>
      </c>
      <c r="HA3" s="32">
        <v>40386</v>
      </c>
      <c r="HB3" s="32">
        <v>42684</v>
      </c>
      <c r="HC3" s="32">
        <v>42025</v>
      </c>
      <c r="HD3" s="32">
        <v>41159</v>
      </c>
      <c r="HE3" s="32">
        <v>36875</v>
      </c>
      <c r="HF3" s="32">
        <v>35384</v>
      </c>
      <c r="HG3" s="32">
        <v>36035</v>
      </c>
      <c r="HH3" s="32">
        <v>36761</v>
      </c>
      <c r="HI3" s="32">
        <v>39695</v>
      </c>
      <c r="HJ3" s="32">
        <v>40893</v>
      </c>
      <c r="HK3" s="32">
        <v>41550</v>
      </c>
      <c r="HL3" s="32">
        <v>41889</v>
      </c>
      <c r="HM3" s="32">
        <v>39469</v>
      </c>
      <c r="HN3" s="32">
        <v>42252</v>
      </c>
      <c r="HO3" s="32">
        <v>39493</v>
      </c>
      <c r="HP3" s="32">
        <v>41524</v>
      </c>
      <c r="HQ3" s="32">
        <v>41248</v>
      </c>
      <c r="HR3" s="32">
        <v>40427</v>
      </c>
      <c r="HS3" s="32">
        <v>40790</v>
      </c>
      <c r="HT3" s="32">
        <v>41519</v>
      </c>
      <c r="HU3" s="32">
        <v>40627</v>
      </c>
      <c r="HV3" s="32">
        <v>39094</v>
      </c>
      <c r="HW3" s="32">
        <v>40291</v>
      </c>
      <c r="HX3" s="32">
        <v>23181</v>
      </c>
      <c r="HY3" s="32">
        <v>24471</v>
      </c>
      <c r="HZ3" s="32">
        <v>30484</v>
      </c>
      <c r="IA3" s="32">
        <v>34131</v>
      </c>
      <c r="IB3" s="32">
        <v>37379</v>
      </c>
      <c r="IC3" s="32">
        <v>38912</v>
      </c>
      <c r="ID3" s="32">
        <v>35818</v>
      </c>
      <c r="IE3" s="32">
        <v>39255</v>
      </c>
      <c r="IF3" s="32">
        <v>34908</v>
      </c>
      <c r="IG3" s="32">
        <v>37032</v>
      </c>
      <c r="IH3" s="32">
        <v>39266</v>
      </c>
      <c r="II3" s="32">
        <v>39402</v>
      </c>
      <c r="IJ3" s="32">
        <v>39388</v>
      </c>
      <c r="IK3" s="32">
        <v>39227</v>
      </c>
      <c r="IL3" s="32">
        <v>39430</v>
      </c>
      <c r="IM3" s="32">
        <v>39255</v>
      </c>
      <c r="IN3" s="32">
        <v>38121</v>
      </c>
      <c r="IO3" s="32">
        <v>38518</v>
      </c>
      <c r="IP3" s="32">
        <v>38548</v>
      </c>
      <c r="IQ3" s="32">
        <v>38904</v>
      </c>
      <c r="IR3" s="32">
        <v>35986</v>
      </c>
      <c r="IS3" s="32">
        <v>35977</v>
      </c>
      <c r="IT3" s="32">
        <v>37440</v>
      </c>
      <c r="IU3" s="32">
        <v>39206</v>
      </c>
      <c r="IV3" s="32">
        <v>38168</v>
      </c>
      <c r="IW3" s="32">
        <v>38569</v>
      </c>
      <c r="IX3" s="32">
        <v>37106</v>
      </c>
      <c r="IY3" s="32">
        <v>38926</v>
      </c>
      <c r="IZ3" s="32">
        <v>37939</v>
      </c>
      <c r="JA3" s="32">
        <v>38532</v>
      </c>
      <c r="JB3" s="32">
        <v>39311</v>
      </c>
      <c r="JC3" s="32">
        <v>37756</v>
      </c>
      <c r="JD3" s="32">
        <v>38856</v>
      </c>
      <c r="JE3" s="32">
        <v>38133</v>
      </c>
      <c r="JF3" s="32">
        <v>37811</v>
      </c>
      <c r="JG3" s="32">
        <v>37960</v>
      </c>
      <c r="JH3" s="32">
        <v>36707</v>
      </c>
      <c r="JI3" s="32">
        <v>38841</v>
      </c>
      <c r="JJ3" s="32">
        <v>36670</v>
      </c>
      <c r="JK3" s="32">
        <v>37498</v>
      </c>
      <c r="JL3" s="32">
        <v>37392</v>
      </c>
      <c r="JM3" s="32">
        <v>37295</v>
      </c>
      <c r="JN3" s="32">
        <v>36299</v>
      </c>
      <c r="JO3" s="32">
        <v>38491</v>
      </c>
      <c r="JP3" s="32">
        <v>37930</v>
      </c>
      <c r="JQ3" s="32">
        <v>37302</v>
      </c>
      <c r="JR3" s="32">
        <v>39260</v>
      </c>
      <c r="JS3" s="32">
        <v>38154</v>
      </c>
      <c r="JT3" s="32">
        <v>38478</v>
      </c>
      <c r="JU3" s="32">
        <v>38513</v>
      </c>
      <c r="JV3" s="32">
        <v>38346</v>
      </c>
      <c r="JW3" s="32">
        <v>37250</v>
      </c>
      <c r="JX3" s="32">
        <v>38183</v>
      </c>
      <c r="JY3" s="32">
        <v>37441</v>
      </c>
      <c r="JZ3" s="32">
        <v>33466</v>
      </c>
      <c r="KA3" s="32">
        <v>38212</v>
      </c>
      <c r="KB3" s="32">
        <v>39402</v>
      </c>
      <c r="KC3" s="32">
        <v>39059</v>
      </c>
      <c r="KD3" s="32">
        <v>36651</v>
      </c>
      <c r="KE3" s="32">
        <v>34530</v>
      </c>
      <c r="KF3" s="32">
        <v>37610</v>
      </c>
      <c r="KG3" s="32">
        <v>37274</v>
      </c>
      <c r="KH3" s="32">
        <v>39304</v>
      </c>
      <c r="KI3" s="32">
        <v>37106</v>
      </c>
      <c r="KJ3" s="32">
        <v>35613</v>
      </c>
      <c r="KK3" s="32">
        <v>38996</v>
      </c>
      <c r="KL3" s="32">
        <v>34929</v>
      </c>
      <c r="KM3" s="32">
        <v>38604</v>
      </c>
      <c r="KN3" s="32">
        <v>38191</v>
      </c>
      <c r="KO3" s="32">
        <v>34180</v>
      </c>
      <c r="KP3" s="32">
        <v>36903</v>
      </c>
      <c r="KQ3" s="32">
        <v>38387</v>
      </c>
      <c r="KR3" s="32">
        <v>38989</v>
      </c>
      <c r="KS3" s="32">
        <v>37764</v>
      </c>
      <c r="KT3" s="32">
        <v>35207</v>
      </c>
      <c r="KU3" s="32">
        <v>35923</v>
      </c>
      <c r="KV3" s="32">
        <v>37449</v>
      </c>
      <c r="KW3" s="32">
        <v>37246</v>
      </c>
      <c r="KX3" s="32">
        <v>38982</v>
      </c>
      <c r="KY3" s="32">
        <v>38709</v>
      </c>
      <c r="KZ3" s="32">
        <v>35248</v>
      </c>
      <c r="LA3" s="32">
        <v>36756</v>
      </c>
      <c r="LB3" s="32">
        <v>37743</v>
      </c>
      <c r="LC3" s="32">
        <v>35223</v>
      </c>
      <c r="LD3" s="32">
        <v>38401</v>
      </c>
      <c r="LE3" s="32">
        <v>36889</v>
      </c>
      <c r="LF3" s="32">
        <v>38975</v>
      </c>
      <c r="LG3" s="32">
        <v>39288</v>
      </c>
      <c r="LH3" s="32">
        <v>34843</v>
      </c>
      <c r="LI3" s="32">
        <v>38730</v>
      </c>
      <c r="LJ3" s="32">
        <v>38219</v>
      </c>
      <c r="LK3" s="32">
        <v>39220</v>
      </c>
      <c r="LL3" s="32">
        <v>38126</v>
      </c>
      <c r="LM3" s="32">
        <v>32729</v>
      </c>
      <c r="LN3" s="32">
        <v>36140</v>
      </c>
      <c r="LO3" s="32">
        <v>32316</v>
      </c>
      <c r="LP3" s="32">
        <v>36483</v>
      </c>
      <c r="LQ3" s="32">
        <v>37477</v>
      </c>
      <c r="LR3" s="32">
        <v>33058</v>
      </c>
      <c r="LS3" s="32">
        <v>35398</v>
      </c>
      <c r="LT3" s="32">
        <v>34880</v>
      </c>
      <c r="LU3" s="32">
        <v>36000</v>
      </c>
      <c r="LV3" s="32">
        <v>36448</v>
      </c>
      <c r="LW3" s="32">
        <v>36322</v>
      </c>
      <c r="LX3" s="32">
        <v>33025</v>
      </c>
      <c r="LY3" s="32">
        <v>34145</v>
      </c>
      <c r="LZ3" s="32">
        <v>34549</v>
      </c>
      <c r="MA3" s="32">
        <v>38975</v>
      </c>
      <c r="MB3" s="32">
        <v>35951</v>
      </c>
      <c r="MC3" s="32">
        <v>35657</v>
      </c>
      <c r="MD3" s="32">
        <v>37421</v>
      </c>
      <c r="ME3" s="32">
        <v>38079</v>
      </c>
      <c r="MF3" s="32">
        <v>38065</v>
      </c>
      <c r="MG3" s="32">
        <v>37904</v>
      </c>
      <c r="MH3" s="32">
        <v>39164</v>
      </c>
      <c r="MI3" s="32">
        <v>37624</v>
      </c>
      <c r="MJ3" s="32">
        <v>28834</v>
      </c>
      <c r="MK3" s="32">
        <v>34831</v>
      </c>
      <c r="ML3" s="32">
        <v>39043</v>
      </c>
      <c r="MM3" s="32">
        <v>38098</v>
      </c>
      <c r="MN3" s="32">
        <v>36155</v>
      </c>
      <c r="MO3" s="32">
        <v>37911</v>
      </c>
      <c r="MP3" s="32">
        <v>33746</v>
      </c>
      <c r="MQ3" s="32">
        <v>36672</v>
      </c>
      <c r="MR3" s="32">
        <v>38100</v>
      </c>
      <c r="MS3" s="32">
        <v>37337</v>
      </c>
      <c r="MT3" s="32">
        <v>39010</v>
      </c>
      <c r="MU3" s="32">
        <v>35118</v>
      </c>
      <c r="MV3" s="32">
        <v>33403</v>
      </c>
      <c r="MW3" s="32">
        <v>37029</v>
      </c>
      <c r="MX3" s="32">
        <v>37659</v>
      </c>
      <c r="MY3" s="32">
        <v>32652</v>
      </c>
      <c r="MZ3" s="32">
        <v>35391</v>
      </c>
      <c r="NA3" s="32">
        <v>36028</v>
      </c>
      <c r="NB3" s="32">
        <v>33760</v>
      </c>
      <c r="NC3" s="32">
        <v>34187</v>
      </c>
      <c r="ND3" s="32">
        <v>39010</v>
      </c>
      <c r="NE3" s="32">
        <v>33872</v>
      </c>
      <c r="NF3" s="32">
        <v>39059</v>
      </c>
      <c r="NG3" s="32">
        <v>38548</v>
      </c>
      <c r="NH3" s="32">
        <v>33018</v>
      </c>
      <c r="NI3" s="32">
        <v>32834</v>
      </c>
      <c r="NJ3" s="32">
        <v>38443</v>
      </c>
      <c r="NK3" s="32">
        <v>38632</v>
      </c>
      <c r="NL3" s="32">
        <v>34656</v>
      </c>
      <c r="NM3" s="32">
        <v>30596</v>
      </c>
      <c r="NN3" s="32">
        <v>29196</v>
      </c>
      <c r="NO3" s="32">
        <v>36133</v>
      </c>
      <c r="NP3" s="32">
        <v>33830</v>
      </c>
      <c r="NQ3" s="32">
        <v>30461</v>
      </c>
      <c r="NR3" s="32">
        <v>38618</v>
      </c>
      <c r="NS3" s="32">
        <v>34992</v>
      </c>
      <c r="NT3" s="32">
        <v>39346</v>
      </c>
      <c r="NU3" s="32">
        <v>38366</v>
      </c>
      <c r="NV3" s="32">
        <v>34964</v>
      </c>
      <c r="NW3" s="32">
        <v>32934</v>
      </c>
      <c r="NX3" s="32">
        <v>30840</v>
      </c>
      <c r="NY3" s="32">
        <v>32668</v>
      </c>
      <c r="NZ3" s="32">
        <v>30825</v>
      </c>
      <c r="OA3" s="32">
        <v>30127</v>
      </c>
      <c r="OB3" s="32">
        <v>32339</v>
      </c>
      <c r="OC3" s="32">
        <v>30473</v>
      </c>
      <c r="OD3" s="32">
        <v>33578</v>
      </c>
      <c r="OE3" s="32">
        <v>32094</v>
      </c>
      <c r="OF3" s="32">
        <v>37848</v>
      </c>
      <c r="OG3" s="32">
        <v>33270</v>
      </c>
      <c r="OH3" s="32">
        <v>36784</v>
      </c>
      <c r="OI3" s="32">
        <v>33135</v>
      </c>
      <c r="OJ3" s="32">
        <v>38072</v>
      </c>
      <c r="OK3" s="32">
        <v>31931</v>
      </c>
      <c r="OL3" s="32">
        <v>34318</v>
      </c>
      <c r="OM3" s="32">
        <v>38240</v>
      </c>
      <c r="ON3" s="32">
        <v>30659</v>
      </c>
      <c r="OO3" s="32">
        <v>31742</v>
      </c>
      <c r="OP3" s="32">
        <v>28111</v>
      </c>
      <c r="OQ3" s="32">
        <v>29362</v>
      </c>
      <c r="OR3" s="32">
        <v>37596</v>
      </c>
      <c r="OS3" s="32">
        <v>35083</v>
      </c>
      <c r="OT3" s="32">
        <v>29749</v>
      </c>
      <c r="OU3" s="32">
        <v>31231</v>
      </c>
      <c r="OV3" s="32">
        <v>33165</v>
      </c>
      <c r="OW3" s="32">
        <v>30834</v>
      </c>
      <c r="OX3" s="32">
        <v>29539</v>
      </c>
      <c r="OY3" s="32">
        <v>31611</v>
      </c>
      <c r="OZ3" s="32">
        <v>26898</v>
      </c>
      <c r="PA3" s="32">
        <v>38205</v>
      </c>
      <c r="PB3" s="32">
        <v>36411</v>
      </c>
      <c r="PC3" s="32">
        <v>31842</v>
      </c>
      <c r="PD3" s="32">
        <v>32696</v>
      </c>
      <c r="PE3" s="32">
        <v>38695</v>
      </c>
      <c r="PF3" s="32">
        <v>37792</v>
      </c>
      <c r="PG3" s="32">
        <v>36490</v>
      </c>
      <c r="PH3" s="32">
        <v>32486</v>
      </c>
      <c r="PI3" s="32">
        <v>39060</v>
      </c>
      <c r="PJ3" s="32">
        <v>30106</v>
      </c>
      <c r="PK3" s="32">
        <v>28270</v>
      </c>
      <c r="PL3" s="32">
        <v>30113</v>
      </c>
      <c r="PM3" s="32">
        <v>24635</v>
      </c>
      <c r="PN3" s="32">
        <v>29000</v>
      </c>
      <c r="PO3" s="32">
        <v>34621</v>
      </c>
      <c r="PP3" s="32">
        <v>35132</v>
      </c>
      <c r="PQ3" s="32">
        <v>38632</v>
      </c>
      <c r="PR3" s="32">
        <v>31224</v>
      </c>
      <c r="PS3" s="32">
        <v>30981</v>
      </c>
      <c r="PT3" s="32">
        <v>20745</v>
      </c>
      <c r="PU3" s="32">
        <v>34936</v>
      </c>
      <c r="PV3" s="32">
        <v>36774</v>
      </c>
      <c r="PW3" s="32">
        <v>23637</v>
      </c>
      <c r="PX3" s="32">
        <v>33900</v>
      </c>
      <c r="PY3" s="32">
        <v>12151</v>
      </c>
      <c r="PZ3" s="32">
        <v>38240</v>
      </c>
      <c r="QA3" s="32">
        <v>39590</v>
      </c>
      <c r="QB3" s="32">
        <v>41817</v>
      </c>
      <c r="QC3" s="32">
        <v>41852</v>
      </c>
      <c r="QD3" s="32">
        <v>41787</v>
      </c>
      <c r="QE3" s="32">
        <v>41781</v>
      </c>
      <c r="QF3" s="32">
        <v>41733</v>
      </c>
      <c r="QG3" s="32">
        <v>41953</v>
      </c>
      <c r="QH3" s="32">
        <v>41739</v>
      </c>
      <c r="QI3" s="32">
        <v>41831</v>
      </c>
      <c r="QJ3" s="32">
        <v>41950</v>
      </c>
      <c r="QK3" s="32">
        <v>41605</v>
      </c>
      <c r="QL3" s="32">
        <v>41397</v>
      </c>
      <c r="QM3" s="32">
        <v>41458</v>
      </c>
      <c r="QN3" s="32">
        <v>41589</v>
      </c>
      <c r="QO3" s="32">
        <v>41401</v>
      </c>
      <c r="QP3" s="32">
        <v>41446</v>
      </c>
      <c r="QQ3" s="32">
        <v>41551</v>
      </c>
      <c r="QR3" s="32">
        <v>41439</v>
      </c>
      <c r="QS3" s="32">
        <v>41569</v>
      </c>
      <c r="QT3" s="32">
        <v>41033</v>
      </c>
      <c r="QU3" s="32">
        <v>41110</v>
      </c>
      <c r="QV3" s="32">
        <v>41087</v>
      </c>
      <c r="QW3" s="32">
        <v>41229</v>
      </c>
      <c r="QX3" s="32">
        <v>41093</v>
      </c>
      <c r="QY3" s="32">
        <v>41068</v>
      </c>
      <c r="QZ3" s="32">
        <v>40991</v>
      </c>
      <c r="RA3" s="32">
        <v>41054</v>
      </c>
      <c r="RB3" s="32">
        <v>40723</v>
      </c>
      <c r="RC3" s="32">
        <v>40683</v>
      </c>
      <c r="RD3" s="32">
        <v>40865</v>
      </c>
      <c r="RE3" s="32">
        <v>40893</v>
      </c>
      <c r="RF3" s="32">
        <v>40689</v>
      </c>
      <c r="RG3" s="32">
        <v>40662</v>
      </c>
      <c r="RH3" s="32">
        <v>40689</v>
      </c>
      <c r="RI3" s="32">
        <v>40753</v>
      </c>
      <c r="RJ3" s="32">
        <v>40718</v>
      </c>
      <c r="RK3" s="32">
        <v>40347</v>
      </c>
      <c r="RL3" s="32">
        <v>40375</v>
      </c>
      <c r="RM3" s="32">
        <v>40319</v>
      </c>
      <c r="RN3" s="32">
        <v>40359</v>
      </c>
      <c r="RO3" s="32">
        <v>40305</v>
      </c>
      <c r="RP3" s="32">
        <v>40506</v>
      </c>
      <c r="RQ3" s="32">
        <v>40368</v>
      </c>
      <c r="RR3" s="32">
        <v>40263</v>
      </c>
      <c r="RS3" s="32">
        <v>40164</v>
      </c>
      <c r="RT3" s="32">
        <v>39995</v>
      </c>
      <c r="RU3" s="32">
        <v>39983</v>
      </c>
      <c r="RV3" s="32">
        <v>40130</v>
      </c>
      <c r="RW3" s="32">
        <v>39962</v>
      </c>
      <c r="RX3" s="32">
        <v>40137</v>
      </c>
      <c r="RY3" s="32">
        <v>39948</v>
      </c>
      <c r="RZ3" s="32">
        <v>39969</v>
      </c>
      <c r="SA3" s="32">
        <v>39653</v>
      </c>
      <c r="SB3" s="32">
        <v>39605</v>
      </c>
      <c r="SC3" s="32">
        <v>39631</v>
      </c>
      <c r="SD3" s="32">
        <v>39759</v>
      </c>
      <c r="SE3" s="32">
        <v>39570</v>
      </c>
      <c r="SF3" s="32">
        <v>39626</v>
      </c>
      <c r="SG3" s="32">
        <v>39437</v>
      </c>
      <c r="SH3" s="32">
        <v>39736</v>
      </c>
      <c r="SI3" s="32">
        <v>38807</v>
      </c>
      <c r="SJ3" s="32">
        <v>39073</v>
      </c>
      <c r="SK3" s="32">
        <v>38877</v>
      </c>
      <c r="SL3" s="32">
        <v>38499</v>
      </c>
      <c r="SM3" s="32">
        <v>38394</v>
      </c>
      <c r="SN3" s="32">
        <v>38296</v>
      </c>
      <c r="SO3" s="32">
        <v>38343</v>
      </c>
      <c r="SP3" s="32">
        <v>38261</v>
      </c>
      <c r="SQ3" s="32">
        <v>37771</v>
      </c>
      <c r="SR3" s="32">
        <v>37804</v>
      </c>
      <c r="SS3" s="32">
        <v>37820</v>
      </c>
      <c r="ST3" s="32">
        <v>37470</v>
      </c>
      <c r="SU3" s="32">
        <v>37330</v>
      </c>
      <c r="SV3" s="32">
        <v>37015</v>
      </c>
      <c r="SW3" s="32">
        <v>37090</v>
      </c>
      <c r="SX3" s="32">
        <v>36931</v>
      </c>
      <c r="SY3" s="32">
        <v>36875</v>
      </c>
      <c r="SZ3" s="32">
        <v>36665</v>
      </c>
      <c r="TA3" s="32">
        <v>36847</v>
      </c>
      <c r="TB3" s="32">
        <v>36805</v>
      </c>
      <c r="TC3" s="32">
        <v>36728</v>
      </c>
      <c r="TD3" s="32">
        <v>36488</v>
      </c>
      <c r="TE3" s="32">
        <v>36327</v>
      </c>
      <c r="TF3" s="32">
        <v>36287</v>
      </c>
      <c r="TG3" s="32">
        <v>36322</v>
      </c>
      <c r="TH3" s="32">
        <v>35935</v>
      </c>
      <c r="TI3" s="32">
        <v>35991</v>
      </c>
      <c r="TJ3" s="32">
        <v>36124</v>
      </c>
      <c r="TK3" s="32">
        <v>35965</v>
      </c>
      <c r="TL3" s="32">
        <v>35972</v>
      </c>
      <c r="TM3" s="32">
        <v>35573</v>
      </c>
      <c r="TN3" s="32">
        <v>35636</v>
      </c>
      <c r="TO3" s="32">
        <v>35510</v>
      </c>
      <c r="TP3" s="32">
        <v>35601</v>
      </c>
      <c r="TQ3" s="32">
        <v>35202</v>
      </c>
      <c r="TR3" s="32">
        <v>35237</v>
      </c>
      <c r="TS3" s="32">
        <v>35396</v>
      </c>
      <c r="TT3" s="32">
        <v>35377</v>
      </c>
      <c r="TU3" s="32">
        <v>35244</v>
      </c>
      <c r="TV3" s="32">
        <v>35412</v>
      </c>
      <c r="TW3" s="32">
        <v>35237</v>
      </c>
      <c r="TX3" s="32">
        <v>35025</v>
      </c>
      <c r="TY3" s="32">
        <v>34873</v>
      </c>
      <c r="TZ3" s="32">
        <v>34866</v>
      </c>
      <c r="UA3" s="32">
        <v>34845</v>
      </c>
      <c r="UB3" s="32">
        <v>35048</v>
      </c>
      <c r="UC3" s="32">
        <v>34500</v>
      </c>
      <c r="UD3" s="32">
        <v>34544</v>
      </c>
      <c r="UE3" s="32">
        <v>34495</v>
      </c>
      <c r="UF3" s="32">
        <v>34481</v>
      </c>
      <c r="UG3" s="32">
        <v>34684</v>
      </c>
      <c r="UH3" s="32">
        <v>35489</v>
      </c>
      <c r="UI3" s="32">
        <v>34649</v>
      </c>
      <c r="UJ3" s="32">
        <v>34297</v>
      </c>
      <c r="UK3" s="32">
        <v>34150</v>
      </c>
      <c r="UL3" s="32">
        <v>34066</v>
      </c>
      <c r="UM3" s="32">
        <v>34145</v>
      </c>
      <c r="UN3" s="32">
        <v>34325</v>
      </c>
      <c r="UO3" s="32">
        <v>34320</v>
      </c>
      <c r="UP3" s="32">
        <v>33933</v>
      </c>
      <c r="UQ3" s="32">
        <v>33933</v>
      </c>
      <c r="UR3" s="32">
        <v>33928</v>
      </c>
      <c r="US3" s="32">
        <v>33732</v>
      </c>
      <c r="UT3" s="32">
        <v>33774</v>
      </c>
      <c r="UU3" s="32">
        <v>33949</v>
      </c>
      <c r="UV3" s="32">
        <v>33753</v>
      </c>
      <c r="UW3" s="32">
        <v>33921</v>
      </c>
      <c r="UX3" s="32">
        <v>33648</v>
      </c>
      <c r="UY3" s="32">
        <v>33564</v>
      </c>
      <c r="UZ3" s="32">
        <v>33583</v>
      </c>
      <c r="VA3" s="32">
        <v>33283</v>
      </c>
      <c r="VB3" s="32">
        <v>33592</v>
      </c>
      <c r="VC3" s="32">
        <v>33564</v>
      </c>
      <c r="VD3" s="32">
        <v>33555</v>
      </c>
      <c r="VE3" s="32">
        <v>33450</v>
      </c>
      <c r="VF3" s="32">
        <v>33396</v>
      </c>
      <c r="VG3" s="32">
        <v>33067</v>
      </c>
      <c r="VH3" s="32">
        <v>33193</v>
      </c>
      <c r="VI3" s="32">
        <v>32955</v>
      </c>
      <c r="VJ3" s="32">
        <v>32962</v>
      </c>
      <c r="VK3" s="32">
        <v>32682</v>
      </c>
      <c r="VL3" s="32">
        <v>32794</v>
      </c>
      <c r="VM3" s="32">
        <v>32661</v>
      </c>
      <c r="VN3" s="32">
        <v>32682</v>
      </c>
      <c r="VO3" s="32">
        <v>32675</v>
      </c>
      <c r="VP3" s="32">
        <v>32829</v>
      </c>
      <c r="VQ3" s="32">
        <v>32862</v>
      </c>
      <c r="VR3" s="32">
        <v>32493</v>
      </c>
      <c r="VS3" s="32">
        <v>32323</v>
      </c>
      <c r="VT3" s="32">
        <v>32480</v>
      </c>
      <c r="VU3" s="32">
        <v>32479</v>
      </c>
      <c r="VV3" s="32">
        <v>32353</v>
      </c>
      <c r="VW3" s="32">
        <v>32232</v>
      </c>
      <c r="VX3" s="32">
        <v>32106</v>
      </c>
      <c r="VY3" s="32">
        <v>32038</v>
      </c>
      <c r="VZ3" s="32">
        <v>31917</v>
      </c>
      <c r="WA3" s="32">
        <v>32134</v>
      </c>
      <c r="WB3" s="32">
        <v>32129</v>
      </c>
      <c r="WC3" s="32">
        <v>31877</v>
      </c>
      <c r="WD3" s="32">
        <v>31994</v>
      </c>
      <c r="WE3" s="32">
        <v>31940</v>
      </c>
      <c r="WF3" s="32">
        <v>31548</v>
      </c>
      <c r="WG3" s="32">
        <v>31765</v>
      </c>
      <c r="WH3" s="32">
        <v>31583</v>
      </c>
      <c r="WI3" s="32">
        <v>31758</v>
      </c>
      <c r="WJ3" s="32">
        <v>31574</v>
      </c>
      <c r="WK3" s="32">
        <v>31189</v>
      </c>
      <c r="WL3" s="32">
        <v>31378</v>
      </c>
      <c r="WM3" s="32">
        <v>31399</v>
      </c>
      <c r="WN3" s="32">
        <v>31399</v>
      </c>
      <c r="WO3" s="32">
        <v>31219</v>
      </c>
      <c r="WP3" s="32">
        <v>31392</v>
      </c>
      <c r="WQ3" s="32">
        <v>31205</v>
      </c>
      <c r="WR3" s="32">
        <v>31387</v>
      </c>
      <c r="WS3" s="32">
        <v>31021</v>
      </c>
      <c r="WT3" s="32">
        <v>30841</v>
      </c>
      <c r="WU3" s="32">
        <v>30855</v>
      </c>
      <c r="WV3" s="32">
        <v>30764</v>
      </c>
      <c r="WW3" s="32">
        <v>30729</v>
      </c>
      <c r="WX3" s="32">
        <v>30771</v>
      </c>
      <c r="WY3" s="32">
        <v>30659</v>
      </c>
      <c r="WZ3" s="32">
        <v>30421</v>
      </c>
      <c r="XA3" s="32">
        <v>30477</v>
      </c>
      <c r="XB3" s="32">
        <v>30470</v>
      </c>
      <c r="XC3" s="32">
        <v>30659</v>
      </c>
      <c r="XD3" s="32">
        <v>30512</v>
      </c>
      <c r="XE3" s="32">
        <v>30302</v>
      </c>
      <c r="XF3" s="32">
        <v>30176</v>
      </c>
      <c r="XG3" s="32">
        <v>30099</v>
      </c>
      <c r="XH3" s="32">
        <v>30293</v>
      </c>
      <c r="XI3" s="32">
        <v>30106</v>
      </c>
      <c r="XJ3" s="32">
        <v>30120</v>
      </c>
      <c r="XK3" s="32">
        <v>29784</v>
      </c>
      <c r="XL3" s="32">
        <v>29756</v>
      </c>
      <c r="XM3" s="32">
        <v>29574</v>
      </c>
      <c r="XN3" s="32">
        <v>29567</v>
      </c>
      <c r="XO3" s="32">
        <v>29404</v>
      </c>
      <c r="XP3" s="32">
        <v>29572</v>
      </c>
      <c r="XQ3" s="32">
        <v>29504</v>
      </c>
      <c r="XR3" s="32">
        <v>29448</v>
      </c>
      <c r="XS3" s="32">
        <v>29392</v>
      </c>
      <c r="XT3" s="32">
        <v>29208</v>
      </c>
      <c r="XU3" s="32">
        <v>29063</v>
      </c>
      <c r="XV3" s="32">
        <v>29021</v>
      </c>
      <c r="XW3" s="32">
        <v>29082</v>
      </c>
      <c r="XX3" s="32">
        <v>29133</v>
      </c>
      <c r="XY3" s="32">
        <v>29203</v>
      </c>
      <c r="XZ3" s="32">
        <v>29006</v>
      </c>
      <c r="YA3" s="32">
        <v>28657</v>
      </c>
      <c r="YB3" s="32">
        <v>28699</v>
      </c>
      <c r="YC3" s="32">
        <v>28844</v>
      </c>
      <c r="YD3" s="32">
        <v>28657</v>
      </c>
      <c r="YE3" s="32">
        <v>28734</v>
      </c>
      <c r="YF3" s="32">
        <v>28832</v>
      </c>
      <c r="YG3" s="32">
        <v>28272</v>
      </c>
      <c r="YH3" s="32">
        <v>28445</v>
      </c>
      <c r="YI3" s="32">
        <v>28473</v>
      </c>
      <c r="YJ3" s="32">
        <v>28293</v>
      </c>
      <c r="YK3" s="32">
        <v>28235</v>
      </c>
      <c r="YL3" s="32">
        <v>28085</v>
      </c>
      <c r="YM3" s="32">
        <v>27859</v>
      </c>
      <c r="YN3" s="32">
        <v>27917</v>
      </c>
      <c r="YO3" s="32">
        <v>28102</v>
      </c>
      <c r="YP3" s="32">
        <v>28116</v>
      </c>
      <c r="YQ3" s="32">
        <v>27929</v>
      </c>
      <c r="YR3" s="32">
        <v>27565</v>
      </c>
      <c r="YS3" s="32">
        <v>27717</v>
      </c>
      <c r="YT3" s="32">
        <v>27658</v>
      </c>
      <c r="YU3" s="32">
        <v>27436</v>
      </c>
      <c r="YV3" s="32">
        <v>27067</v>
      </c>
      <c r="YW3" s="32">
        <v>27377</v>
      </c>
      <c r="YX3" s="32">
        <v>27378</v>
      </c>
      <c r="YY3" s="32">
        <v>27348</v>
      </c>
      <c r="YZ3" s="32">
        <v>27375</v>
      </c>
      <c r="ZA3" s="32">
        <v>27320</v>
      </c>
      <c r="ZB3" s="32">
        <v>27262</v>
      </c>
      <c r="ZC3" s="32">
        <v>27024</v>
      </c>
      <c r="ZD3" s="32">
        <v>27024</v>
      </c>
      <c r="ZE3" s="32">
        <v>26878</v>
      </c>
      <c r="ZF3" s="32">
        <v>27014</v>
      </c>
      <c r="ZG3" s="32">
        <v>26976</v>
      </c>
      <c r="ZH3" s="32">
        <v>26382</v>
      </c>
      <c r="ZI3" s="32">
        <v>26645</v>
      </c>
      <c r="ZJ3" s="32">
        <v>26510</v>
      </c>
      <c r="ZK3" s="32">
        <v>26342</v>
      </c>
      <c r="ZL3" s="32">
        <v>26240</v>
      </c>
      <c r="ZM3" s="32">
        <v>26215</v>
      </c>
      <c r="ZN3" s="32">
        <v>26290</v>
      </c>
      <c r="ZO3" s="32">
        <v>25918</v>
      </c>
      <c r="ZP3" s="32">
        <v>25632</v>
      </c>
      <c r="ZQ3" s="32">
        <v>25660</v>
      </c>
      <c r="ZR3" s="32">
        <v>25500</v>
      </c>
      <c r="ZS3" s="32">
        <v>25348</v>
      </c>
      <c r="ZT3" s="32">
        <v>25398</v>
      </c>
      <c r="ZU3" s="32">
        <v>25491</v>
      </c>
      <c r="ZV3" s="32">
        <v>25196</v>
      </c>
      <c r="ZW3" s="32">
        <v>24960</v>
      </c>
      <c r="ZX3" s="32">
        <v>25128</v>
      </c>
      <c r="ZY3" s="32">
        <v>24931</v>
      </c>
      <c r="ZZ3" s="32">
        <v>24827</v>
      </c>
      <c r="AAA3" s="32">
        <v>24763</v>
      </c>
      <c r="AAB3" s="32">
        <v>24697</v>
      </c>
      <c r="AAC3" s="32">
        <v>24638</v>
      </c>
      <c r="AAD3" s="32">
        <v>25112</v>
      </c>
      <c r="AAE3" s="32">
        <v>24462</v>
      </c>
      <c r="AAF3" s="32">
        <v>23803</v>
      </c>
      <c r="AAG3" s="32">
        <v>23916</v>
      </c>
      <c r="AAH3" s="32">
        <v>23690</v>
      </c>
      <c r="AAI3" s="32">
        <v>23174</v>
      </c>
      <c r="AAJ3" s="32">
        <v>23062</v>
      </c>
      <c r="AAK3" s="32">
        <v>23322</v>
      </c>
      <c r="AAL3" s="32">
        <v>23370</v>
      </c>
      <c r="AAM3" s="32">
        <v>23098</v>
      </c>
      <c r="AAN3" s="32">
        <v>22914</v>
      </c>
      <c r="AAO3" s="32">
        <v>22958</v>
      </c>
      <c r="AAP3" s="32">
        <v>23005</v>
      </c>
      <c r="AAQ3" s="32">
        <v>22572</v>
      </c>
      <c r="AAR3" s="32">
        <v>22621</v>
      </c>
      <c r="AAS3" s="32">
        <v>22306</v>
      </c>
      <c r="AAT3" s="32">
        <v>22196</v>
      </c>
      <c r="AAU3" s="32">
        <v>22083</v>
      </c>
      <c r="AAV3" s="32">
        <v>22271</v>
      </c>
      <c r="AAW3" s="32">
        <v>22213</v>
      </c>
      <c r="AAX3" s="32">
        <v>22138</v>
      </c>
      <c r="AAY3" s="32">
        <v>21872</v>
      </c>
      <c r="AAZ3" s="32">
        <v>21579</v>
      </c>
      <c r="ABA3" s="32">
        <v>21759</v>
      </c>
      <c r="ABB3" s="32">
        <v>21638</v>
      </c>
      <c r="ABC3" s="32">
        <v>21263</v>
      </c>
      <c r="ABD3" s="32">
        <v>21364</v>
      </c>
      <c r="ABE3" s="32">
        <v>21314</v>
      </c>
      <c r="ABF3" s="32">
        <v>21168</v>
      </c>
      <c r="ABG3" s="32">
        <v>20970</v>
      </c>
      <c r="ABH3" s="32">
        <v>20733</v>
      </c>
      <c r="ABI3" s="32">
        <v>20688</v>
      </c>
      <c r="ABJ3" s="32">
        <v>20634</v>
      </c>
      <c r="ABK3" s="32">
        <v>20527</v>
      </c>
      <c r="ABL3" s="32">
        <v>20653</v>
      </c>
      <c r="ABM3" s="32">
        <v>20373</v>
      </c>
      <c r="ABN3" s="32">
        <v>20396</v>
      </c>
      <c r="ABO3" s="32">
        <v>20262</v>
      </c>
      <c r="ABP3" s="32">
        <v>20081</v>
      </c>
      <c r="ABQ3" s="32">
        <v>19618</v>
      </c>
      <c r="ABR3" s="32">
        <v>19576</v>
      </c>
      <c r="ABS3" s="32">
        <v>19472</v>
      </c>
      <c r="ABT3" s="32">
        <v>19395</v>
      </c>
      <c r="ABU3" s="32">
        <v>19555</v>
      </c>
      <c r="ABV3" s="32">
        <v>19095</v>
      </c>
      <c r="ABW3" s="32">
        <v>18805</v>
      </c>
      <c r="ABX3" s="32">
        <v>18889</v>
      </c>
      <c r="ABY3" s="32">
        <v>18985</v>
      </c>
      <c r="ABZ3" s="32">
        <v>18809</v>
      </c>
      <c r="ACA3" s="32">
        <v>18326</v>
      </c>
      <c r="ACB3" s="32">
        <v>18591</v>
      </c>
      <c r="ACC3" s="32">
        <v>18400</v>
      </c>
      <c r="ACD3" s="32">
        <v>18246</v>
      </c>
      <c r="ACE3" s="32">
        <v>15901</v>
      </c>
      <c r="ACF3" s="32">
        <v>15671</v>
      </c>
      <c r="ACG3" s="32">
        <v>14899</v>
      </c>
      <c r="ACH3" s="32">
        <v>14634</v>
      </c>
      <c r="ACI3" s="32">
        <v>14594</v>
      </c>
      <c r="ACJ3" s="32">
        <v>14482</v>
      </c>
      <c r="ACK3" s="32">
        <v>13870</v>
      </c>
      <c r="ACL3" s="32">
        <v>13026</v>
      </c>
      <c r="ACM3" s="32">
        <v>11648</v>
      </c>
      <c r="ACN3" s="32">
        <v>11366</v>
      </c>
      <c r="ACO3" s="32">
        <v>11069</v>
      </c>
      <c r="ACP3" s="32">
        <v>7692</v>
      </c>
      <c r="ACQ3" s="32">
        <v>42355</v>
      </c>
      <c r="ACR3" s="32">
        <v>42167</v>
      </c>
      <c r="ACS3" s="32">
        <v>42097</v>
      </c>
      <c r="ACT3" s="32">
        <v>42125</v>
      </c>
      <c r="ACU3" s="32">
        <v>42166</v>
      </c>
      <c r="ACV3" s="32">
        <v>42174</v>
      </c>
      <c r="ACW3" s="32">
        <v>42216</v>
      </c>
      <c r="ACX3" s="32">
        <v>42328</v>
      </c>
      <c r="ACY3" s="32">
        <v>42279</v>
      </c>
      <c r="ACZ3" s="32">
        <v>42496</v>
      </c>
      <c r="ADA3" s="32">
        <v>42538</v>
      </c>
      <c r="ADB3" s="32">
        <v>42464</v>
      </c>
      <c r="ADC3" s="32">
        <v>42475</v>
      </c>
      <c r="ADD3" s="32">
        <v>42454</v>
      </c>
      <c r="ADE3" s="32">
        <v>42559</v>
      </c>
      <c r="ADF3" s="32">
        <v>42412</v>
      </c>
      <c r="ADG3" s="32">
        <v>42587</v>
      </c>
      <c r="ADH3" s="32">
        <v>42499</v>
      </c>
      <c r="ADI3" s="32">
        <v>42678</v>
      </c>
      <c r="ADJ3" s="32">
        <v>36005</v>
      </c>
      <c r="ADK3" s="32">
        <v>13146</v>
      </c>
      <c r="ADL3" s="32">
        <v>14014</v>
      </c>
      <c r="ADM3" s="32">
        <v>13443</v>
      </c>
      <c r="ADN3" s="32">
        <v>13096</v>
      </c>
      <c r="ADO3" s="32">
        <v>22313</v>
      </c>
      <c r="ADP3" s="32">
        <v>15097</v>
      </c>
      <c r="ADQ3" s="32">
        <v>11436</v>
      </c>
      <c r="ADR3" s="32">
        <v>17156</v>
      </c>
      <c r="ADS3" s="32">
        <v>14535</v>
      </c>
      <c r="ADT3" s="32">
        <v>17289</v>
      </c>
      <c r="ADU3" s="32">
        <v>17848</v>
      </c>
      <c r="ADV3" s="32">
        <v>17826</v>
      </c>
      <c r="ADW3" s="32">
        <v>30862</v>
      </c>
      <c r="ADX3" s="32">
        <v>36607</v>
      </c>
      <c r="ADY3" s="32">
        <v>37197</v>
      </c>
      <c r="ADZ3" s="32">
        <v>37680</v>
      </c>
      <c r="AEA3" s="32">
        <v>39556</v>
      </c>
      <c r="AEB3" s="32">
        <v>39661</v>
      </c>
      <c r="AEC3" s="32">
        <v>40393</v>
      </c>
      <c r="AED3" s="32">
        <v>41134</v>
      </c>
      <c r="AEE3" s="32">
        <v>41855</v>
      </c>
      <c r="AEF3" s="32">
        <v>39607</v>
      </c>
      <c r="AEG3" s="32">
        <v>41415</v>
      </c>
      <c r="AEH3" s="32">
        <v>40270</v>
      </c>
      <c r="AEI3" s="32">
        <v>34201</v>
      </c>
      <c r="AEJ3" s="32">
        <v>35104</v>
      </c>
      <c r="AEK3" s="32">
        <v>35608</v>
      </c>
      <c r="AEL3" s="32">
        <v>37980</v>
      </c>
      <c r="AEM3" s="32">
        <v>42418</v>
      </c>
      <c r="AEN3" s="32">
        <v>41614</v>
      </c>
      <c r="AEO3" s="32">
        <v>40650</v>
      </c>
      <c r="AEP3" s="32">
        <v>41002</v>
      </c>
      <c r="AEQ3" s="32">
        <v>39316</v>
      </c>
      <c r="AER3" s="32">
        <v>41590</v>
      </c>
      <c r="AES3" s="32">
        <v>42626</v>
      </c>
      <c r="AET3" s="32">
        <v>38872</v>
      </c>
      <c r="AEU3" s="32">
        <v>42083</v>
      </c>
      <c r="AEV3" s="32">
        <v>38371</v>
      </c>
      <c r="AEW3" s="32">
        <v>41493</v>
      </c>
      <c r="AEX3" s="32">
        <v>42067</v>
      </c>
      <c r="AEY3" s="32">
        <v>40975</v>
      </c>
      <c r="AEZ3" s="32">
        <v>37022</v>
      </c>
      <c r="AFA3" s="32">
        <v>42252</v>
      </c>
      <c r="AFB3" s="32">
        <v>41180</v>
      </c>
      <c r="AFC3" s="32">
        <v>42177</v>
      </c>
      <c r="AFD3" s="32">
        <v>42116</v>
      </c>
      <c r="AFE3" s="32">
        <v>41717</v>
      </c>
      <c r="AFF3" s="32">
        <v>41556</v>
      </c>
      <c r="AFG3" s="32">
        <v>41292</v>
      </c>
      <c r="AFH3" s="32">
        <v>39954</v>
      </c>
      <c r="AFI3" s="32">
        <v>37291</v>
      </c>
      <c r="AFJ3" s="32">
        <v>36827</v>
      </c>
      <c r="AFK3" s="32">
        <v>36480</v>
      </c>
      <c r="AFL3" s="32">
        <v>35601</v>
      </c>
      <c r="AFM3" s="32">
        <v>35385</v>
      </c>
      <c r="AFN3" s="32">
        <v>34661</v>
      </c>
      <c r="AFO3" s="32">
        <v>41124</v>
      </c>
      <c r="AFP3" s="32">
        <v>40534</v>
      </c>
      <c r="AFQ3" s="32">
        <v>32308</v>
      </c>
      <c r="AFR3" s="32">
        <v>31940</v>
      </c>
      <c r="AFS3" s="32">
        <v>31569</v>
      </c>
      <c r="AFT3" s="32">
        <v>31324</v>
      </c>
      <c r="AFU3" s="32">
        <v>38862</v>
      </c>
      <c r="AFV3" s="32">
        <v>30862</v>
      </c>
      <c r="AFW3" s="32">
        <v>30026</v>
      </c>
      <c r="AFX3" s="32">
        <v>40766</v>
      </c>
      <c r="AFY3" s="32">
        <v>28143</v>
      </c>
      <c r="AFZ3" s="32">
        <v>40956</v>
      </c>
      <c r="AGA3" s="32">
        <v>39073</v>
      </c>
      <c r="AGB3" s="32">
        <v>40688</v>
      </c>
      <c r="AGC3" s="32">
        <v>36833</v>
      </c>
      <c r="AGD3" s="32">
        <v>37799</v>
      </c>
      <c r="AGE3" s="32">
        <v>30825</v>
      </c>
      <c r="AGF3" s="32">
        <v>39836</v>
      </c>
      <c r="AGG3" s="32">
        <v>40928</v>
      </c>
      <c r="AGH3" s="32">
        <v>34635</v>
      </c>
      <c r="AGI3" s="32">
        <v>33886</v>
      </c>
      <c r="AGJ3" s="32">
        <v>42281</v>
      </c>
      <c r="AGK3" s="32">
        <v>26250</v>
      </c>
      <c r="AGL3" s="32">
        <v>32122</v>
      </c>
      <c r="AGM3" s="32">
        <v>35774</v>
      </c>
      <c r="AGN3" s="32">
        <v>37071</v>
      </c>
      <c r="AGO3" s="32">
        <v>37615</v>
      </c>
      <c r="AGP3" s="32">
        <v>38156</v>
      </c>
      <c r="AGQ3" s="32">
        <v>41190</v>
      </c>
      <c r="AGR3" s="32">
        <v>41078</v>
      </c>
      <c r="AGS3" s="32">
        <v>42504</v>
      </c>
      <c r="AGT3" s="32">
        <v>41960</v>
      </c>
      <c r="AGU3" s="32">
        <v>41413</v>
      </c>
      <c r="AGV3" s="32">
        <v>38072</v>
      </c>
      <c r="AGW3" s="32">
        <v>35860</v>
      </c>
      <c r="AGX3" s="32">
        <v>33137</v>
      </c>
      <c r="AGY3" s="32">
        <v>39640</v>
      </c>
      <c r="AGZ3" s="32">
        <v>34593</v>
      </c>
      <c r="AHA3" s="32">
        <v>42392</v>
      </c>
      <c r="AHB3" s="32">
        <v>33795</v>
      </c>
      <c r="AHC3" s="32">
        <v>33459</v>
      </c>
      <c r="AHD3" s="32">
        <v>33130</v>
      </c>
      <c r="AHE3" s="32">
        <v>32759</v>
      </c>
      <c r="AHF3" s="32">
        <v>32605</v>
      </c>
      <c r="AHG3" s="32">
        <v>32199</v>
      </c>
      <c r="AHH3" s="32">
        <v>39829</v>
      </c>
      <c r="AHI3" s="32">
        <v>21179</v>
      </c>
      <c r="AHJ3" s="32">
        <v>17538</v>
      </c>
      <c r="AHK3" s="32">
        <v>22012</v>
      </c>
      <c r="AHL3" s="32">
        <v>33819</v>
      </c>
      <c r="AHM3" s="32">
        <v>25053</v>
      </c>
      <c r="AHN3" s="32">
        <v>25113</v>
      </c>
      <c r="AHO3" s="32">
        <v>25742</v>
      </c>
      <c r="AHP3" s="32">
        <v>27941</v>
      </c>
      <c r="AHQ3" s="32">
        <v>31751</v>
      </c>
      <c r="AHR3" s="32">
        <v>32337</v>
      </c>
      <c r="AHS3" s="32">
        <v>36739</v>
      </c>
      <c r="AHT3" s="32">
        <v>39794</v>
      </c>
      <c r="AHU3" s="32">
        <v>40158</v>
      </c>
      <c r="AHV3" s="32">
        <v>41954</v>
      </c>
      <c r="AHW3" s="32">
        <v>42615</v>
      </c>
      <c r="AHX3" s="32">
        <v>40850</v>
      </c>
      <c r="AHY3" s="32">
        <v>39745</v>
      </c>
      <c r="AHZ3" s="32">
        <v>38329</v>
      </c>
      <c r="AIA3" s="32">
        <v>35860</v>
      </c>
      <c r="AIB3" s="32">
        <v>34677</v>
      </c>
      <c r="AIC3" s="32">
        <v>34250</v>
      </c>
      <c r="AID3" s="32">
        <v>33914</v>
      </c>
      <c r="AIE3" s="32">
        <v>32045</v>
      </c>
      <c r="AIF3" s="32">
        <v>29357</v>
      </c>
      <c r="AIG3" s="32">
        <v>25372</v>
      </c>
      <c r="AIH3" s="32">
        <v>36098</v>
      </c>
      <c r="AII3" s="32">
        <v>28669</v>
      </c>
      <c r="AIJ3" s="32">
        <v>26646</v>
      </c>
      <c r="AIK3" s="32">
        <v>26296</v>
      </c>
      <c r="AIL3" s="32">
        <v>22634</v>
      </c>
      <c r="AIM3" s="32">
        <v>23182</v>
      </c>
      <c r="AIN3" s="32">
        <v>42558</v>
      </c>
      <c r="AIO3" s="32">
        <v>41387</v>
      </c>
      <c r="AIP3" s="32">
        <v>39910</v>
      </c>
      <c r="AIQ3" s="32">
        <v>31975</v>
      </c>
      <c r="AIR3" s="32">
        <v>41682</v>
      </c>
      <c r="AIS3" s="32">
        <v>34626</v>
      </c>
      <c r="AIT3" s="32">
        <v>34992</v>
      </c>
      <c r="AIU3" s="32">
        <v>35524</v>
      </c>
      <c r="AIV3" s="32">
        <v>36301</v>
      </c>
      <c r="AIW3" s="32">
        <v>40683</v>
      </c>
      <c r="AIX3" s="32">
        <v>27798</v>
      </c>
      <c r="AIY3" s="32">
        <v>26939</v>
      </c>
      <c r="AIZ3" s="32">
        <v>28297</v>
      </c>
      <c r="AJA3" s="32">
        <v>30303</v>
      </c>
      <c r="AJB3" s="32">
        <v>31702</v>
      </c>
      <c r="AJC3" s="32">
        <v>32367</v>
      </c>
      <c r="AJD3" s="32">
        <v>34229</v>
      </c>
      <c r="AJE3" s="32">
        <v>42703</v>
      </c>
      <c r="AJF3" s="32">
        <v>41625</v>
      </c>
      <c r="AJG3" s="32">
        <v>40228</v>
      </c>
      <c r="AJH3" s="32">
        <v>37162</v>
      </c>
      <c r="AJI3" s="32">
        <v>32283</v>
      </c>
      <c r="AJJ3" s="32">
        <v>40865</v>
      </c>
      <c r="AJK3" s="32">
        <v>42404</v>
      </c>
      <c r="AJL3" s="32">
        <v>31030</v>
      </c>
      <c r="AJM3" s="32">
        <v>42505</v>
      </c>
      <c r="AJN3" s="32">
        <v>38486</v>
      </c>
      <c r="AJO3" s="32">
        <v>42541</v>
      </c>
      <c r="AJP3" s="32">
        <v>42560</v>
      </c>
      <c r="AJQ3" s="32">
        <v>42562</v>
      </c>
      <c r="AJR3" s="32">
        <v>42443</v>
      </c>
      <c r="AJS3" s="32">
        <v>35789</v>
      </c>
      <c r="AJT3" s="32">
        <v>39953</v>
      </c>
      <c r="AJU3" s="32">
        <v>41254</v>
      </c>
      <c r="AJV3" s="32">
        <v>42345</v>
      </c>
      <c r="AJW3" s="32">
        <v>32556</v>
      </c>
      <c r="AJX3" s="32">
        <v>33438</v>
      </c>
      <c r="AJY3" s="32">
        <v>22212</v>
      </c>
      <c r="AJZ3" s="32">
        <v>42621</v>
      </c>
      <c r="AKA3" s="32">
        <v>35832</v>
      </c>
      <c r="AKB3" s="32">
        <v>37169</v>
      </c>
      <c r="AKC3" s="32">
        <v>37687</v>
      </c>
      <c r="AKD3" s="32">
        <v>38175</v>
      </c>
      <c r="AKE3" s="32">
        <v>39164</v>
      </c>
      <c r="AKF3" s="32">
        <v>41353</v>
      </c>
      <c r="AKG3" s="32">
        <v>41889</v>
      </c>
      <c r="AKH3" s="32">
        <v>42170</v>
      </c>
      <c r="AKI3" s="32">
        <v>42638</v>
      </c>
      <c r="AKJ3" s="32">
        <v>35412</v>
      </c>
      <c r="AKK3" s="32">
        <v>37099</v>
      </c>
      <c r="AKL3" s="32">
        <v>37965</v>
      </c>
      <c r="AKM3" s="32">
        <v>41040</v>
      </c>
      <c r="AKN3" s="32">
        <v>39867</v>
      </c>
      <c r="AKO3" s="32">
        <v>41435</v>
      </c>
      <c r="AKP3" s="32">
        <v>40627</v>
      </c>
      <c r="AKQ3" s="32">
        <v>38065</v>
      </c>
      <c r="AKR3" s="32">
        <v>42659</v>
      </c>
      <c r="AKS3" s="32">
        <v>41264</v>
      </c>
      <c r="AKT3" s="32">
        <v>36777</v>
      </c>
      <c r="AKU3" s="32">
        <v>42688</v>
      </c>
      <c r="AKV3" s="32">
        <v>37951</v>
      </c>
      <c r="AKW3" s="32">
        <v>42689</v>
      </c>
      <c r="AKX3" s="32">
        <v>42714</v>
      </c>
      <c r="AKY3" s="32">
        <v>42725</v>
      </c>
      <c r="AKZ3" s="32">
        <v>41880</v>
      </c>
      <c r="ALA3" s="32">
        <v>41767</v>
      </c>
      <c r="ALB3" s="32">
        <v>32052</v>
      </c>
      <c r="ALC3" s="32">
        <v>33431</v>
      </c>
      <c r="ALD3" s="32">
        <v>42342</v>
      </c>
      <c r="ALE3" s="32">
        <v>38954</v>
      </c>
      <c r="ALF3" s="32">
        <v>34985</v>
      </c>
      <c r="ALG3" s="32">
        <v>37456</v>
      </c>
      <c r="ALH3" s="32">
        <v>39695</v>
      </c>
      <c r="ALI3" s="32">
        <v>41262</v>
      </c>
      <c r="ALJ3" s="32">
        <v>42218</v>
      </c>
      <c r="ALK3" s="32">
        <v>41059</v>
      </c>
      <c r="ALL3" s="32">
        <v>31394</v>
      </c>
      <c r="ALM3" s="32">
        <v>32773</v>
      </c>
      <c r="ALN3" s="32">
        <v>33382</v>
      </c>
      <c r="ALO3" s="32">
        <v>33886</v>
      </c>
      <c r="ALP3" s="32">
        <v>35664</v>
      </c>
      <c r="ALQ3" s="32">
        <v>37876</v>
      </c>
      <c r="ALR3" s="32">
        <v>39731</v>
      </c>
      <c r="ALS3" s="32">
        <v>40310</v>
      </c>
      <c r="ALT3" s="32">
        <v>41985</v>
      </c>
      <c r="ALU3" s="32">
        <v>39769</v>
      </c>
      <c r="ALV3" s="32">
        <v>41341</v>
      </c>
      <c r="ALW3" s="32">
        <v>40889</v>
      </c>
      <c r="ALX3" s="32">
        <v>41925</v>
      </c>
      <c r="ALY3" s="32">
        <v>42354</v>
      </c>
      <c r="ALZ3" s="32">
        <v>41878</v>
      </c>
      <c r="AMA3" s="32">
        <v>37981</v>
      </c>
      <c r="AMB3" s="32">
        <v>41089</v>
      </c>
      <c r="AMC3" s="32">
        <v>42179</v>
      </c>
      <c r="AMD3" s="32">
        <v>41789</v>
      </c>
      <c r="AME3" s="32">
        <v>41291</v>
      </c>
      <c r="AMF3" s="32">
        <v>39352</v>
      </c>
      <c r="AMG3" s="32">
        <v>37395</v>
      </c>
      <c r="AMH3" s="32">
        <v>41153</v>
      </c>
      <c r="AMI3" s="32">
        <v>41916</v>
      </c>
      <c r="AMJ3" s="32">
        <v>35713</v>
      </c>
      <c r="AMK3" s="32">
        <v>33039</v>
      </c>
      <c r="AML3" s="32">
        <v>38093</v>
      </c>
      <c r="AMM3" s="32">
        <v>41158</v>
      </c>
      <c r="AMN3" s="32">
        <v>41516</v>
      </c>
      <c r="AMO3" s="32">
        <v>41516</v>
      </c>
      <c r="AMP3" s="32">
        <v>40753</v>
      </c>
      <c r="AMQ3" s="32">
        <v>40345</v>
      </c>
      <c r="AMR3" s="32">
        <v>42031</v>
      </c>
      <c r="AMS3" s="32">
        <v>42143</v>
      </c>
      <c r="AMT3" s="32">
        <v>41787</v>
      </c>
      <c r="AMU3" s="32">
        <v>40588</v>
      </c>
      <c r="AMV3" s="32">
        <v>40205</v>
      </c>
      <c r="AMW3" s="32">
        <v>39437</v>
      </c>
      <c r="AMX3" s="32">
        <v>41870</v>
      </c>
      <c r="AMY3" s="32">
        <v>42184</v>
      </c>
      <c r="AMZ3" s="32">
        <v>39316</v>
      </c>
      <c r="ANA3" s="32">
        <v>41471</v>
      </c>
      <c r="ANB3" s="32">
        <v>37589</v>
      </c>
      <c r="ANC3" s="32">
        <v>41084</v>
      </c>
      <c r="AND3" s="32">
        <v>34285</v>
      </c>
      <c r="ANE3" s="32">
        <v>35062</v>
      </c>
      <c r="ANF3" s="32">
        <v>33879</v>
      </c>
      <c r="ANG3" s="32">
        <v>32367</v>
      </c>
      <c r="ANH3" s="32">
        <v>33086</v>
      </c>
      <c r="ANI3" s="32">
        <v>31989</v>
      </c>
      <c r="ANJ3" s="32">
        <v>33095</v>
      </c>
      <c r="ANK3" s="32">
        <v>40984</v>
      </c>
      <c r="ANL3" s="32">
        <v>40074</v>
      </c>
      <c r="ANM3" s="32">
        <v>20802</v>
      </c>
      <c r="ANN3" s="32">
        <v>39297</v>
      </c>
      <c r="ANO3" s="32">
        <v>41544</v>
      </c>
      <c r="ANP3" s="32">
        <v>41677</v>
      </c>
      <c r="ANQ3" s="32">
        <v>34796</v>
      </c>
      <c r="ANR3" s="32">
        <v>41803</v>
      </c>
      <c r="ANS3" s="32">
        <v>42573</v>
      </c>
      <c r="ANT3" s="32">
        <v>28432</v>
      </c>
      <c r="ANU3" s="32">
        <v>42594</v>
      </c>
      <c r="ANV3" s="32">
        <v>24343</v>
      </c>
      <c r="ANW3" s="32">
        <v>19514</v>
      </c>
      <c r="ANX3" s="32">
        <v>31373</v>
      </c>
      <c r="ANY3" s="32">
        <v>20783</v>
      </c>
      <c r="ANZ3" s="32">
        <v>20389</v>
      </c>
      <c r="AOA3" s="32">
        <v>17482</v>
      </c>
      <c r="AOB3" s="32">
        <v>19031</v>
      </c>
      <c r="AOC3" s="32">
        <v>19933</v>
      </c>
      <c r="AOD3" s="32">
        <v>21627</v>
      </c>
      <c r="AOE3" s="32">
        <v>23841</v>
      </c>
      <c r="AOF3" s="32">
        <v>18854</v>
      </c>
      <c r="AOG3" s="32">
        <v>15573</v>
      </c>
      <c r="AOH3" s="32">
        <v>18253</v>
      </c>
      <c r="AOI3" s="32">
        <v>31401</v>
      </c>
      <c r="AOJ3" s="32">
        <v>34159</v>
      </c>
    </row>
    <row r="4" spans="1:1076" x14ac:dyDescent="0.3">
      <c r="A4" s="47" t="s">
        <v>3</v>
      </c>
      <c r="B4" s="44">
        <v>108</v>
      </c>
      <c r="C4" s="31">
        <v>112</v>
      </c>
      <c r="D4" s="31">
        <v>98</v>
      </c>
      <c r="E4" s="31">
        <v>93</v>
      </c>
      <c r="F4" s="31">
        <v>96</v>
      </c>
      <c r="G4" s="31">
        <v>107</v>
      </c>
      <c r="H4" s="31">
        <v>120</v>
      </c>
      <c r="I4" s="31">
        <v>130</v>
      </c>
      <c r="J4" s="31">
        <v>95</v>
      </c>
      <c r="K4" s="31">
        <v>98</v>
      </c>
      <c r="L4" s="31">
        <v>99</v>
      </c>
      <c r="M4" s="31">
        <v>120</v>
      </c>
      <c r="N4" s="31">
        <v>119</v>
      </c>
      <c r="O4" s="31">
        <v>94</v>
      </c>
      <c r="P4" s="31">
        <v>122</v>
      </c>
      <c r="Q4" s="31">
        <v>125</v>
      </c>
      <c r="R4" s="31">
        <v>146</v>
      </c>
      <c r="S4" s="31">
        <v>142</v>
      </c>
      <c r="T4" s="31">
        <v>90</v>
      </c>
      <c r="U4" s="31">
        <v>127</v>
      </c>
      <c r="V4" s="31">
        <v>110</v>
      </c>
      <c r="W4" s="31">
        <v>123</v>
      </c>
      <c r="X4" s="31">
        <v>98</v>
      </c>
      <c r="Y4" s="31">
        <v>102</v>
      </c>
      <c r="Z4" s="31">
        <v>92</v>
      </c>
      <c r="AA4" s="31">
        <v>88</v>
      </c>
      <c r="AB4" s="31">
        <v>86</v>
      </c>
      <c r="AC4" s="31">
        <v>106</v>
      </c>
      <c r="AD4" s="31">
        <v>90</v>
      </c>
      <c r="AE4" s="31">
        <v>92</v>
      </c>
      <c r="AF4" s="31">
        <v>155</v>
      </c>
      <c r="AG4" s="31">
        <v>104</v>
      </c>
      <c r="AH4" s="31">
        <v>117</v>
      </c>
      <c r="AI4" s="31">
        <v>155</v>
      </c>
      <c r="AJ4" s="31">
        <v>149</v>
      </c>
      <c r="AK4" s="31">
        <v>137</v>
      </c>
      <c r="AL4" s="31">
        <v>110</v>
      </c>
      <c r="AM4" s="31">
        <v>93</v>
      </c>
      <c r="AN4" s="31">
        <v>106</v>
      </c>
      <c r="AO4" s="31">
        <v>110</v>
      </c>
      <c r="AP4" s="31">
        <v>108</v>
      </c>
      <c r="AQ4" s="31">
        <v>100</v>
      </c>
      <c r="AR4" s="31">
        <v>85</v>
      </c>
      <c r="AS4" s="31">
        <v>102</v>
      </c>
      <c r="AT4" s="31">
        <v>95</v>
      </c>
      <c r="AU4" s="31">
        <v>104</v>
      </c>
      <c r="AV4" s="31">
        <v>127</v>
      </c>
      <c r="AW4" s="31">
        <v>116</v>
      </c>
      <c r="AX4" s="31">
        <v>153</v>
      </c>
      <c r="AY4" s="31">
        <v>128</v>
      </c>
      <c r="AZ4" s="31">
        <v>108</v>
      </c>
      <c r="BA4" s="31">
        <v>109</v>
      </c>
      <c r="BB4" s="31">
        <v>105</v>
      </c>
      <c r="BC4" s="31">
        <v>90</v>
      </c>
      <c r="BD4" s="31">
        <v>98</v>
      </c>
      <c r="BE4" s="31">
        <v>101</v>
      </c>
      <c r="BF4" s="31">
        <v>150</v>
      </c>
      <c r="BG4" s="31">
        <v>177</v>
      </c>
      <c r="BH4" s="31">
        <v>99</v>
      </c>
      <c r="BI4" s="31">
        <v>132</v>
      </c>
      <c r="BJ4" s="31">
        <v>165</v>
      </c>
      <c r="BK4" s="31">
        <v>207</v>
      </c>
      <c r="BL4" s="31">
        <v>180</v>
      </c>
      <c r="BM4" s="31">
        <v>162</v>
      </c>
      <c r="BN4" s="31">
        <v>144</v>
      </c>
      <c r="BO4" s="31">
        <v>88</v>
      </c>
      <c r="BP4" s="31">
        <v>128</v>
      </c>
      <c r="BQ4" s="31">
        <v>125</v>
      </c>
      <c r="BR4" s="31">
        <v>113</v>
      </c>
      <c r="BS4" s="31">
        <v>137</v>
      </c>
      <c r="BT4" s="31">
        <v>129</v>
      </c>
      <c r="BU4" s="31">
        <v>96</v>
      </c>
      <c r="BV4" s="31">
        <v>97</v>
      </c>
      <c r="BW4" s="31">
        <v>89</v>
      </c>
      <c r="BX4" s="31">
        <v>187</v>
      </c>
      <c r="BY4" s="31">
        <v>178</v>
      </c>
      <c r="BZ4" s="31">
        <v>201</v>
      </c>
      <c r="CA4" s="31">
        <v>179</v>
      </c>
      <c r="CB4" s="31">
        <v>102</v>
      </c>
      <c r="CC4" s="31">
        <v>174</v>
      </c>
      <c r="CD4" s="31">
        <v>161</v>
      </c>
      <c r="CE4" s="31">
        <v>169</v>
      </c>
      <c r="CF4" s="31">
        <v>122</v>
      </c>
      <c r="CG4" s="31">
        <v>114</v>
      </c>
      <c r="CH4" s="31">
        <v>131</v>
      </c>
      <c r="CI4" s="31">
        <v>96</v>
      </c>
      <c r="CJ4" s="31">
        <v>112</v>
      </c>
      <c r="CK4" s="31">
        <v>153</v>
      </c>
      <c r="CL4" s="31">
        <v>147</v>
      </c>
      <c r="CM4" s="31">
        <v>96</v>
      </c>
      <c r="CN4" s="31">
        <v>108</v>
      </c>
      <c r="CO4" s="31">
        <v>98</v>
      </c>
      <c r="CP4" s="31">
        <v>110</v>
      </c>
      <c r="CQ4" s="31">
        <v>103</v>
      </c>
      <c r="CR4" s="31">
        <v>138</v>
      </c>
      <c r="CS4" s="31">
        <v>156</v>
      </c>
      <c r="CT4" s="31">
        <v>133</v>
      </c>
      <c r="CU4" s="31">
        <v>128</v>
      </c>
      <c r="CV4" s="31">
        <v>141</v>
      </c>
      <c r="CW4" s="31">
        <v>152</v>
      </c>
      <c r="CX4" s="31">
        <v>119</v>
      </c>
      <c r="CY4" s="31">
        <v>144</v>
      </c>
      <c r="CZ4" s="31">
        <v>155</v>
      </c>
      <c r="DA4" s="31">
        <v>130</v>
      </c>
      <c r="DB4" s="31">
        <v>133</v>
      </c>
      <c r="DC4" s="31">
        <v>131</v>
      </c>
      <c r="DD4" s="31">
        <v>126</v>
      </c>
      <c r="DE4" s="31">
        <v>127</v>
      </c>
      <c r="DF4" s="31">
        <v>188</v>
      </c>
      <c r="DG4" s="31">
        <v>84</v>
      </c>
      <c r="DH4" s="31">
        <v>121</v>
      </c>
      <c r="DI4" s="31">
        <v>136</v>
      </c>
      <c r="DJ4" s="31">
        <v>113</v>
      </c>
      <c r="DK4" s="31">
        <v>115</v>
      </c>
      <c r="DL4" s="31">
        <v>93</v>
      </c>
      <c r="DM4" s="31">
        <v>125</v>
      </c>
      <c r="DN4" s="31">
        <v>131</v>
      </c>
      <c r="DO4" s="31">
        <v>130</v>
      </c>
      <c r="DP4" s="31">
        <v>140</v>
      </c>
      <c r="DQ4" s="31">
        <v>120</v>
      </c>
      <c r="DR4" s="31">
        <v>121</v>
      </c>
      <c r="DS4" s="31">
        <v>125</v>
      </c>
      <c r="DT4" s="31">
        <v>99</v>
      </c>
      <c r="DU4" s="31">
        <v>117</v>
      </c>
      <c r="DV4" s="31">
        <v>115</v>
      </c>
      <c r="DW4" s="31">
        <v>109</v>
      </c>
      <c r="DX4" s="31">
        <v>107</v>
      </c>
      <c r="DY4" s="31">
        <v>85</v>
      </c>
      <c r="DZ4" s="31">
        <v>143</v>
      </c>
      <c r="EA4" s="31">
        <v>130</v>
      </c>
      <c r="EB4" s="31">
        <v>108</v>
      </c>
      <c r="EC4" s="31">
        <v>146</v>
      </c>
      <c r="ED4" s="31">
        <v>153</v>
      </c>
      <c r="EE4" s="31">
        <v>128</v>
      </c>
      <c r="EF4" s="31">
        <v>109</v>
      </c>
      <c r="EG4" s="31">
        <v>106</v>
      </c>
      <c r="EH4" s="31">
        <v>150</v>
      </c>
      <c r="EI4" s="31">
        <v>145</v>
      </c>
      <c r="EJ4" s="31">
        <v>124</v>
      </c>
      <c r="EK4" s="31">
        <v>123</v>
      </c>
      <c r="EL4" s="31">
        <v>91</v>
      </c>
      <c r="EM4" s="31">
        <v>127</v>
      </c>
      <c r="EN4" s="31">
        <v>124</v>
      </c>
      <c r="EO4" s="31">
        <v>113</v>
      </c>
      <c r="EP4" s="31">
        <v>98</v>
      </c>
      <c r="EQ4" s="31">
        <v>176</v>
      </c>
      <c r="ER4" s="31">
        <v>100</v>
      </c>
      <c r="ES4" s="31">
        <v>114</v>
      </c>
      <c r="ET4" s="31">
        <v>136</v>
      </c>
      <c r="EU4" s="31">
        <v>117</v>
      </c>
      <c r="EV4" s="31">
        <v>142</v>
      </c>
      <c r="EW4" s="31">
        <v>138</v>
      </c>
      <c r="EX4" s="31">
        <v>153</v>
      </c>
      <c r="EY4" s="31">
        <v>193</v>
      </c>
      <c r="EZ4" s="31">
        <v>87</v>
      </c>
      <c r="FA4" s="31">
        <v>222</v>
      </c>
      <c r="FB4" s="31">
        <v>158</v>
      </c>
      <c r="FC4" s="31">
        <v>161</v>
      </c>
      <c r="FD4" s="31">
        <v>106</v>
      </c>
      <c r="FE4" s="31">
        <v>119</v>
      </c>
      <c r="FF4" s="31">
        <v>114</v>
      </c>
      <c r="FG4" s="31">
        <v>148</v>
      </c>
      <c r="FH4" s="31">
        <v>152</v>
      </c>
      <c r="FI4" s="31">
        <v>86</v>
      </c>
      <c r="FJ4" s="31">
        <v>139</v>
      </c>
      <c r="FK4" s="31">
        <v>86</v>
      </c>
      <c r="FL4" s="31">
        <v>94</v>
      </c>
      <c r="FM4" s="31">
        <v>113</v>
      </c>
      <c r="FN4" s="31">
        <v>155</v>
      </c>
      <c r="FO4" s="31">
        <v>92</v>
      </c>
      <c r="FP4" s="31">
        <v>93</v>
      </c>
      <c r="FQ4" s="31">
        <v>118</v>
      </c>
      <c r="FR4" s="31">
        <v>102</v>
      </c>
      <c r="FS4" s="31">
        <v>90</v>
      </c>
      <c r="FT4" s="31">
        <v>92</v>
      </c>
      <c r="FU4" s="31">
        <v>93</v>
      </c>
      <c r="FV4" s="31">
        <v>95</v>
      </c>
      <c r="FW4" s="31">
        <v>91</v>
      </c>
      <c r="FX4" s="31">
        <v>119</v>
      </c>
      <c r="FY4" s="31">
        <v>120</v>
      </c>
      <c r="FZ4" s="31">
        <v>124</v>
      </c>
      <c r="GA4" s="31">
        <v>122</v>
      </c>
      <c r="GB4" s="31">
        <v>121</v>
      </c>
      <c r="GC4" s="31">
        <v>92</v>
      </c>
      <c r="GD4" s="31">
        <v>103</v>
      </c>
      <c r="GE4" s="31">
        <v>100</v>
      </c>
      <c r="GF4" s="31">
        <v>93</v>
      </c>
      <c r="GG4" s="31">
        <v>101</v>
      </c>
      <c r="GH4" s="31">
        <v>129</v>
      </c>
      <c r="GI4" s="31">
        <v>117</v>
      </c>
      <c r="GJ4" s="31">
        <v>127</v>
      </c>
      <c r="GK4" s="31">
        <v>105</v>
      </c>
      <c r="GL4" s="31">
        <v>121</v>
      </c>
      <c r="GM4" s="31">
        <v>106</v>
      </c>
      <c r="GN4" s="31">
        <v>109</v>
      </c>
      <c r="GO4" s="31">
        <v>116</v>
      </c>
      <c r="GP4" s="31">
        <v>159</v>
      </c>
      <c r="GQ4" s="31">
        <v>146</v>
      </c>
      <c r="GR4" s="31">
        <v>94</v>
      </c>
      <c r="GS4" s="31">
        <v>131</v>
      </c>
      <c r="GT4" s="31">
        <v>114</v>
      </c>
      <c r="GU4" s="31">
        <v>155</v>
      </c>
      <c r="GV4" s="31">
        <v>133</v>
      </c>
      <c r="GW4" s="31">
        <v>139</v>
      </c>
      <c r="GX4" s="31">
        <v>92</v>
      </c>
      <c r="GY4" s="31">
        <v>126</v>
      </c>
      <c r="GZ4" s="31">
        <v>101</v>
      </c>
      <c r="HA4" s="31">
        <v>112</v>
      </c>
      <c r="HB4" s="31">
        <v>133</v>
      </c>
      <c r="HC4" s="31">
        <v>108</v>
      </c>
      <c r="HD4" s="31">
        <v>130</v>
      </c>
      <c r="HE4" s="31">
        <v>121</v>
      </c>
      <c r="HF4" s="31">
        <v>162</v>
      </c>
      <c r="HG4" s="31">
        <v>106</v>
      </c>
      <c r="HH4" s="31">
        <v>102</v>
      </c>
      <c r="HI4" s="31">
        <v>114</v>
      </c>
      <c r="HJ4" s="31">
        <v>129</v>
      </c>
      <c r="HK4" s="31">
        <v>118</v>
      </c>
      <c r="HL4" s="31">
        <v>123</v>
      </c>
      <c r="HM4" s="31">
        <v>94</v>
      </c>
      <c r="HN4" s="31">
        <v>119</v>
      </c>
      <c r="HO4" s="31">
        <v>115</v>
      </c>
      <c r="HP4" s="31">
        <v>146</v>
      </c>
      <c r="HQ4" s="31">
        <v>158</v>
      </c>
      <c r="HR4" s="31">
        <v>119</v>
      </c>
      <c r="HS4" s="31">
        <v>101</v>
      </c>
      <c r="HT4" s="31">
        <v>122</v>
      </c>
      <c r="HU4" s="31">
        <v>114</v>
      </c>
      <c r="HV4" s="31">
        <v>123</v>
      </c>
      <c r="HW4" s="31">
        <v>97</v>
      </c>
      <c r="HX4" s="31">
        <v>101</v>
      </c>
      <c r="HY4" s="31">
        <v>100</v>
      </c>
      <c r="HZ4" s="31">
        <v>125</v>
      </c>
      <c r="IA4" s="31">
        <v>126</v>
      </c>
      <c r="IB4" s="31">
        <v>121</v>
      </c>
      <c r="IC4" s="31">
        <v>154</v>
      </c>
      <c r="ID4" s="31">
        <v>194</v>
      </c>
      <c r="IE4" s="31">
        <v>96</v>
      </c>
      <c r="IF4" s="31">
        <v>135</v>
      </c>
      <c r="IG4" s="31">
        <v>183</v>
      </c>
      <c r="IH4" s="31">
        <v>144</v>
      </c>
      <c r="II4" s="31">
        <v>115</v>
      </c>
      <c r="IJ4" s="31">
        <v>91</v>
      </c>
      <c r="IK4" s="31">
        <v>168</v>
      </c>
      <c r="IL4" s="31">
        <v>100</v>
      </c>
      <c r="IM4" s="31">
        <v>111</v>
      </c>
      <c r="IN4" s="31">
        <v>162</v>
      </c>
      <c r="IO4" s="31">
        <v>141</v>
      </c>
      <c r="IP4" s="31">
        <v>115</v>
      </c>
      <c r="IQ4" s="31">
        <v>151</v>
      </c>
      <c r="IR4" s="31">
        <v>127</v>
      </c>
      <c r="IS4" s="31">
        <v>151</v>
      </c>
      <c r="IT4" s="31">
        <v>89</v>
      </c>
      <c r="IU4" s="31">
        <v>139</v>
      </c>
      <c r="IV4" s="31">
        <v>127</v>
      </c>
      <c r="IW4" s="31">
        <v>121</v>
      </c>
      <c r="IX4" s="31">
        <v>106</v>
      </c>
      <c r="IY4" s="31">
        <v>134</v>
      </c>
      <c r="IZ4" s="31">
        <v>138</v>
      </c>
      <c r="JA4" s="31">
        <v>116</v>
      </c>
      <c r="JB4" s="31">
        <v>115</v>
      </c>
      <c r="JC4" s="31">
        <v>138</v>
      </c>
      <c r="JD4" s="31">
        <v>146</v>
      </c>
      <c r="JE4" s="31">
        <v>124</v>
      </c>
      <c r="JF4" s="31">
        <v>135</v>
      </c>
      <c r="JG4" s="31">
        <v>154</v>
      </c>
      <c r="JH4" s="31">
        <v>130</v>
      </c>
      <c r="JI4" s="31">
        <v>125</v>
      </c>
      <c r="JJ4" s="31">
        <v>123</v>
      </c>
      <c r="JK4" s="31">
        <v>134</v>
      </c>
      <c r="JL4" s="31">
        <v>142</v>
      </c>
      <c r="JM4" s="31">
        <v>92</v>
      </c>
      <c r="JN4" s="31">
        <v>133</v>
      </c>
      <c r="JO4" s="31">
        <v>140</v>
      </c>
      <c r="JP4" s="31">
        <v>129</v>
      </c>
      <c r="JQ4" s="31">
        <v>117</v>
      </c>
      <c r="JR4" s="31">
        <v>130</v>
      </c>
      <c r="JS4" s="31">
        <v>120</v>
      </c>
      <c r="JT4" s="31">
        <v>144</v>
      </c>
      <c r="JU4" s="31">
        <v>120</v>
      </c>
      <c r="JV4" s="31">
        <v>170</v>
      </c>
      <c r="JW4" s="31">
        <v>157</v>
      </c>
      <c r="JX4" s="31">
        <v>115</v>
      </c>
      <c r="JY4" s="31">
        <v>145</v>
      </c>
      <c r="JZ4" s="31">
        <v>136</v>
      </c>
      <c r="KA4" s="31">
        <v>104</v>
      </c>
      <c r="KB4" s="31">
        <v>158</v>
      </c>
      <c r="KC4" s="31">
        <v>143</v>
      </c>
      <c r="KD4" s="31">
        <v>155</v>
      </c>
      <c r="KE4" s="31">
        <v>141</v>
      </c>
      <c r="KF4" s="31">
        <v>160</v>
      </c>
      <c r="KG4" s="31">
        <v>144</v>
      </c>
      <c r="KH4" s="31">
        <v>91</v>
      </c>
      <c r="KI4" s="31">
        <v>90</v>
      </c>
      <c r="KJ4" s="31">
        <v>98</v>
      </c>
      <c r="KK4" s="31">
        <v>151</v>
      </c>
      <c r="KL4" s="31">
        <v>131</v>
      </c>
      <c r="KM4" s="31">
        <v>144</v>
      </c>
      <c r="KN4" s="31">
        <v>108</v>
      </c>
      <c r="KO4" s="31">
        <v>130</v>
      </c>
      <c r="KP4" s="31">
        <v>143</v>
      </c>
      <c r="KQ4" s="31">
        <v>125</v>
      </c>
      <c r="KR4" s="31">
        <v>107</v>
      </c>
      <c r="KS4" s="31">
        <v>101</v>
      </c>
      <c r="KT4" s="31">
        <v>110</v>
      </c>
      <c r="KU4" s="31">
        <v>121</v>
      </c>
      <c r="KV4" s="31">
        <v>117</v>
      </c>
      <c r="KW4" s="31">
        <v>135</v>
      </c>
      <c r="KX4" s="31">
        <v>109</v>
      </c>
      <c r="KY4" s="31">
        <v>163</v>
      </c>
      <c r="KZ4" s="31">
        <v>145</v>
      </c>
      <c r="LA4" s="31">
        <v>104</v>
      </c>
      <c r="LB4" s="31">
        <v>134</v>
      </c>
      <c r="LC4" s="31">
        <v>136</v>
      </c>
      <c r="LD4" s="31">
        <v>121</v>
      </c>
      <c r="LE4" s="31">
        <v>106</v>
      </c>
      <c r="LF4" s="31">
        <v>108</v>
      </c>
      <c r="LG4" s="31">
        <v>87</v>
      </c>
      <c r="LH4" s="31">
        <v>177</v>
      </c>
      <c r="LI4" s="31">
        <v>125</v>
      </c>
      <c r="LJ4" s="31">
        <v>108</v>
      </c>
      <c r="LK4" s="31">
        <v>93</v>
      </c>
      <c r="LL4" s="31">
        <v>93</v>
      </c>
      <c r="LM4" s="31">
        <v>140</v>
      </c>
      <c r="LN4" s="31">
        <v>103</v>
      </c>
      <c r="LO4" s="31">
        <v>103</v>
      </c>
      <c r="LP4" s="31">
        <v>105</v>
      </c>
      <c r="LQ4" s="31">
        <v>124</v>
      </c>
      <c r="LR4" s="31">
        <v>124</v>
      </c>
      <c r="LS4" s="31">
        <v>120</v>
      </c>
      <c r="LT4" s="31">
        <v>140</v>
      </c>
      <c r="LU4" s="31">
        <v>170</v>
      </c>
      <c r="LV4" s="31">
        <v>139</v>
      </c>
      <c r="LW4" s="31">
        <v>136</v>
      </c>
      <c r="LX4" s="31">
        <v>113</v>
      </c>
      <c r="LY4" s="31">
        <v>113</v>
      </c>
      <c r="LZ4" s="31">
        <v>141</v>
      </c>
      <c r="MA4" s="31">
        <v>122</v>
      </c>
      <c r="MB4" s="31">
        <v>103</v>
      </c>
      <c r="MC4" s="31">
        <v>96</v>
      </c>
      <c r="MD4" s="31">
        <v>118</v>
      </c>
      <c r="ME4" s="31">
        <v>122</v>
      </c>
      <c r="MF4" s="31">
        <v>101</v>
      </c>
      <c r="MG4" s="31">
        <v>100</v>
      </c>
      <c r="MH4" s="31">
        <v>117</v>
      </c>
      <c r="MI4" s="31">
        <v>116</v>
      </c>
      <c r="MJ4" s="31">
        <v>143</v>
      </c>
      <c r="MK4" s="31">
        <v>116</v>
      </c>
      <c r="ML4" s="31">
        <v>126</v>
      </c>
      <c r="MM4" s="31">
        <v>146</v>
      </c>
      <c r="MN4" s="31">
        <v>132</v>
      </c>
      <c r="MO4" s="31">
        <v>111</v>
      </c>
      <c r="MP4" s="31">
        <v>115</v>
      </c>
      <c r="MQ4" s="31">
        <v>110</v>
      </c>
      <c r="MR4" s="31">
        <v>136</v>
      </c>
      <c r="MS4" s="31">
        <v>116</v>
      </c>
      <c r="MT4" s="31">
        <v>132</v>
      </c>
      <c r="MU4" s="31">
        <v>178</v>
      </c>
      <c r="MV4" s="31">
        <v>155</v>
      </c>
      <c r="MW4" s="31">
        <v>90</v>
      </c>
      <c r="MX4" s="31">
        <v>114</v>
      </c>
      <c r="MY4" s="31">
        <v>127</v>
      </c>
      <c r="MZ4" s="31">
        <v>111</v>
      </c>
      <c r="NA4" s="31">
        <v>120</v>
      </c>
      <c r="NB4" s="31">
        <v>117</v>
      </c>
      <c r="NC4" s="31">
        <v>130</v>
      </c>
      <c r="ND4" s="31">
        <v>130</v>
      </c>
      <c r="NE4" s="31">
        <v>112</v>
      </c>
      <c r="NF4" s="31">
        <v>138</v>
      </c>
      <c r="NG4" s="31">
        <v>119</v>
      </c>
      <c r="NH4" s="31">
        <v>118</v>
      </c>
      <c r="NI4" s="31">
        <v>108</v>
      </c>
      <c r="NJ4" s="31">
        <v>124</v>
      </c>
      <c r="NK4" s="31">
        <v>119</v>
      </c>
      <c r="NL4" s="31">
        <v>118</v>
      </c>
      <c r="NM4" s="31">
        <v>134</v>
      </c>
      <c r="NN4" s="31">
        <v>132</v>
      </c>
      <c r="NO4" s="31">
        <v>97</v>
      </c>
      <c r="NP4" s="31">
        <v>118</v>
      </c>
      <c r="NQ4" s="31">
        <v>132</v>
      </c>
      <c r="NR4" s="31">
        <v>96</v>
      </c>
      <c r="NS4" s="31">
        <v>105</v>
      </c>
      <c r="NT4" s="31">
        <v>159</v>
      </c>
      <c r="NU4" s="31">
        <v>132</v>
      </c>
      <c r="NV4" s="31">
        <v>127</v>
      </c>
      <c r="NW4" s="31">
        <v>134</v>
      </c>
      <c r="NX4" s="31">
        <v>107</v>
      </c>
      <c r="NY4" s="31">
        <v>106</v>
      </c>
      <c r="NZ4" s="31">
        <v>118</v>
      </c>
      <c r="OA4" s="31">
        <v>116</v>
      </c>
      <c r="OB4" s="31">
        <v>132</v>
      </c>
      <c r="OC4" s="31">
        <v>131</v>
      </c>
      <c r="OD4" s="31">
        <v>113</v>
      </c>
      <c r="OE4" s="31">
        <v>101</v>
      </c>
      <c r="OF4" s="31">
        <v>139</v>
      </c>
      <c r="OG4" s="31">
        <v>111</v>
      </c>
      <c r="OH4" s="31">
        <v>107</v>
      </c>
      <c r="OI4" s="31">
        <v>146</v>
      </c>
      <c r="OJ4" s="31">
        <v>126</v>
      </c>
      <c r="OK4" s="31">
        <v>119</v>
      </c>
      <c r="OL4" s="31">
        <v>197</v>
      </c>
      <c r="OM4" s="31">
        <v>95</v>
      </c>
      <c r="ON4" s="31">
        <v>170</v>
      </c>
      <c r="OO4" s="31">
        <v>122</v>
      </c>
      <c r="OP4" s="31">
        <v>134</v>
      </c>
      <c r="OQ4" s="31">
        <v>124</v>
      </c>
      <c r="OR4" s="31">
        <v>107</v>
      </c>
      <c r="OS4" s="31">
        <v>108</v>
      </c>
      <c r="OT4" s="31">
        <v>115</v>
      </c>
      <c r="OU4" s="31">
        <v>116</v>
      </c>
      <c r="OV4" s="31">
        <v>180</v>
      </c>
      <c r="OW4" s="31">
        <v>105</v>
      </c>
      <c r="OX4" s="31">
        <v>129</v>
      </c>
      <c r="OY4" s="31">
        <v>137</v>
      </c>
      <c r="OZ4" s="31">
        <v>105</v>
      </c>
      <c r="PA4" s="31">
        <v>120</v>
      </c>
      <c r="PB4" s="31">
        <v>122</v>
      </c>
      <c r="PC4" s="31">
        <v>110</v>
      </c>
      <c r="PD4" s="31">
        <v>114</v>
      </c>
      <c r="PE4" s="31">
        <v>134</v>
      </c>
      <c r="PF4" s="31">
        <v>138</v>
      </c>
      <c r="PG4" s="31">
        <v>138</v>
      </c>
      <c r="PH4" s="31">
        <v>105</v>
      </c>
      <c r="PI4" s="31">
        <v>141</v>
      </c>
      <c r="PJ4" s="31">
        <v>113</v>
      </c>
      <c r="PK4" s="31">
        <v>121</v>
      </c>
      <c r="PL4" s="31">
        <v>115</v>
      </c>
      <c r="PM4" s="31">
        <v>117</v>
      </c>
      <c r="PN4" s="31">
        <v>117</v>
      </c>
      <c r="PO4" s="31">
        <v>154</v>
      </c>
      <c r="PP4" s="31">
        <v>98</v>
      </c>
      <c r="PQ4" s="31">
        <v>93</v>
      </c>
      <c r="PR4" s="31">
        <v>116</v>
      </c>
      <c r="PS4" s="31">
        <v>108</v>
      </c>
      <c r="PT4" s="31">
        <v>183</v>
      </c>
      <c r="PU4" s="31">
        <v>106</v>
      </c>
      <c r="PV4" s="31">
        <v>113</v>
      </c>
      <c r="PW4" s="31">
        <v>110</v>
      </c>
      <c r="PX4" s="31">
        <v>99</v>
      </c>
      <c r="PY4" s="31">
        <v>100</v>
      </c>
      <c r="PZ4" s="31">
        <v>98</v>
      </c>
      <c r="QA4" s="31">
        <v>122</v>
      </c>
      <c r="QB4" s="31">
        <v>165</v>
      </c>
      <c r="QC4" s="31">
        <v>122</v>
      </c>
      <c r="QD4" s="31">
        <v>98</v>
      </c>
      <c r="QE4" s="31">
        <v>131</v>
      </c>
      <c r="QF4" s="31">
        <v>136</v>
      </c>
      <c r="QG4" s="31">
        <v>123</v>
      </c>
      <c r="QH4" s="31">
        <v>141</v>
      </c>
      <c r="QI4" s="31">
        <v>130</v>
      </c>
      <c r="QJ4" s="31">
        <v>169</v>
      </c>
      <c r="QK4" s="31">
        <v>102</v>
      </c>
      <c r="QL4" s="31">
        <v>130</v>
      </c>
      <c r="QM4" s="31">
        <v>98</v>
      </c>
      <c r="QN4" s="31">
        <v>146</v>
      </c>
      <c r="QO4" s="31">
        <v>130</v>
      </c>
      <c r="QP4" s="31">
        <v>104</v>
      </c>
      <c r="QQ4" s="31">
        <v>91</v>
      </c>
      <c r="QR4" s="31">
        <v>143</v>
      </c>
      <c r="QS4" s="31">
        <v>112</v>
      </c>
      <c r="QT4" s="31">
        <v>143</v>
      </c>
      <c r="QU4" s="31">
        <v>165</v>
      </c>
      <c r="QV4" s="31">
        <v>88</v>
      </c>
      <c r="QW4" s="31">
        <v>115</v>
      </c>
      <c r="QX4" s="31">
        <v>136</v>
      </c>
      <c r="QY4" s="31">
        <v>93</v>
      </c>
      <c r="QZ4" s="31">
        <v>142</v>
      </c>
      <c r="RA4" s="31">
        <v>106</v>
      </c>
      <c r="RB4" s="31">
        <v>157</v>
      </c>
      <c r="RC4" s="31">
        <v>137</v>
      </c>
      <c r="RD4" s="31">
        <v>117</v>
      </c>
      <c r="RE4" s="31">
        <v>133</v>
      </c>
      <c r="RF4" s="31">
        <v>90</v>
      </c>
      <c r="RG4" s="31">
        <v>130</v>
      </c>
      <c r="RH4" s="31">
        <v>102</v>
      </c>
      <c r="RI4" s="31">
        <v>103</v>
      </c>
      <c r="RJ4" s="31">
        <v>106</v>
      </c>
      <c r="RK4" s="31">
        <v>103</v>
      </c>
      <c r="RL4" s="31">
        <v>148</v>
      </c>
      <c r="RM4" s="31">
        <v>93</v>
      </c>
      <c r="RN4" s="31">
        <v>123</v>
      </c>
      <c r="RO4" s="31">
        <v>125</v>
      </c>
      <c r="RP4" s="31">
        <v>100</v>
      </c>
      <c r="RQ4" s="31">
        <v>95</v>
      </c>
      <c r="RR4" s="31">
        <v>98</v>
      </c>
      <c r="RS4" s="31">
        <v>161</v>
      </c>
      <c r="RT4" s="31">
        <v>94</v>
      </c>
      <c r="RU4" s="31">
        <v>150</v>
      </c>
      <c r="RV4" s="31">
        <v>158</v>
      </c>
      <c r="RW4" s="31">
        <v>96</v>
      </c>
      <c r="RX4" s="31">
        <v>130</v>
      </c>
      <c r="RY4" s="31">
        <v>138</v>
      </c>
      <c r="RZ4" s="31">
        <v>100</v>
      </c>
      <c r="SA4" s="31">
        <v>152</v>
      </c>
      <c r="SB4" s="31">
        <v>92</v>
      </c>
      <c r="SC4" s="31">
        <v>92</v>
      </c>
      <c r="SD4" s="31">
        <v>89</v>
      </c>
      <c r="SE4" s="31">
        <v>126</v>
      </c>
      <c r="SF4" s="31">
        <v>98</v>
      </c>
      <c r="SG4" s="31">
        <v>124</v>
      </c>
      <c r="SH4" s="31">
        <v>122</v>
      </c>
      <c r="SI4" s="31">
        <v>91</v>
      </c>
      <c r="SJ4" s="31">
        <v>108</v>
      </c>
      <c r="SK4" s="31">
        <v>116</v>
      </c>
      <c r="SL4" s="31">
        <v>86</v>
      </c>
      <c r="SM4" s="31">
        <v>118</v>
      </c>
      <c r="SN4" s="31">
        <v>115</v>
      </c>
      <c r="SO4" s="31">
        <v>115</v>
      </c>
      <c r="SP4" s="31">
        <v>90</v>
      </c>
      <c r="SQ4" s="31">
        <v>100</v>
      </c>
      <c r="SR4" s="31">
        <v>109</v>
      </c>
      <c r="SS4" s="31">
        <v>147</v>
      </c>
      <c r="ST4" s="31">
        <v>107</v>
      </c>
      <c r="SU4" s="31">
        <v>81</v>
      </c>
      <c r="SV4" s="31">
        <v>130</v>
      </c>
      <c r="SW4" s="31">
        <v>92</v>
      </c>
      <c r="SX4" s="31">
        <v>132</v>
      </c>
      <c r="SY4" s="31">
        <v>127</v>
      </c>
      <c r="SZ4" s="31">
        <v>82</v>
      </c>
      <c r="TA4" s="31">
        <v>104</v>
      </c>
      <c r="TB4" s="31">
        <v>108</v>
      </c>
      <c r="TC4" s="31">
        <v>130</v>
      </c>
      <c r="TD4" s="31">
        <v>95</v>
      </c>
      <c r="TE4" s="31">
        <v>88</v>
      </c>
      <c r="TF4" s="31">
        <v>125</v>
      </c>
      <c r="TG4" s="31">
        <v>96</v>
      </c>
      <c r="TH4" s="31">
        <v>139</v>
      </c>
      <c r="TI4" s="31">
        <v>119</v>
      </c>
      <c r="TJ4" s="31">
        <v>95</v>
      </c>
      <c r="TK4" s="31">
        <v>87</v>
      </c>
      <c r="TL4" s="31">
        <v>85</v>
      </c>
      <c r="TM4" s="31">
        <v>129</v>
      </c>
      <c r="TN4" s="31">
        <v>124</v>
      </c>
      <c r="TO4" s="31">
        <v>88</v>
      </c>
      <c r="TP4" s="31">
        <v>104</v>
      </c>
      <c r="TQ4" s="31">
        <v>113</v>
      </c>
      <c r="TR4" s="31">
        <v>91</v>
      </c>
      <c r="TS4" s="31">
        <v>103</v>
      </c>
      <c r="TT4" s="31">
        <v>121</v>
      </c>
      <c r="TU4" s="31">
        <v>95</v>
      </c>
      <c r="TV4" s="31">
        <v>139</v>
      </c>
      <c r="TW4" s="31">
        <v>114</v>
      </c>
      <c r="TX4" s="31">
        <v>81</v>
      </c>
      <c r="TY4" s="31">
        <v>82</v>
      </c>
      <c r="TZ4" s="31">
        <v>122</v>
      </c>
      <c r="UA4" s="31">
        <v>101</v>
      </c>
      <c r="UB4" s="31">
        <v>104</v>
      </c>
      <c r="UC4" s="31">
        <v>88</v>
      </c>
      <c r="UD4" s="31">
        <v>101</v>
      </c>
      <c r="UE4" s="31">
        <v>115</v>
      </c>
      <c r="UF4" s="31">
        <v>91</v>
      </c>
      <c r="UG4" s="31">
        <v>107</v>
      </c>
      <c r="UH4" s="31">
        <v>126</v>
      </c>
      <c r="UI4" s="31">
        <v>122</v>
      </c>
      <c r="UJ4" s="31">
        <v>125</v>
      </c>
      <c r="UK4" s="31">
        <v>154</v>
      </c>
      <c r="UL4" s="31">
        <v>118</v>
      </c>
      <c r="UM4" s="31">
        <v>105</v>
      </c>
      <c r="UN4" s="31">
        <v>126</v>
      </c>
      <c r="UO4" s="31">
        <v>141</v>
      </c>
      <c r="UP4" s="31">
        <v>90</v>
      </c>
      <c r="UQ4" s="31">
        <v>129</v>
      </c>
      <c r="UR4" s="31">
        <v>120</v>
      </c>
      <c r="US4" s="31">
        <v>128</v>
      </c>
      <c r="UT4" s="31">
        <v>126</v>
      </c>
      <c r="UU4" s="31">
        <v>138</v>
      </c>
      <c r="UV4" s="31">
        <v>100</v>
      </c>
      <c r="UW4" s="31">
        <v>128</v>
      </c>
      <c r="UX4" s="31">
        <v>95</v>
      </c>
      <c r="UY4" s="31">
        <v>84</v>
      </c>
      <c r="UZ4" s="31">
        <v>144</v>
      </c>
      <c r="VA4" s="31">
        <v>118</v>
      </c>
      <c r="VB4" s="31">
        <v>188</v>
      </c>
      <c r="VC4" s="31">
        <v>99</v>
      </c>
      <c r="VD4" s="31">
        <v>128</v>
      </c>
      <c r="VE4" s="31">
        <v>84</v>
      </c>
      <c r="VF4" s="31">
        <v>112</v>
      </c>
      <c r="VG4" s="31">
        <v>127</v>
      </c>
      <c r="VH4" s="31">
        <v>102</v>
      </c>
      <c r="VI4" s="31">
        <v>119</v>
      </c>
      <c r="VJ4" s="31">
        <v>93</v>
      </c>
      <c r="VK4" s="31">
        <v>126</v>
      </c>
      <c r="VL4" s="31">
        <v>96</v>
      </c>
      <c r="VM4" s="31">
        <v>128</v>
      </c>
      <c r="VN4" s="31">
        <v>94</v>
      </c>
      <c r="VO4" s="31">
        <v>108</v>
      </c>
      <c r="VP4" s="31">
        <v>82</v>
      </c>
      <c r="VQ4" s="31">
        <v>145</v>
      </c>
      <c r="VR4" s="31">
        <v>133</v>
      </c>
      <c r="VS4" s="31">
        <v>117</v>
      </c>
      <c r="VT4" s="31">
        <v>104</v>
      </c>
      <c r="VU4" s="31">
        <v>85</v>
      </c>
      <c r="VV4" s="31">
        <v>103</v>
      </c>
      <c r="VW4" s="31">
        <v>92</v>
      </c>
      <c r="VX4" s="31">
        <v>104</v>
      </c>
      <c r="VY4" s="31">
        <v>119</v>
      </c>
      <c r="VZ4" s="31">
        <v>103</v>
      </c>
      <c r="WA4" s="31">
        <v>120</v>
      </c>
      <c r="WB4" s="31">
        <v>102</v>
      </c>
      <c r="WC4" s="31">
        <v>111</v>
      </c>
      <c r="WD4" s="31">
        <v>117</v>
      </c>
      <c r="WE4" s="31">
        <v>118</v>
      </c>
      <c r="WF4" s="31">
        <v>110</v>
      </c>
      <c r="WG4" s="31">
        <v>120</v>
      </c>
      <c r="WH4" s="31">
        <v>113</v>
      </c>
      <c r="WI4" s="31">
        <v>94</v>
      </c>
      <c r="WJ4" s="31">
        <v>103</v>
      </c>
      <c r="WK4" s="31">
        <v>96</v>
      </c>
      <c r="WL4" s="31">
        <v>91</v>
      </c>
      <c r="WM4" s="31">
        <v>153</v>
      </c>
      <c r="WN4" s="31">
        <v>161</v>
      </c>
      <c r="WO4" s="31">
        <v>117</v>
      </c>
      <c r="WP4" s="31">
        <v>107</v>
      </c>
      <c r="WQ4" s="31">
        <v>114</v>
      </c>
      <c r="WR4" s="31">
        <v>102</v>
      </c>
      <c r="WS4" s="31">
        <v>105</v>
      </c>
      <c r="WT4" s="31">
        <v>106</v>
      </c>
      <c r="WU4" s="31">
        <v>127</v>
      </c>
      <c r="WV4" s="31">
        <v>96</v>
      </c>
      <c r="WW4" s="31">
        <v>110</v>
      </c>
      <c r="WX4" s="31">
        <v>106</v>
      </c>
      <c r="WY4" s="31">
        <v>132</v>
      </c>
      <c r="WZ4" s="31">
        <v>98</v>
      </c>
      <c r="XA4" s="31">
        <v>116</v>
      </c>
      <c r="XB4" s="31">
        <v>114</v>
      </c>
      <c r="XC4" s="31">
        <v>117</v>
      </c>
      <c r="XD4" s="31">
        <v>93</v>
      </c>
      <c r="XE4" s="31">
        <v>116</v>
      </c>
      <c r="XF4" s="31">
        <v>122</v>
      </c>
      <c r="XG4" s="31">
        <v>100</v>
      </c>
      <c r="XH4" s="31">
        <v>96</v>
      </c>
      <c r="XI4" s="31">
        <v>114</v>
      </c>
      <c r="XJ4" s="31">
        <v>128</v>
      </c>
      <c r="XK4" s="31">
        <v>97</v>
      </c>
      <c r="XL4" s="31">
        <v>95</v>
      </c>
      <c r="XM4" s="31">
        <v>110</v>
      </c>
      <c r="XN4" s="31">
        <v>111</v>
      </c>
      <c r="XO4" s="31">
        <v>87</v>
      </c>
      <c r="XP4" s="31">
        <v>116</v>
      </c>
      <c r="XQ4" s="31">
        <v>109</v>
      </c>
      <c r="XR4" s="31">
        <v>100</v>
      </c>
      <c r="XS4" s="31">
        <v>132</v>
      </c>
      <c r="XT4" s="31">
        <v>105</v>
      </c>
      <c r="XU4" s="31">
        <v>118</v>
      </c>
      <c r="XV4" s="31">
        <v>119</v>
      </c>
      <c r="XW4" s="31">
        <v>153</v>
      </c>
      <c r="XX4" s="31">
        <v>122</v>
      </c>
      <c r="XY4" s="31">
        <v>94</v>
      </c>
      <c r="XZ4" s="31">
        <v>97</v>
      </c>
      <c r="YA4" s="31">
        <v>110</v>
      </c>
      <c r="YB4" s="31">
        <v>109</v>
      </c>
      <c r="YC4" s="31">
        <v>114</v>
      </c>
      <c r="YD4" s="31">
        <v>116</v>
      </c>
      <c r="YE4" s="31">
        <v>127</v>
      </c>
      <c r="YF4" s="31">
        <v>183</v>
      </c>
      <c r="YG4" s="31">
        <v>96</v>
      </c>
      <c r="YH4" s="31">
        <v>135</v>
      </c>
      <c r="YI4" s="31">
        <v>118</v>
      </c>
      <c r="YJ4" s="31">
        <v>124</v>
      </c>
      <c r="YK4" s="31">
        <v>93</v>
      </c>
      <c r="YL4" s="31">
        <v>119</v>
      </c>
      <c r="YM4" s="31">
        <v>138</v>
      </c>
      <c r="YN4" s="31">
        <v>111</v>
      </c>
      <c r="YO4" s="31">
        <v>114</v>
      </c>
      <c r="YP4" s="31">
        <v>96</v>
      </c>
      <c r="YQ4" s="31">
        <v>131</v>
      </c>
      <c r="YR4" s="31">
        <v>124</v>
      </c>
      <c r="YS4" s="31">
        <v>133</v>
      </c>
      <c r="YT4" s="31">
        <v>125</v>
      </c>
      <c r="YU4" s="31">
        <v>110</v>
      </c>
      <c r="YV4" s="31">
        <v>92</v>
      </c>
      <c r="YW4" s="31">
        <v>165</v>
      </c>
      <c r="YX4" s="31">
        <v>105</v>
      </c>
      <c r="YY4" s="31">
        <v>121</v>
      </c>
      <c r="YZ4" s="31">
        <v>202</v>
      </c>
      <c r="ZA4" s="31">
        <v>106</v>
      </c>
      <c r="ZB4" s="31">
        <v>121</v>
      </c>
      <c r="ZC4" s="31">
        <v>129</v>
      </c>
      <c r="ZD4" s="31">
        <v>121</v>
      </c>
      <c r="ZE4" s="31">
        <v>112</v>
      </c>
      <c r="ZF4" s="31">
        <v>150</v>
      </c>
      <c r="ZG4" s="31">
        <v>83</v>
      </c>
      <c r="ZH4" s="31">
        <v>177</v>
      </c>
      <c r="ZI4" s="31">
        <v>117</v>
      </c>
      <c r="ZJ4" s="31">
        <v>110</v>
      </c>
      <c r="ZK4" s="31">
        <v>124</v>
      </c>
      <c r="ZL4" s="31">
        <v>179</v>
      </c>
      <c r="ZM4" s="31">
        <v>104</v>
      </c>
      <c r="ZN4" s="31">
        <v>102</v>
      </c>
      <c r="ZO4" s="31">
        <v>100</v>
      </c>
      <c r="ZP4" s="31">
        <v>137</v>
      </c>
      <c r="ZQ4" s="31">
        <v>170</v>
      </c>
      <c r="ZR4" s="31">
        <v>110</v>
      </c>
      <c r="ZS4" s="31">
        <v>113</v>
      </c>
      <c r="ZT4" s="31">
        <v>95</v>
      </c>
      <c r="ZU4" s="31">
        <v>154</v>
      </c>
      <c r="ZV4" s="31">
        <v>108</v>
      </c>
      <c r="ZW4" s="31">
        <v>105</v>
      </c>
      <c r="ZX4" s="31">
        <v>113</v>
      </c>
      <c r="ZY4" s="31">
        <v>112</v>
      </c>
      <c r="ZZ4" s="31">
        <v>105</v>
      </c>
      <c r="AAA4" s="31">
        <v>78</v>
      </c>
      <c r="AAB4" s="31">
        <v>111</v>
      </c>
      <c r="AAC4" s="31">
        <v>150</v>
      </c>
      <c r="AAD4" s="31">
        <v>96</v>
      </c>
      <c r="AAE4" s="31">
        <v>179</v>
      </c>
      <c r="AAF4" s="31">
        <v>174</v>
      </c>
      <c r="AAG4" s="31">
        <v>117</v>
      </c>
      <c r="AAH4" s="31">
        <v>170</v>
      </c>
      <c r="AAI4" s="31">
        <v>248</v>
      </c>
      <c r="AAJ4" s="31">
        <v>164</v>
      </c>
      <c r="AAK4" s="31">
        <v>210</v>
      </c>
      <c r="AAL4" s="31">
        <v>79</v>
      </c>
      <c r="AAM4" s="31">
        <v>119</v>
      </c>
      <c r="AAN4" s="31">
        <v>178</v>
      </c>
      <c r="AAO4" s="31">
        <v>185</v>
      </c>
      <c r="AAP4" s="31">
        <v>129</v>
      </c>
      <c r="AAQ4" s="31">
        <v>152</v>
      </c>
      <c r="AAR4" s="31">
        <v>184</v>
      </c>
      <c r="AAS4" s="31">
        <v>79</v>
      </c>
      <c r="AAT4" s="31">
        <v>184</v>
      </c>
      <c r="AAU4" s="31">
        <v>109</v>
      </c>
      <c r="AAV4" s="31">
        <v>126</v>
      </c>
      <c r="AAW4" s="31">
        <v>167</v>
      </c>
      <c r="AAX4" s="31">
        <v>127</v>
      </c>
      <c r="AAY4" s="31">
        <v>212</v>
      </c>
      <c r="AAZ4" s="31">
        <v>75</v>
      </c>
      <c r="ABA4" s="31">
        <v>136</v>
      </c>
      <c r="ABB4" s="31">
        <v>121</v>
      </c>
      <c r="ABC4" s="31">
        <v>171</v>
      </c>
      <c r="ABD4" s="31">
        <v>116</v>
      </c>
      <c r="ABE4" s="31">
        <v>128</v>
      </c>
      <c r="ABF4" s="31">
        <v>152</v>
      </c>
      <c r="ABG4" s="31">
        <v>122</v>
      </c>
      <c r="ABH4" s="31">
        <v>220</v>
      </c>
      <c r="ABI4" s="31">
        <v>208</v>
      </c>
      <c r="ABJ4" s="31">
        <v>133</v>
      </c>
      <c r="ABK4" s="31">
        <v>119</v>
      </c>
      <c r="ABL4" s="31">
        <v>111</v>
      </c>
      <c r="ABM4" s="31">
        <v>145</v>
      </c>
      <c r="ABN4" s="31">
        <v>150</v>
      </c>
      <c r="ABO4" s="31">
        <v>75</v>
      </c>
      <c r="ABP4" s="31">
        <v>127</v>
      </c>
      <c r="ABQ4" s="31">
        <v>135</v>
      </c>
      <c r="ABR4" s="31">
        <v>118</v>
      </c>
      <c r="ABS4" s="31">
        <v>118</v>
      </c>
      <c r="ABT4" s="31">
        <v>76</v>
      </c>
      <c r="ABU4" s="31">
        <v>91</v>
      </c>
      <c r="ABV4" s="31">
        <v>103</v>
      </c>
      <c r="ABW4" s="31">
        <v>75</v>
      </c>
      <c r="ABX4" s="31">
        <v>122</v>
      </c>
      <c r="ABY4" s="31">
        <v>105</v>
      </c>
      <c r="ABZ4" s="31">
        <v>101</v>
      </c>
      <c r="ACA4" s="31">
        <v>75</v>
      </c>
      <c r="ACB4" s="31">
        <v>103</v>
      </c>
      <c r="ACC4" s="31">
        <v>107</v>
      </c>
      <c r="ACD4" s="31">
        <v>100</v>
      </c>
      <c r="ACE4" s="31">
        <v>170</v>
      </c>
      <c r="ACF4" s="31">
        <v>102</v>
      </c>
      <c r="ACG4" s="31">
        <v>124</v>
      </c>
      <c r="ACH4" s="31">
        <v>129</v>
      </c>
      <c r="ACI4" s="31">
        <v>221</v>
      </c>
      <c r="ACJ4" s="31">
        <v>101</v>
      </c>
      <c r="ACK4" s="31">
        <v>83</v>
      </c>
      <c r="ACL4" s="31">
        <v>95</v>
      </c>
      <c r="ACM4" s="31">
        <v>71</v>
      </c>
      <c r="ACN4" s="31">
        <v>85</v>
      </c>
      <c r="ACO4" s="31">
        <v>152</v>
      </c>
      <c r="ACP4" s="31">
        <v>68</v>
      </c>
      <c r="ACQ4" s="31">
        <v>136</v>
      </c>
      <c r="ACR4" s="31">
        <v>124</v>
      </c>
      <c r="ACS4" s="31">
        <v>137</v>
      </c>
      <c r="ACT4" s="31">
        <v>141</v>
      </c>
      <c r="ACU4" s="31">
        <v>91</v>
      </c>
      <c r="ACV4" s="31">
        <v>94</v>
      </c>
      <c r="ACW4" s="31">
        <v>131</v>
      </c>
      <c r="ACX4" s="31">
        <v>137</v>
      </c>
      <c r="ACY4" s="31">
        <v>141</v>
      </c>
      <c r="ACZ4" s="31">
        <v>147</v>
      </c>
      <c r="ADA4" s="31">
        <v>97</v>
      </c>
      <c r="ADB4" s="31">
        <v>108</v>
      </c>
      <c r="ADC4" s="31">
        <v>105</v>
      </c>
      <c r="ADD4" s="31">
        <v>151</v>
      </c>
      <c r="ADE4" s="31">
        <v>87</v>
      </c>
      <c r="ADF4" s="31">
        <v>108</v>
      </c>
      <c r="ADG4" s="31">
        <v>123</v>
      </c>
      <c r="ADH4" s="31">
        <v>144</v>
      </c>
      <c r="ADI4" s="31">
        <v>115</v>
      </c>
      <c r="ADJ4" s="31">
        <v>128</v>
      </c>
      <c r="ADK4" s="31">
        <v>119</v>
      </c>
      <c r="ADL4" s="31">
        <v>102</v>
      </c>
      <c r="ADM4" s="31">
        <v>115</v>
      </c>
      <c r="ADN4" s="31">
        <v>132</v>
      </c>
      <c r="ADO4" s="31">
        <v>125</v>
      </c>
      <c r="ADP4" s="31">
        <v>119</v>
      </c>
      <c r="ADQ4" s="31">
        <v>83</v>
      </c>
      <c r="ADR4" s="31">
        <v>130</v>
      </c>
      <c r="ADS4" s="31">
        <v>129</v>
      </c>
      <c r="ADT4" s="31">
        <v>96</v>
      </c>
      <c r="ADU4" s="31">
        <v>145</v>
      </c>
      <c r="ADV4" s="31">
        <v>125</v>
      </c>
      <c r="ADW4" s="31">
        <v>108</v>
      </c>
      <c r="ADX4" s="31">
        <v>115</v>
      </c>
      <c r="ADY4" s="31">
        <v>87</v>
      </c>
      <c r="ADZ4" s="31">
        <v>101</v>
      </c>
      <c r="AEA4" s="31">
        <v>104</v>
      </c>
      <c r="AEB4" s="31">
        <v>111</v>
      </c>
      <c r="AEC4" s="31">
        <v>103</v>
      </c>
      <c r="AED4" s="31">
        <v>103</v>
      </c>
      <c r="AEE4" s="31">
        <v>126</v>
      </c>
      <c r="AEF4" s="31">
        <v>112</v>
      </c>
      <c r="AEG4" s="31">
        <v>115</v>
      </c>
      <c r="AEH4" s="31">
        <v>106</v>
      </c>
      <c r="AEI4" s="31">
        <v>97</v>
      </c>
      <c r="AEJ4" s="31">
        <v>108</v>
      </c>
      <c r="AEK4" s="31">
        <v>139</v>
      </c>
      <c r="AEL4" s="31">
        <v>119</v>
      </c>
      <c r="AEM4" s="31">
        <v>105</v>
      </c>
      <c r="AEN4" s="31">
        <v>127</v>
      </c>
      <c r="AEO4" s="31">
        <v>114</v>
      </c>
      <c r="AEP4" s="31">
        <v>131</v>
      </c>
      <c r="AEQ4" s="31">
        <v>109</v>
      </c>
      <c r="AER4" s="31">
        <v>121</v>
      </c>
      <c r="AES4" s="31">
        <v>107</v>
      </c>
      <c r="AET4" s="31">
        <v>104</v>
      </c>
      <c r="AEU4" s="31">
        <v>115</v>
      </c>
      <c r="AEV4" s="31">
        <v>109</v>
      </c>
      <c r="AEW4" s="31">
        <v>109</v>
      </c>
      <c r="AEX4" s="31">
        <v>120</v>
      </c>
      <c r="AEY4" s="31">
        <v>132</v>
      </c>
      <c r="AEZ4" s="31">
        <v>132</v>
      </c>
      <c r="AFA4" s="31">
        <v>122</v>
      </c>
      <c r="AFB4" s="31">
        <v>127</v>
      </c>
      <c r="AFC4" s="31">
        <v>126</v>
      </c>
      <c r="AFD4" s="31">
        <v>95</v>
      </c>
      <c r="AFE4" s="31">
        <v>109</v>
      </c>
      <c r="AFF4" s="31">
        <v>115</v>
      </c>
      <c r="AFG4" s="31">
        <v>107</v>
      </c>
      <c r="AFH4" s="31">
        <v>115</v>
      </c>
      <c r="AFI4" s="31">
        <v>108</v>
      </c>
      <c r="AFJ4" s="31">
        <v>124</v>
      </c>
      <c r="AFK4" s="31">
        <v>123</v>
      </c>
      <c r="AFL4" s="31">
        <v>125</v>
      </c>
      <c r="AFM4" s="31">
        <v>89</v>
      </c>
      <c r="AFN4" s="31">
        <v>109</v>
      </c>
      <c r="AFO4" s="31">
        <v>118</v>
      </c>
      <c r="AFP4" s="31">
        <v>110</v>
      </c>
      <c r="AFQ4" s="31">
        <v>103</v>
      </c>
      <c r="AFR4" s="31">
        <v>107</v>
      </c>
      <c r="AFS4" s="31">
        <v>107</v>
      </c>
      <c r="AFT4" s="31">
        <v>90</v>
      </c>
      <c r="AFU4" s="31">
        <v>104</v>
      </c>
      <c r="AFV4" s="31">
        <v>101</v>
      </c>
      <c r="AFW4" s="31">
        <v>129</v>
      </c>
      <c r="AFX4" s="31">
        <v>113</v>
      </c>
      <c r="AFY4" s="31">
        <v>85</v>
      </c>
      <c r="AFZ4" s="31">
        <v>97</v>
      </c>
      <c r="AGA4" s="31">
        <v>131</v>
      </c>
      <c r="AGB4" s="31">
        <v>132</v>
      </c>
      <c r="AGC4" s="31">
        <v>98</v>
      </c>
      <c r="AGD4" s="31">
        <v>106</v>
      </c>
      <c r="AGE4" s="31">
        <v>229</v>
      </c>
      <c r="AGF4" s="31">
        <v>92</v>
      </c>
      <c r="AGG4" s="31">
        <v>89</v>
      </c>
      <c r="AGH4" s="31">
        <v>128</v>
      </c>
      <c r="AGI4" s="31">
        <v>103</v>
      </c>
      <c r="AGJ4" s="31">
        <v>141</v>
      </c>
      <c r="AGK4" s="31">
        <v>89</v>
      </c>
      <c r="AGL4" s="31">
        <v>154</v>
      </c>
      <c r="AGM4" s="31">
        <v>154</v>
      </c>
      <c r="AGN4" s="31">
        <v>146</v>
      </c>
      <c r="AGO4" s="31">
        <v>141</v>
      </c>
      <c r="AGP4" s="31">
        <v>128</v>
      </c>
      <c r="AGQ4" s="31">
        <v>150</v>
      </c>
      <c r="AGR4" s="31">
        <v>105</v>
      </c>
      <c r="AGS4" s="31">
        <v>117</v>
      </c>
      <c r="AGT4" s="31">
        <v>137</v>
      </c>
      <c r="AGU4" s="31">
        <v>105</v>
      </c>
      <c r="AGV4" s="31">
        <v>104</v>
      </c>
      <c r="AGW4" s="31">
        <v>117</v>
      </c>
      <c r="AGX4" s="31">
        <v>115</v>
      </c>
      <c r="AGY4" s="31">
        <v>115</v>
      </c>
      <c r="AGZ4" s="31">
        <v>98</v>
      </c>
      <c r="AHA4" s="31">
        <v>95</v>
      </c>
      <c r="AHB4" s="31">
        <v>102</v>
      </c>
      <c r="AHC4" s="31">
        <v>107</v>
      </c>
      <c r="AHD4" s="31">
        <v>89</v>
      </c>
      <c r="AHE4" s="31">
        <v>103</v>
      </c>
      <c r="AHF4" s="31">
        <v>82</v>
      </c>
      <c r="AHG4" s="31">
        <v>92</v>
      </c>
      <c r="AHH4" s="31">
        <v>132</v>
      </c>
      <c r="AHI4" s="31">
        <v>88</v>
      </c>
      <c r="AHJ4" s="31">
        <v>126</v>
      </c>
      <c r="AHK4" s="31">
        <v>125</v>
      </c>
      <c r="AHL4" s="31">
        <v>131</v>
      </c>
      <c r="AHM4" s="31">
        <v>114</v>
      </c>
      <c r="AHN4" s="31">
        <v>93</v>
      </c>
      <c r="AHO4" s="31">
        <v>146</v>
      </c>
      <c r="AHP4" s="31">
        <v>135</v>
      </c>
      <c r="AHQ4" s="31">
        <v>130</v>
      </c>
      <c r="AHR4" s="31">
        <v>91</v>
      </c>
      <c r="AHS4" s="31">
        <v>130</v>
      </c>
      <c r="AHT4" s="31">
        <v>116</v>
      </c>
      <c r="AHU4" s="31">
        <v>133</v>
      </c>
      <c r="AHV4" s="31">
        <v>132</v>
      </c>
      <c r="AHW4" s="31">
        <v>96</v>
      </c>
      <c r="AHX4" s="31">
        <v>137</v>
      </c>
      <c r="AHY4" s="31">
        <v>141</v>
      </c>
      <c r="AHZ4" s="31">
        <v>113</v>
      </c>
      <c r="AIA4" s="31">
        <v>131</v>
      </c>
      <c r="AIB4" s="31">
        <v>101</v>
      </c>
      <c r="AIC4" s="31">
        <v>115</v>
      </c>
      <c r="AID4" s="31">
        <v>84</v>
      </c>
      <c r="AIE4" s="31">
        <v>98</v>
      </c>
      <c r="AIF4" s="31">
        <v>99</v>
      </c>
      <c r="AIG4" s="31">
        <v>143</v>
      </c>
      <c r="AIH4" s="31">
        <v>119</v>
      </c>
      <c r="AII4" s="31">
        <v>112</v>
      </c>
      <c r="AIJ4" s="31">
        <v>122</v>
      </c>
      <c r="AIK4" s="31">
        <v>117</v>
      </c>
      <c r="AIL4" s="31">
        <v>179</v>
      </c>
      <c r="AIM4" s="31">
        <v>172</v>
      </c>
      <c r="AIN4" s="31">
        <v>122</v>
      </c>
      <c r="AIO4" s="31">
        <v>133</v>
      </c>
      <c r="AIP4" s="31">
        <v>127</v>
      </c>
      <c r="AIQ4" s="31">
        <v>101</v>
      </c>
      <c r="AIR4" s="31">
        <v>118</v>
      </c>
      <c r="AIS4" s="31">
        <v>92</v>
      </c>
      <c r="AIT4" s="31">
        <v>94</v>
      </c>
      <c r="AIU4" s="31">
        <v>113</v>
      </c>
      <c r="AIV4" s="31">
        <v>128</v>
      </c>
      <c r="AIW4" s="31">
        <v>100</v>
      </c>
      <c r="AIX4" s="31">
        <v>113</v>
      </c>
      <c r="AIY4" s="31">
        <v>112</v>
      </c>
      <c r="AIZ4" s="31">
        <v>163</v>
      </c>
      <c r="AJA4" s="31">
        <v>109</v>
      </c>
      <c r="AJB4" s="31">
        <v>120</v>
      </c>
      <c r="AJC4" s="31">
        <v>162</v>
      </c>
      <c r="AJD4" s="31">
        <v>139</v>
      </c>
      <c r="AJE4" s="31">
        <v>159</v>
      </c>
      <c r="AJF4" s="31">
        <v>179</v>
      </c>
      <c r="AJG4" s="31">
        <v>138</v>
      </c>
      <c r="AJH4" s="31">
        <v>89</v>
      </c>
      <c r="AJI4" s="31">
        <v>126</v>
      </c>
      <c r="AJJ4" s="31">
        <v>100</v>
      </c>
      <c r="AJK4" s="31">
        <v>102</v>
      </c>
      <c r="AJL4" s="31">
        <v>136</v>
      </c>
      <c r="AJM4" s="31">
        <v>116</v>
      </c>
      <c r="AJN4" s="31">
        <v>103</v>
      </c>
      <c r="AJO4" s="31">
        <v>120</v>
      </c>
      <c r="AJP4" s="31">
        <v>116</v>
      </c>
      <c r="AJQ4" s="31">
        <v>123</v>
      </c>
      <c r="AJR4" s="31">
        <v>88</v>
      </c>
      <c r="AJS4" s="31">
        <v>154</v>
      </c>
      <c r="AJT4" s="31">
        <v>153</v>
      </c>
      <c r="AJU4" s="31">
        <v>165</v>
      </c>
      <c r="AJV4" s="31">
        <v>168</v>
      </c>
      <c r="AJW4" s="31">
        <v>89</v>
      </c>
      <c r="AJX4" s="31">
        <v>93</v>
      </c>
      <c r="AJY4" s="31">
        <v>128</v>
      </c>
      <c r="AJZ4" s="31">
        <v>133</v>
      </c>
      <c r="AKA4" s="31">
        <v>87</v>
      </c>
      <c r="AKB4" s="31">
        <v>122</v>
      </c>
      <c r="AKC4" s="31">
        <v>121</v>
      </c>
      <c r="AKD4" s="31">
        <v>142</v>
      </c>
      <c r="AKE4" s="31">
        <v>125</v>
      </c>
      <c r="AKF4" s="31">
        <v>119</v>
      </c>
      <c r="AKG4" s="31">
        <v>132</v>
      </c>
      <c r="AKH4" s="31">
        <v>123</v>
      </c>
      <c r="AKI4" s="31">
        <v>127</v>
      </c>
      <c r="AKJ4" s="31">
        <v>106</v>
      </c>
      <c r="AKK4" s="31">
        <v>120</v>
      </c>
      <c r="AKL4" s="31">
        <v>125</v>
      </c>
      <c r="AKM4" s="31">
        <v>113</v>
      </c>
      <c r="AKN4" s="31">
        <v>163</v>
      </c>
      <c r="AKO4" s="31">
        <v>143</v>
      </c>
      <c r="AKP4" s="31">
        <v>109</v>
      </c>
      <c r="AKQ4" s="31">
        <v>100</v>
      </c>
      <c r="AKR4" s="31">
        <v>118</v>
      </c>
      <c r="AKS4" s="31">
        <v>130</v>
      </c>
      <c r="AKT4" s="31">
        <v>119</v>
      </c>
      <c r="AKU4" s="31">
        <v>107</v>
      </c>
      <c r="AKV4" s="31">
        <v>91</v>
      </c>
      <c r="AKW4" s="31">
        <v>92</v>
      </c>
      <c r="AKX4" s="31">
        <v>133</v>
      </c>
      <c r="AKY4" s="31">
        <v>116</v>
      </c>
      <c r="AKZ4" s="31">
        <v>114</v>
      </c>
      <c r="ALA4" s="31">
        <v>123</v>
      </c>
      <c r="ALB4" s="31">
        <v>95</v>
      </c>
      <c r="ALC4" s="31">
        <v>122</v>
      </c>
      <c r="ALD4" s="31">
        <v>114</v>
      </c>
      <c r="ALE4" s="31">
        <v>104</v>
      </c>
      <c r="ALF4" s="31">
        <v>145</v>
      </c>
      <c r="ALG4" s="31">
        <v>138</v>
      </c>
      <c r="ALH4" s="31">
        <v>131</v>
      </c>
      <c r="ALI4" s="31">
        <v>157</v>
      </c>
      <c r="ALJ4" s="31">
        <v>116</v>
      </c>
      <c r="ALK4" s="31">
        <v>124</v>
      </c>
      <c r="ALL4" s="31">
        <v>125</v>
      </c>
      <c r="ALM4" s="31">
        <v>125</v>
      </c>
      <c r="ALN4" s="31">
        <v>129</v>
      </c>
      <c r="ALO4" s="31">
        <v>142</v>
      </c>
      <c r="ALP4" s="31">
        <v>124</v>
      </c>
      <c r="ALQ4" s="31">
        <v>116</v>
      </c>
      <c r="ALR4" s="31">
        <v>128</v>
      </c>
      <c r="ALS4" s="31">
        <v>140</v>
      </c>
      <c r="ALT4" s="31">
        <v>150</v>
      </c>
      <c r="ALU4" s="31">
        <v>121</v>
      </c>
      <c r="ALV4" s="31">
        <v>117</v>
      </c>
      <c r="ALW4" s="31">
        <v>158</v>
      </c>
      <c r="ALX4" s="31">
        <v>101</v>
      </c>
      <c r="ALY4" s="31">
        <v>156</v>
      </c>
      <c r="ALZ4" s="31">
        <v>119</v>
      </c>
      <c r="AMA4" s="31">
        <v>124</v>
      </c>
      <c r="AMB4" s="31">
        <v>106</v>
      </c>
      <c r="AMC4" s="31">
        <v>115</v>
      </c>
      <c r="AMD4" s="31">
        <v>116</v>
      </c>
      <c r="AME4" s="31">
        <v>88</v>
      </c>
      <c r="AMF4" s="31">
        <v>158</v>
      </c>
      <c r="AMG4" s="31">
        <v>95</v>
      </c>
      <c r="AMH4" s="31">
        <v>137</v>
      </c>
      <c r="AMI4" s="31">
        <v>149</v>
      </c>
      <c r="AMJ4" s="31">
        <v>155</v>
      </c>
      <c r="AMK4" s="31">
        <v>106</v>
      </c>
      <c r="AML4" s="31">
        <v>123</v>
      </c>
      <c r="AMM4" s="31">
        <v>118</v>
      </c>
      <c r="AMN4" s="31">
        <v>134</v>
      </c>
      <c r="AMO4" s="31">
        <v>153</v>
      </c>
      <c r="AMP4" s="31">
        <v>118</v>
      </c>
      <c r="AMQ4" s="31">
        <v>110</v>
      </c>
      <c r="AMR4" s="31">
        <v>127</v>
      </c>
      <c r="AMS4" s="31">
        <v>121</v>
      </c>
      <c r="AMT4" s="31">
        <v>113</v>
      </c>
      <c r="AMU4" s="31">
        <v>106</v>
      </c>
      <c r="AMV4" s="31">
        <v>103</v>
      </c>
      <c r="AMW4" s="31">
        <v>100</v>
      </c>
      <c r="AMX4" s="31">
        <v>102</v>
      </c>
      <c r="AMY4" s="31">
        <v>117</v>
      </c>
      <c r="AMZ4" s="31">
        <v>122</v>
      </c>
      <c r="ANA4" s="31">
        <v>126</v>
      </c>
      <c r="ANB4" s="31">
        <v>98</v>
      </c>
      <c r="ANC4" s="31">
        <v>110</v>
      </c>
      <c r="AND4" s="31">
        <v>105</v>
      </c>
      <c r="ANE4" s="31">
        <v>143</v>
      </c>
      <c r="ANF4" s="31">
        <v>101</v>
      </c>
      <c r="ANG4" s="31">
        <v>103</v>
      </c>
      <c r="ANH4" s="31">
        <v>104</v>
      </c>
      <c r="ANI4" s="31">
        <v>98</v>
      </c>
      <c r="ANJ4" s="31">
        <v>115</v>
      </c>
      <c r="ANK4" s="31">
        <v>109</v>
      </c>
      <c r="ANL4" s="31">
        <v>90</v>
      </c>
      <c r="ANM4" s="31">
        <v>105</v>
      </c>
      <c r="ANN4" s="31">
        <v>88</v>
      </c>
      <c r="ANO4" s="31">
        <v>95</v>
      </c>
      <c r="ANP4" s="31">
        <v>100</v>
      </c>
      <c r="ANQ4" s="31">
        <v>119</v>
      </c>
      <c r="ANR4" s="31">
        <v>112</v>
      </c>
      <c r="ANS4" s="31">
        <v>94</v>
      </c>
      <c r="ANT4" s="31">
        <v>134</v>
      </c>
      <c r="ANU4" s="31">
        <v>102</v>
      </c>
      <c r="ANV4" s="31">
        <v>100</v>
      </c>
      <c r="ANW4" s="31">
        <v>121</v>
      </c>
      <c r="ANX4" s="31">
        <v>100</v>
      </c>
      <c r="ANY4" s="31">
        <v>201</v>
      </c>
      <c r="ANZ4" s="31">
        <v>111</v>
      </c>
      <c r="AOA4" s="31">
        <v>118</v>
      </c>
      <c r="AOB4" s="31">
        <v>113</v>
      </c>
      <c r="AOC4" s="31">
        <v>108</v>
      </c>
      <c r="AOD4" s="31">
        <v>180</v>
      </c>
      <c r="AOE4" s="31">
        <v>260</v>
      </c>
      <c r="AOF4" s="31">
        <v>122</v>
      </c>
      <c r="AOG4" s="31">
        <v>118</v>
      </c>
      <c r="AOH4" s="31">
        <v>128</v>
      </c>
      <c r="AOI4" s="31">
        <v>108</v>
      </c>
      <c r="AOJ4" s="31">
        <v>128</v>
      </c>
    </row>
    <row r="5" spans="1:1076" x14ac:dyDescent="0.3">
      <c r="A5" s="47" t="s">
        <v>4</v>
      </c>
      <c r="B5" s="44" t="s">
        <v>60</v>
      </c>
      <c r="C5" s="31" t="s">
        <v>15</v>
      </c>
      <c r="D5" s="31" t="s">
        <v>38</v>
      </c>
      <c r="E5" s="31" t="s">
        <v>22</v>
      </c>
      <c r="F5" s="31" t="s">
        <v>22</v>
      </c>
      <c r="G5" s="31" t="s">
        <v>22</v>
      </c>
      <c r="H5" s="31" t="s">
        <v>22</v>
      </c>
      <c r="I5" s="31" t="s">
        <v>150</v>
      </c>
      <c r="J5" s="31" t="s">
        <v>38</v>
      </c>
      <c r="K5" s="31" t="s">
        <v>38</v>
      </c>
      <c r="L5" s="31" t="s">
        <v>200</v>
      </c>
      <c r="M5" s="31" t="s">
        <v>200</v>
      </c>
      <c r="N5" s="31" t="s">
        <v>200</v>
      </c>
      <c r="O5" s="31" t="s">
        <v>52</v>
      </c>
      <c r="P5" s="31" t="s">
        <v>15</v>
      </c>
      <c r="Q5" s="31" t="s">
        <v>200</v>
      </c>
      <c r="R5" s="31" t="s">
        <v>45</v>
      </c>
      <c r="S5" s="31" t="s">
        <v>45</v>
      </c>
      <c r="T5" s="31" t="s">
        <v>84</v>
      </c>
      <c r="U5" s="31" t="s">
        <v>49</v>
      </c>
      <c r="V5" s="31" t="s">
        <v>84</v>
      </c>
      <c r="W5" s="31" t="s">
        <v>38</v>
      </c>
      <c r="X5" s="31" t="s">
        <v>22</v>
      </c>
      <c r="Y5" s="31" t="s">
        <v>200</v>
      </c>
      <c r="Z5" s="31" t="s">
        <v>22</v>
      </c>
      <c r="AA5" s="31" t="s">
        <v>22</v>
      </c>
      <c r="AB5" s="31" t="s">
        <v>22</v>
      </c>
      <c r="AC5" s="31" t="s">
        <v>22</v>
      </c>
      <c r="AD5" s="31" t="s">
        <v>84</v>
      </c>
      <c r="AE5" s="31" t="s">
        <v>84</v>
      </c>
      <c r="AF5" s="31" t="s">
        <v>150</v>
      </c>
      <c r="AG5" s="31" t="s">
        <v>15</v>
      </c>
      <c r="AH5" s="31" t="s">
        <v>84</v>
      </c>
      <c r="AI5" s="31" t="s">
        <v>45</v>
      </c>
      <c r="AJ5" s="31" t="s">
        <v>45</v>
      </c>
      <c r="AK5" s="31" t="s">
        <v>190</v>
      </c>
      <c r="AL5" s="31" t="s">
        <v>150</v>
      </c>
      <c r="AM5" s="31" t="s">
        <v>52</v>
      </c>
      <c r="AN5" s="31" t="s">
        <v>200</v>
      </c>
      <c r="AO5" s="31" t="s">
        <v>200</v>
      </c>
      <c r="AP5" s="31" t="s">
        <v>200</v>
      </c>
      <c r="AQ5" s="31" t="s">
        <v>200</v>
      </c>
      <c r="AR5" s="31" t="s">
        <v>200</v>
      </c>
      <c r="AS5" s="31" t="s">
        <v>200</v>
      </c>
      <c r="AT5" s="31" t="s">
        <v>200</v>
      </c>
      <c r="AU5" s="31" t="s">
        <v>200</v>
      </c>
      <c r="AV5" s="31" t="s">
        <v>45</v>
      </c>
      <c r="AW5" s="31" t="s">
        <v>200</v>
      </c>
      <c r="AX5" s="31" t="s">
        <v>200</v>
      </c>
      <c r="AY5" s="31" t="s">
        <v>22</v>
      </c>
      <c r="AZ5" s="31" t="s">
        <v>200</v>
      </c>
      <c r="BA5" s="31" t="s">
        <v>200</v>
      </c>
      <c r="BB5" s="31" t="s">
        <v>200</v>
      </c>
      <c r="BC5" s="31" t="s">
        <v>200</v>
      </c>
      <c r="BD5" s="31" t="s">
        <v>200</v>
      </c>
      <c r="BE5" s="31" t="s">
        <v>200</v>
      </c>
      <c r="BF5" s="31" t="s">
        <v>200</v>
      </c>
      <c r="BG5" s="31" t="s">
        <v>360</v>
      </c>
      <c r="BH5" s="31" t="s">
        <v>360</v>
      </c>
      <c r="BI5" s="31" t="s">
        <v>360</v>
      </c>
      <c r="BJ5" s="31" t="s">
        <v>360</v>
      </c>
      <c r="BK5" s="31" t="s">
        <v>22</v>
      </c>
      <c r="BL5" s="31" t="s">
        <v>190</v>
      </c>
      <c r="BM5" s="31" t="s">
        <v>190</v>
      </c>
      <c r="BN5" s="31" t="s">
        <v>45</v>
      </c>
      <c r="BO5" s="31" t="s">
        <v>190</v>
      </c>
      <c r="BP5" s="31" t="s">
        <v>150</v>
      </c>
      <c r="BQ5" s="31" t="s">
        <v>22</v>
      </c>
      <c r="BR5" s="31" t="s">
        <v>22</v>
      </c>
      <c r="BS5" s="31" t="s">
        <v>190</v>
      </c>
      <c r="BT5" s="31" t="s">
        <v>190</v>
      </c>
      <c r="BU5" s="31" t="s">
        <v>22</v>
      </c>
      <c r="BV5" s="31" t="s">
        <v>22</v>
      </c>
      <c r="BW5" s="31" t="s">
        <v>52</v>
      </c>
      <c r="BX5" s="31" t="s">
        <v>15</v>
      </c>
      <c r="BY5" s="31" t="s">
        <v>52</v>
      </c>
      <c r="BZ5" s="31" t="s">
        <v>52</v>
      </c>
      <c r="CA5" s="31" t="s">
        <v>52</v>
      </c>
      <c r="CB5" s="31" t="s">
        <v>190</v>
      </c>
      <c r="CC5" s="31" t="s">
        <v>52</v>
      </c>
      <c r="CD5" s="31" t="s">
        <v>52</v>
      </c>
      <c r="CE5" s="31" t="s">
        <v>52</v>
      </c>
      <c r="CF5" s="31" t="s">
        <v>150</v>
      </c>
      <c r="CG5" s="31" t="s">
        <v>52</v>
      </c>
      <c r="CH5" s="31" t="s">
        <v>52</v>
      </c>
      <c r="CI5" s="31" t="s">
        <v>84</v>
      </c>
      <c r="CJ5" s="31" t="s">
        <v>49</v>
      </c>
      <c r="CK5" s="31" t="s">
        <v>84</v>
      </c>
      <c r="CL5" s="31" t="s">
        <v>84</v>
      </c>
      <c r="CM5" s="31" t="s">
        <v>190</v>
      </c>
      <c r="CN5" s="31" t="s">
        <v>200</v>
      </c>
      <c r="CO5" s="31" t="s">
        <v>200</v>
      </c>
      <c r="CP5" s="31" t="s">
        <v>200</v>
      </c>
      <c r="CQ5" s="31" t="s">
        <v>200</v>
      </c>
      <c r="CR5" s="31" t="s">
        <v>52</v>
      </c>
      <c r="CS5" s="31" t="s">
        <v>52</v>
      </c>
      <c r="CT5" s="31" t="s">
        <v>84</v>
      </c>
      <c r="CU5" s="31" t="s">
        <v>84</v>
      </c>
      <c r="CV5" s="31" t="s">
        <v>52</v>
      </c>
      <c r="CW5" s="31" t="s">
        <v>52</v>
      </c>
      <c r="CX5" s="31" t="s">
        <v>84</v>
      </c>
      <c r="CY5" s="31" t="s">
        <v>84</v>
      </c>
      <c r="CZ5" s="31" t="s">
        <v>52</v>
      </c>
      <c r="DA5" s="31" t="s">
        <v>84</v>
      </c>
      <c r="DB5" s="31" t="s">
        <v>84</v>
      </c>
      <c r="DC5" s="31" t="s">
        <v>84</v>
      </c>
      <c r="DD5" s="31" t="s">
        <v>84</v>
      </c>
      <c r="DE5" s="31" t="s">
        <v>84</v>
      </c>
      <c r="DF5" s="31" t="s">
        <v>166</v>
      </c>
      <c r="DG5" s="31" t="s">
        <v>38</v>
      </c>
      <c r="DH5" s="31" t="s">
        <v>38</v>
      </c>
      <c r="DI5" s="31" t="s">
        <v>34</v>
      </c>
      <c r="DJ5" s="31" t="s">
        <v>68</v>
      </c>
      <c r="DK5" s="31" t="s">
        <v>190</v>
      </c>
      <c r="DL5" s="31" t="s">
        <v>190</v>
      </c>
      <c r="DM5" s="31" t="s">
        <v>84</v>
      </c>
      <c r="DN5" s="31" t="s">
        <v>84</v>
      </c>
      <c r="DO5" s="31" t="s">
        <v>84</v>
      </c>
      <c r="DP5" s="31" t="s">
        <v>84</v>
      </c>
      <c r="DQ5" s="31" t="s">
        <v>84</v>
      </c>
      <c r="DR5" s="31" t="s">
        <v>84</v>
      </c>
      <c r="DS5" s="31" t="s">
        <v>84</v>
      </c>
      <c r="DT5" s="31" t="s">
        <v>38</v>
      </c>
      <c r="DU5" s="31" t="s">
        <v>34</v>
      </c>
      <c r="DV5" s="31" t="s">
        <v>84</v>
      </c>
      <c r="DW5" s="31" t="s">
        <v>84</v>
      </c>
      <c r="DX5" s="31" t="s">
        <v>49</v>
      </c>
      <c r="DY5" s="31" t="s">
        <v>60</v>
      </c>
      <c r="DZ5" s="31" t="s">
        <v>84</v>
      </c>
      <c r="EA5" s="31" t="s">
        <v>52</v>
      </c>
      <c r="EB5" s="31" t="s">
        <v>52</v>
      </c>
      <c r="EC5" s="31" t="s">
        <v>52</v>
      </c>
      <c r="ED5" s="31" t="s">
        <v>52</v>
      </c>
      <c r="EE5" s="31" t="s">
        <v>117</v>
      </c>
      <c r="EF5" s="31" t="s">
        <v>636</v>
      </c>
      <c r="EG5" s="31" t="s">
        <v>84</v>
      </c>
      <c r="EH5" s="31" t="s">
        <v>52</v>
      </c>
      <c r="EI5" s="31" t="s">
        <v>52</v>
      </c>
      <c r="EJ5" s="31" t="s">
        <v>697</v>
      </c>
      <c r="EK5" s="31" t="s">
        <v>697</v>
      </c>
      <c r="EL5" s="31" t="s">
        <v>38</v>
      </c>
      <c r="EM5" s="31" t="s">
        <v>22</v>
      </c>
      <c r="EN5" s="31" t="s">
        <v>364</v>
      </c>
      <c r="EO5" s="31" t="s">
        <v>52</v>
      </c>
      <c r="EP5" s="31" t="s">
        <v>38</v>
      </c>
      <c r="EQ5" s="31" t="s">
        <v>45</v>
      </c>
      <c r="ER5" s="31" t="s">
        <v>636</v>
      </c>
      <c r="ES5" s="31" t="s">
        <v>38</v>
      </c>
      <c r="ET5" s="31" t="s">
        <v>190</v>
      </c>
      <c r="EU5" s="31" t="s">
        <v>15</v>
      </c>
      <c r="EV5" s="31" t="s">
        <v>49</v>
      </c>
      <c r="EW5" s="31" t="s">
        <v>34</v>
      </c>
      <c r="EX5" s="31" t="s">
        <v>636</v>
      </c>
      <c r="EY5" s="31" t="s">
        <v>34</v>
      </c>
      <c r="EZ5" s="31" t="s">
        <v>636</v>
      </c>
      <c r="FA5" s="31" t="s">
        <v>166</v>
      </c>
      <c r="FB5" s="31" t="s">
        <v>45</v>
      </c>
      <c r="FC5" s="31" t="s">
        <v>45</v>
      </c>
      <c r="FD5" s="31" t="s">
        <v>15</v>
      </c>
      <c r="FE5" s="31" t="s">
        <v>190</v>
      </c>
      <c r="FF5" s="31" t="s">
        <v>190</v>
      </c>
      <c r="FG5" s="31" t="s">
        <v>84</v>
      </c>
      <c r="FH5" s="31" t="s">
        <v>190</v>
      </c>
      <c r="FI5" s="31" t="s">
        <v>84</v>
      </c>
      <c r="FJ5" s="31" t="s">
        <v>190</v>
      </c>
      <c r="FK5" s="31" t="s">
        <v>34</v>
      </c>
      <c r="FL5" s="31" t="s">
        <v>150</v>
      </c>
      <c r="FM5" s="31" t="s">
        <v>190</v>
      </c>
      <c r="FN5" s="31" t="s">
        <v>190</v>
      </c>
      <c r="FO5" s="31" t="s">
        <v>38</v>
      </c>
      <c r="FP5" s="31" t="s">
        <v>38</v>
      </c>
      <c r="FQ5" s="31" t="s">
        <v>15</v>
      </c>
      <c r="FR5" s="31" t="s">
        <v>190</v>
      </c>
      <c r="FS5" s="31" t="s">
        <v>84</v>
      </c>
      <c r="FT5" s="31" t="s">
        <v>38</v>
      </c>
      <c r="FU5" s="31" t="s">
        <v>150</v>
      </c>
      <c r="FV5" s="31" t="s">
        <v>84</v>
      </c>
      <c r="FW5" s="31" t="s">
        <v>84</v>
      </c>
      <c r="FX5" s="31" t="s">
        <v>49</v>
      </c>
      <c r="FY5" s="31" t="s">
        <v>190</v>
      </c>
      <c r="FZ5" s="31" t="s">
        <v>38</v>
      </c>
      <c r="GA5" s="31" t="s">
        <v>38</v>
      </c>
      <c r="GB5" s="31" t="s">
        <v>245</v>
      </c>
      <c r="GC5" s="31" t="s">
        <v>150</v>
      </c>
      <c r="GD5" s="31" t="s">
        <v>38</v>
      </c>
      <c r="GE5" s="31" t="s">
        <v>68</v>
      </c>
      <c r="GF5" s="31" t="s">
        <v>166</v>
      </c>
      <c r="GG5" s="31" t="s">
        <v>150</v>
      </c>
      <c r="GH5" s="31" t="s">
        <v>22</v>
      </c>
      <c r="GI5" s="31" t="s">
        <v>22</v>
      </c>
      <c r="GJ5" s="31" t="s">
        <v>52</v>
      </c>
      <c r="GK5" s="31" t="s">
        <v>150</v>
      </c>
      <c r="GL5" s="31" t="s">
        <v>22</v>
      </c>
      <c r="GM5" s="31" t="s">
        <v>22</v>
      </c>
      <c r="GN5" s="31" t="s">
        <v>49</v>
      </c>
      <c r="GO5" s="31" t="s">
        <v>45</v>
      </c>
      <c r="GP5" s="31" t="s">
        <v>190</v>
      </c>
      <c r="GQ5" s="31" t="s">
        <v>68</v>
      </c>
      <c r="GR5" s="31" t="s">
        <v>38</v>
      </c>
      <c r="GS5" s="31" t="s">
        <v>150</v>
      </c>
      <c r="GT5" s="31" t="s">
        <v>49</v>
      </c>
      <c r="GU5" s="31" t="s">
        <v>45</v>
      </c>
      <c r="GV5" s="31" t="s">
        <v>45</v>
      </c>
      <c r="GW5" s="31" t="s">
        <v>245</v>
      </c>
      <c r="GX5" s="31" t="s">
        <v>150</v>
      </c>
      <c r="GY5" s="31" t="s">
        <v>15</v>
      </c>
      <c r="GZ5" s="31" t="s">
        <v>52</v>
      </c>
      <c r="HA5" s="31" t="s">
        <v>38</v>
      </c>
      <c r="HB5" s="31" t="s">
        <v>52</v>
      </c>
      <c r="HC5" s="31" t="s">
        <v>49</v>
      </c>
      <c r="HD5" s="31" t="s">
        <v>34</v>
      </c>
      <c r="HE5" s="31" t="s">
        <v>34</v>
      </c>
      <c r="HF5" s="31" t="s">
        <v>34</v>
      </c>
      <c r="HG5" s="31" t="s">
        <v>150</v>
      </c>
      <c r="HH5" s="31" t="s">
        <v>150</v>
      </c>
      <c r="HI5" s="31" t="s">
        <v>150</v>
      </c>
      <c r="HJ5" s="31" t="s">
        <v>22</v>
      </c>
      <c r="HK5" s="31" t="s">
        <v>84</v>
      </c>
      <c r="HL5" s="31" t="s">
        <v>166</v>
      </c>
      <c r="HM5" s="31" t="s">
        <v>520</v>
      </c>
      <c r="HN5" s="31" t="s">
        <v>166</v>
      </c>
      <c r="HO5" s="31" t="s">
        <v>190</v>
      </c>
      <c r="HP5" s="31" t="s">
        <v>166</v>
      </c>
      <c r="HQ5" s="31" t="s">
        <v>636</v>
      </c>
      <c r="HR5" s="31" t="s">
        <v>166</v>
      </c>
      <c r="HS5" s="31" t="s">
        <v>190</v>
      </c>
      <c r="HT5" s="31" t="s">
        <v>364</v>
      </c>
      <c r="HU5" s="31" t="s">
        <v>15</v>
      </c>
      <c r="HV5" s="31" t="s">
        <v>190</v>
      </c>
      <c r="HW5" s="31" t="s">
        <v>15</v>
      </c>
      <c r="HX5" s="31" t="s">
        <v>52</v>
      </c>
      <c r="HY5" s="31" t="s">
        <v>15</v>
      </c>
      <c r="HZ5" s="31" t="s">
        <v>22</v>
      </c>
      <c r="IA5" s="31" t="s">
        <v>15</v>
      </c>
      <c r="IB5" s="31" t="s">
        <v>22</v>
      </c>
      <c r="IC5" s="31" t="s">
        <v>22</v>
      </c>
      <c r="ID5" s="31" t="s">
        <v>34</v>
      </c>
      <c r="IE5" s="31" t="s">
        <v>38</v>
      </c>
      <c r="IF5" s="31" t="s">
        <v>15</v>
      </c>
      <c r="IG5" s="31" t="s">
        <v>45</v>
      </c>
      <c r="IH5" s="31" t="s">
        <v>49</v>
      </c>
      <c r="II5" s="31" t="s">
        <v>52</v>
      </c>
      <c r="IJ5" s="31" t="s">
        <v>60</v>
      </c>
      <c r="IK5" s="31" t="s">
        <v>15</v>
      </c>
      <c r="IL5" s="31" t="s">
        <v>68</v>
      </c>
      <c r="IM5" s="31" t="s">
        <v>60</v>
      </c>
      <c r="IN5" s="31" t="s">
        <v>15</v>
      </c>
      <c r="IO5" s="31" t="s">
        <v>22</v>
      </c>
      <c r="IP5" s="31" t="s">
        <v>52</v>
      </c>
      <c r="IQ5" s="31" t="s">
        <v>15</v>
      </c>
      <c r="IR5" s="31" t="s">
        <v>22</v>
      </c>
      <c r="IS5" s="31" t="s">
        <v>49</v>
      </c>
      <c r="IT5" s="31" t="s">
        <v>49</v>
      </c>
      <c r="IU5" s="31" t="s">
        <v>22</v>
      </c>
      <c r="IV5" s="31" t="s">
        <v>22</v>
      </c>
      <c r="IW5" s="31" t="s">
        <v>22</v>
      </c>
      <c r="IX5" s="31" t="s">
        <v>60</v>
      </c>
      <c r="IY5" s="31" t="s">
        <v>84</v>
      </c>
      <c r="IZ5" s="31" t="s">
        <v>15</v>
      </c>
      <c r="JA5" s="31" t="s">
        <v>49</v>
      </c>
      <c r="JB5" s="31" t="s">
        <v>84</v>
      </c>
      <c r="JC5" s="31" t="s">
        <v>49</v>
      </c>
      <c r="JD5" s="31" t="s">
        <v>117</v>
      </c>
      <c r="JE5" s="31" t="s">
        <v>84</v>
      </c>
      <c r="JF5" s="31" t="s">
        <v>15</v>
      </c>
      <c r="JG5" s="31" t="s">
        <v>15</v>
      </c>
      <c r="JH5" s="31" t="s">
        <v>15</v>
      </c>
      <c r="JI5" s="31" t="s">
        <v>84</v>
      </c>
      <c r="JJ5" s="31" t="s">
        <v>84</v>
      </c>
      <c r="JK5" s="31" t="s">
        <v>45</v>
      </c>
      <c r="JL5" s="31" t="s">
        <v>49</v>
      </c>
      <c r="JM5" s="31" t="s">
        <v>60</v>
      </c>
      <c r="JN5" s="31" t="s">
        <v>49</v>
      </c>
      <c r="JO5" s="31" t="s">
        <v>49</v>
      </c>
      <c r="JP5" s="31" t="s">
        <v>49</v>
      </c>
      <c r="JQ5" s="31" t="s">
        <v>150</v>
      </c>
      <c r="JR5" s="31" t="s">
        <v>22</v>
      </c>
      <c r="JS5" s="31" t="s">
        <v>15</v>
      </c>
      <c r="JT5" s="31" t="s">
        <v>15</v>
      </c>
      <c r="JU5" s="31" t="s">
        <v>22</v>
      </c>
      <c r="JV5" s="31" t="s">
        <v>166</v>
      </c>
      <c r="JW5" s="31" t="s">
        <v>166</v>
      </c>
      <c r="JX5" s="31" t="s">
        <v>49</v>
      </c>
      <c r="JY5" s="31" t="s">
        <v>49</v>
      </c>
      <c r="JZ5" s="31" t="s">
        <v>49</v>
      </c>
      <c r="KA5" s="31" t="s">
        <v>22</v>
      </c>
      <c r="KB5" s="31" t="s">
        <v>166</v>
      </c>
      <c r="KC5" s="31" t="s">
        <v>15</v>
      </c>
      <c r="KD5" s="31" t="s">
        <v>15</v>
      </c>
      <c r="KE5" s="31" t="s">
        <v>84</v>
      </c>
      <c r="KF5" s="31" t="s">
        <v>190</v>
      </c>
      <c r="KG5" s="31" t="s">
        <v>45</v>
      </c>
      <c r="KH5" s="31" t="s">
        <v>200</v>
      </c>
      <c r="KI5" s="31" t="s">
        <v>200</v>
      </c>
      <c r="KJ5" s="31" t="s">
        <v>49</v>
      </c>
      <c r="KK5" s="31" t="s">
        <v>84</v>
      </c>
      <c r="KL5" s="31" t="s">
        <v>22</v>
      </c>
      <c r="KM5" s="31" t="s">
        <v>190</v>
      </c>
      <c r="KN5" s="31" t="s">
        <v>84</v>
      </c>
      <c r="KO5" s="31" t="s">
        <v>22</v>
      </c>
      <c r="KP5" s="31" t="s">
        <v>190</v>
      </c>
      <c r="KQ5" s="31" t="s">
        <v>150</v>
      </c>
      <c r="KR5" s="31" t="s">
        <v>38</v>
      </c>
      <c r="KS5" s="31" t="s">
        <v>38</v>
      </c>
      <c r="KT5" s="31" t="s">
        <v>84</v>
      </c>
      <c r="KU5" s="31" t="s">
        <v>49</v>
      </c>
      <c r="KV5" s="31" t="s">
        <v>150</v>
      </c>
      <c r="KW5" s="31" t="s">
        <v>190</v>
      </c>
      <c r="KX5" s="31" t="s">
        <v>49</v>
      </c>
      <c r="KY5" s="31" t="s">
        <v>190</v>
      </c>
      <c r="KZ5" s="31" t="s">
        <v>49</v>
      </c>
      <c r="LA5" s="31" t="s">
        <v>22</v>
      </c>
      <c r="LB5" s="31" t="s">
        <v>22</v>
      </c>
      <c r="LC5" s="31" t="s">
        <v>84</v>
      </c>
      <c r="LD5" s="31" t="s">
        <v>84</v>
      </c>
      <c r="LE5" s="31" t="s">
        <v>190</v>
      </c>
      <c r="LF5" s="31" t="s">
        <v>38</v>
      </c>
      <c r="LG5" s="31" t="s">
        <v>60</v>
      </c>
      <c r="LH5" s="31" t="s">
        <v>245</v>
      </c>
      <c r="LI5" s="31" t="s">
        <v>45</v>
      </c>
      <c r="LJ5" s="31" t="s">
        <v>84</v>
      </c>
      <c r="LK5" s="31" t="s">
        <v>60</v>
      </c>
      <c r="LL5" s="31" t="s">
        <v>60</v>
      </c>
      <c r="LM5" s="31" t="s">
        <v>49</v>
      </c>
      <c r="LN5" s="31" t="s">
        <v>49</v>
      </c>
      <c r="LO5" s="31" t="s">
        <v>38</v>
      </c>
      <c r="LP5" s="31" t="s">
        <v>68</v>
      </c>
      <c r="LQ5" s="31" t="s">
        <v>22</v>
      </c>
      <c r="LR5" s="31" t="s">
        <v>22</v>
      </c>
      <c r="LS5" s="31" t="s">
        <v>22</v>
      </c>
      <c r="LT5" s="31" t="s">
        <v>245</v>
      </c>
      <c r="LU5" s="31" t="s">
        <v>45</v>
      </c>
      <c r="LV5" s="31" t="s">
        <v>84</v>
      </c>
      <c r="LW5" s="31" t="s">
        <v>49</v>
      </c>
      <c r="LX5" s="31" t="s">
        <v>49</v>
      </c>
      <c r="LY5" s="31" t="s">
        <v>22</v>
      </c>
      <c r="LZ5" s="31" t="s">
        <v>84</v>
      </c>
      <c r="MA5" s="31" t="s">
        <v>150</v>
      </c>
      <c r="MB5" s="31" t="s">
        <v>190</v>
      </c>
      <c r="MC5" s="31" t="s">
        <v>49</v>
      </c>
      <c r="MD5" s="31" t="s">
        <v>84</v>
      </c>
      <c r="ME5" s="31" t="s">
        <v>22</v>
      </c>
      <c r="MF5" s="31" t="s">
        <v>38</v>
      </c>
      <c r="MG5" s="31" t="s">
        <v>38</v>
      </c>
      <c r="MH5" s="31" t="s">
        <v>15</v>
      </c>
      <c r="MI5" s="31" t="s">
        <v>49</v>
      </c>
      <c r="MJ5" s="31" t="s">
        <v>15</v>
      </c>
      <c r="MK5" s="31" t="s">
        <v>84</v>
      </c>
      <c r="ML5" s="31" t="s">
        <v>84</v>
      </c>
      <c r="MM5" s="31" t="s">
        <v>84</v>
      </c>
      <c r="MN5" s="31" t="s">
        <v>84</v>
      </c>
      <c r="MO5" s="31" t="s">
        <v>200</v>
      </c>
      <c r="MP5" s="31" t="s">
        <v>49</v>
      </c>
      <c r="MQ5" s="31" t="s">
        <v>200</v>
      </c>
      <c r="MR5" s="31" t="s">
        <v>200</v>
      </c>
      <c r="MS5" s="31" t="s">
        <v>22</v>
      </c>
      <c r="MT5" s="31" t="s">
        <v>45</v>
      </c>
      <c r="MU5" s="31" t="s">
        <v>150</v>
      </c>
      <c r="MV5" s="31" t="s">
        <v>15</v>
      </c>
      <c r="MW5" s="31" t="s">
        <v>60</v>
      </c>
      <c r="MX5" s="31" t="s">
        <v>200</v>
      </c>
      <c r="MY5" s="31" t="s">
        <v>15</v>
      </c>
      <c r="MZ5" s="31" t="s">
        <v>49</v>
      </c>
      <c r="NA5" s="31" t="s">
        <v>52</v>
      </c>
      <c r="NB5" s="31" t="s">
        <v>84</v>
      </c>
      <c r="NC5" s="31" t="s">
        <v>84</v>
      </c>
      <c r="ND5" s="31" t="s">
        <v>117</v>
      </c>
      <c r="NE5" s="31" t="s">
        <v>15</v>
      </c>
      <c r="NF5" s="31" t="s">
        <v>15</v>
      </c>
      <c r="NG5" s="31" t="s">
        <v>38</v>
      </c>
      <c r="NH5" s="31" t="s">
        <v>49</v>
      </c>
      <c r="NI5" s="31" t="s">
        <v>49</v>
      </c>
      <c r="NJ5" s="31" t="s">
        <v>150</v>
      </c>
      <c r="NK5" s="31" t="s">
        <v>49</v>
      </c>
      <c r="NL5" s="31" t="s">
        <v>49</v>
      </c>
      <c r="NM5" s="31" t="s">
        <v>84</v>
      </c>
      <c r="NN5" s="31" t="s">
        <v>49</v>
      </c>
      <c r="NO5" s="31" t="s">
        <v>22</v>
      </c>
      <c r="NP5" s="31" t="s">
        <v>22</v>
      </c>
      <c r="NQ5" s="31" t="s">
        <v>49</v>
      </c>
      <c r="NR5" s="31" t="s">
        <v>190</v>
      </c>
      <c r="NS5" s="31" t="s">
        <v>150</v>
      </c>
      <c r="NT5" s="31" t="s">
        <v>360</v>
      </c>
      <c r="NU5" s="31" t="s">
        <v>364</v>
      </c>
      <c r="NV5" s="31" t="s">
        <v>84</v>
      </c>
      <c r="NW5" s="31" t="s">
        <v>84</v>
      </c>
      <c r="NX5" s="31" t="s">
        <v>38</v>
      </c>
      <c r="NY5" s="31" t="s">
        <v>49</v>
      </c>
      <c r="NZ5" s="31" t="s">
        <v>15</v>
      </c>
      <c r="OA5" s="31" t="s">
        <v>49</v>
      </c>
      <c r="OB5" s="31" t="s">
        <v>22</v>
      </c>
      <c r="OC5" s="31" t="s">
        <v>84</v>
      </c>
      <c r="OD5" s="31" t="s">
        <v>49</v>
      </c>
      <c r="OE5" s="31" t="s">
        <v>49</v>
      </c>
      <c r="OF5" s="31" t="s">
        <v>360</v>
      </c>
      <c r="OG5" s="31" t="s">
        <v>38</v>
      </c>
      <c r="OH5" s="31" t="s">
        <v>38</v>
      </c>
      <c r="OI5" s="31" t="s">
        <v>150</v>
      </c>
      <c r="OJ5" s="31" t="s">
        <v>190</v>
      </c>
      <c r="OK5" s="31" t="s">
        <v>150</v>
      </c>
      <c r="OL5" s="31" t="s">
        <v>245</v>
      </c>
      <c r="OM5" s="31" t="s">
        <v>38</v>
      </c>
      <c r="ON5" s="31" t="s">
        <v>150</v>
      </c>
      <c r="OO5" s="31" t="s">
        <v>49</v>
      </c>
      <c r="OP5" s="31" t="s">
        <v>15</v>
      </c>
      <c r="OQ5" s="31" t="s">
        <v>49</v>
      </c>
      <c r="OR5" s="31" t="s">
        <v>49</v>
      </c>
      <c r="OS5" s="31" t="s">
        <v>68</v>
      </c>
      <c r="OT5" s="31" t="s">
        <v>15</v>
      </c>
      <c r="OU5" s="31" t="s">
        <v>49</v>
      </c>
      <c r="OV5" s="31" t="s">
        <v>360</v>
      </c>
      <c r="OW5" s="31" t="s">
        <v>49</v>
      </c>
      <c r="OX5" s="31" t="s">
        <v>364</v>
      </c>
      <c r="OY5" s="31" t="s">
        <v>49</v>
      </c>
      <c r="OZ5" s="31" t="s">
        <v>360</v>
      </c>
      <c r="PA5" s="31" t="s">
        <v>84</v>
      </c>
      <c r="PB5" s="31" t="s">
        <v>190</v>
      </c>
      <c r="PC5" s="31" t="s">
        <v>22</v>
      </c>
      <c r="PD5" s="31" t="s">
        <v>22</v>
      </c>
      <c r="PE5" s="31" t="s">
        <v>190</v>
      </c>
      <c r="PF5" s="31" t="s">
        <v>22</v>
      </c>
      <c r="PG5" s="31" t="s">
        <v>360</v>
      </c>
      <c r="PH5" s="31" t="s">
        <v>38</v>
      </c>
      <c r="PI5" s="31" t="s">
        <v>45</v>
      </c>
      <c r="PJ5" s="31" t="s">
        <v>49</v>
      </c>
      <c r="PK5" s="31" t="s">
        <v>49</v>
      </c>
      <c r="PL5" s="31" t="s">
        <v>49</v>
      </c>
      <c r="PM5" s="31" t="s">
        <v>84</v>
      </c>
      <c r="PN5" s="31" t="s">
        <v>49</v>
      </c>
      <c r="PO5" s="31" t="s">
        <v>150</v>
      </c>
      <c r="PP5" s="31" t="s">
        <v>150</v>
      </c>
      <c r="PQ5" s="31" t="s">
        <v>190</v>
      </c>
      <c r="PR5" s="31" t="s">
        <v>360</v>
      </c>
      <c r="PS5" s="31" t="s">
        <v>49</v>
      </c>
      <c r="PT5" s="31" t="s">
        <v>15</v>
      </c>
      <c r="PU5" s="31" t="s">
        <v>150</v>
      </c>
      <c r="PV5" s="31" t="s">
        <v>84</v>
      </c>
      <c r="PW5" s="31" t="s">
        <v>84</v>
      </c>
      <c r="PX5" s="31" t="s">
        <v>150</v>
      </c>
      <c r="PY5" s="31" t="s">
        <v>15</v>
      </c>
      <c r="PZ5" s="31" t="s">
        <v>520</v>
      </c>
      <c r="QA5" s="31" t="s">
        <v>15</v>
      </c>
      <c r="QB5" s="31" t="s">
        <v>49</v>
      </c>
      <c r="QC5" s="31" t="s">
        <v>49</v>
      </c>
      <c r="QD5" s="31" t="s">
        <v>52</v>
      </c>
      <c r="QE5" s="31" t="s">
        <v>22</v>
      </c>
      <c r="QF5" s="31" t="s">
        <v>22</v>
      </c>
      <c r="QG5" s="31" t="s">
        <v>15</v>
      </c>
      <c r="QH5" s="31" t="s">
        <v>22</v>
      </c>
      <c r="QI5" s="31" t="s">
        <v>22</v>
      </c>
      <c r="QJ5" s="31" t="s">
        <v>49</v>
      </c>
      <c r="QK5" s="31" t="s">
        <v>60</v>
      </c>
      <c r="QL5" s="31" t="s">
        <v>22</v>
      </c>
      <c r="QM5" s="31" t="s">
        <v>60</v>
      </c>
      <c r="QN5" s="31" t="s">
        <v>15</v>
      </c>
      <c r="QO5" s="31" t="s">
        <v>22</v>
      </c>
      <c r="QP5" s="31" t="s">
        <v>60</v>
      </c>
      <c r="QQ5" s="31" t="s">
        <v>49</v>
      </c>
      <c r="QR5" s="31" t="s">
        <v>22</v>
      </c>
      <c r="QS5" s="31" t="s">
        <v>22</v>
      </c>
      <c r="QT5" s="31" t="s">
        <v>22</v>
      </c>
      <c r="QU5" s="31" t="s">
        <v>22</v>
      </c>
      <c r="QV5" s="31" t="s">
        <v>60</v>
      </c>
      <c r="QW5" s="31" t="s">
        <v>575</v>
      </c>
      <c r="QX5" s="31" t="s">
        <v>22</v>
      </c>
      <c r="QY5" s="31" t="s">
        <v>60</v>
      </c>
      <c r="QZ5" s="31" t="s">
        <v>49</v>
      </c>
      <c r="RA5" s="31" t="s">
        <v>49</v>
      </c>
      <c r="RB5" s="31" t="s">
        <v>49</v>
      </c>
      <c r="RC5" s="31" t="s">
        <v>15</v>
      </c>
      <c r="RD5" s="31" t="s">
        <v>575</v>
      </c>
      <c r="RE5" s="31" t="s">
        <v>84</v>
      </c>
      <c r="RF5" s="31" t="s">
        <v>60</v>
      </c>
      <c r="RG5" s="31" t="s">
        <v>22</v>
      </c>
      <c r="RH5" s="31" t="s">
        <v>38</v>
      </c>
      <c r="RI5" s="31" t="s">
        <v>60</v>
      </c>
      <c r="RJ5" s="31" t="s">
        <v>60</v>
      </c>
      <c r="RK5" s="31" t="s">
        <v>60</v>
      </c>
      <c r="RL5" s="31" t="s">
        <v>49</v>
      </c>
      <c r="RM5" s="31" t="s">
        <v>60</v>
      </c>
      <c r="RN5" s="31" t="s">
        <v>575</v>
      </c>
      <c r="RO5" s="31" t="s">
        <v>22</v>
      </c>
      <c r="RP5" s="31" t="s">
        <v>60</v>
      </c>
      <c r="RQ5" s="31" t="s">
        <v>60</v>
      </c>
      <c r="RR5" s="31" t="s">
        <v>60</v>
      </c>
      <c r="RS5" s="31" t="s">
        <v>49</v>
      </c>
      <c r="RT5" s="31" t="s">
        <v>60</v>
      </c>
      <c r="RU5" s="31" t="s">
        <v>49</v>
      </c>
      <c r="RV5" s="31" t="s">
        <v>621</v>
      </c>
      <c r="RW5" s="31" t="s">
        <v>60</v>
      </c>
      <c r="RX5" s="31" t="s">
        <v>575</v>
      </c>
      <c r="RY5" s="31" t="s">
        <v>117</v>
      </c>
      <c r="RZ5" s="31" t="s">
        <v>38</v>
      </c>
      <c r="SA5" s="31" t="s">
        <v>22</v>
      </c>
      <c r="SB5" s="31" t="s">
        <v>60</v>
      </c>
      <c r="SC5" s="31" t="s">
        <v>22</v>
      </c>
      <c r="SD5" s="31" t="s">
        <v>60</v>
      </c>
      <c r="SE5" s="31" t="s">
        <v>22</v>
      </c>
      <c r="SF5" s="31" t="s">
        <v>60</v>
      </c>
      <c r="SG5" s="31" t="s">
        <v>15</v>
      </c>
      <c r="SH5" s="31" t="s">
        <v>190</v>
      </c>
      <c r="SI5" s="31" t="s">
        <v>60</v>
      </c>
      <c r="SJ5" s="31" t="s">
        <v>15</v>
      </c>
      <c r="SK5" s="31" t="s">
        <v>60</v>
      </c>
      <c r="SL5" s="31" t="s">
        <v>60</v>
      </c>
      <c r="SM5" s="31" t="s">
        <v>34</v>
      </c>
      <c r="SN5" s="31" t="s">
        <v>60</v>
      </c>
      <c r="SO5" s="31" t="s">
        <v>38</v>
      </c>
      <c r="SP5" s="31" t="s">
        <v>60</v>
      </c>
      <c r="SQ5" s="31" t="s">
        <v>60</v>
      </c>
      <c r="SR5" s="31" t="s">
        <v>49</v>
      </c>
      <c r="SS5" s="31" t="s">
        <v>22</v>
      </c>
      <c r="ST5" s="31" t="s">
        <v>117</v>
      </c>
      <c r="SU5" s="31" t="s">
        <v>60</v>
      </c>
      <c r="SV5" s="31" t="s">
        <v>15</v>
      </c>
      <c r="SW5" s="31" t="s">
        <v>15</v>
      </c>
      <c r="SX5" s="31" t="s">
        <v>84</v>
      </c>
      <c r="SY5" s="31" t="s">
        <v>38</v>
      </c>
      <c r="SZ5" s="31" t="s">
        <v>60</v>
      </c>
      <c r="TA5" s="31" t="s">
        <v>38</v>
      </c>
      <c r="TB5" s="31" t="s">
        <v>38</v>
      </c>
      <c r="TC5" s="31" t="s">
        <v>68</v>
      </c>
      <c r="TD5" s="31" t="s">
        <v>60</v>
      </c>
      <c r="TE5" s="31" t="s">
        <v>60</v>
      </c>
      <c r="TF5" s="31" t="s">
        <v>15</v>
      </c>
      <c r="TG5" s="31" t="s">
        <v>38</v>
      </c>
      <c r="TH5" s="31" t="s">
        <v>49</v>
      </c>
      <c r="TI5" s="31" t="s">
        <v>38</v>
      </c>
      <c r="TJ5" s="31" t="s">
        <v>60</v>
      </c>
      <c r="TK5" s="31" t="s">
        <v>60</v>
      </c>
      <c r="TL5" s="31" t="s">
        <v>38</v>
      </c>
      <c r="TM5" s="31" t="s">
        <v>15</v>
      </c>
      <c r="TN5" s="31" t="s">
        <v>84</v>
      </c>
      <c r="TO5" s="31" t="s">
        <v>38</v>
      </c>
      <c r="TP5" s="31" t="s">
        <v>697</v>
      </c>
      <c r="TQ5" s="31" t="s">
        <v>621</v>
      </c>
      <c r="TR5" s="31" t="s">
        <v>60</v>
      </c>
      <c r="TS5" s="31" t="s">
        <v>724</v>
      </c>
      <c r="TT5" s="31" t="s">
        <v>84</v>
      </c>
      <c r="TU5" s="31" t="s">
        <v>38</v>
      </c>
      <c r="TV5" s="31" t="s">
        <v>190</v>
      </c>
      <c r="TW5" s="31" t="s">
        <v>22</v>
      </c>
      <c r="TX5" s="31" t="s">
        <v>60</v>
      </c>
      <c r="TY5" s="31" t="s">
        <v>60</v>
      </c>
      <c r="TZ5" s="31" t="s">
        <v>22</v>
      </c>
      <c r="UA5" s="31" t="s">
        <v>38</v>
      </c>
      <c r="UB5" s="31" t="s">
        <v>15</v>
      </c>
      <c r="UC5" s="31" t="s">
        <v>60</v>
      </c>
      <c r="UD5" s="31" t="s">
        <v>38</v>
      </c>
      <c r="UE5" s="31" t="s">
        <v>22</v>
      </c>
      <c r="UF5" s="31" t="s">
        <v>38</v>
      </c>
      <c r="UG5" s="31" t="s">
        <v>38</v>
      </c>
      <c r="UH5" s="31" t="s">
        <v>150</v>
      </c>
      <c r="UI5" s="31" t="s">
        <v>68</v>
      </c>
      <c r="UJ5" s="31" t="s">
        <v>38</v>
      </c>
      <c r="UK5" s="31" t="s">
        <v>84</v>
      </c>
      <c r="UL5" s="31" t="s">
        <v>190</v>
      </c>
      <c r="UM5" s="31" t="s">
        <v>34</v>
      </c>
      <c r="UN5" s="31" t="s">
        <v>190</v>
      </c>
      <c r="UO5" s="31" t="s">
        <v>84</v>
      </c>
      <c r="UP5" s="31" t="s">
        <v>60</v>
      </c>
      <c r="UQ5" s="31" t="s">
        <v>84</v>
      </c>
      <c r="UR5" s="31" t="s">
        <v>724</v>
      </c>
      <c r="US5" s="31" t="s">
        <v>84</v>
      </c>
      <c r="UT5" s="31" t="s">
        <v>22</v>
      </c>
      <c r="UU5" s="31" t="s">
        <v>190</v>
      </c>
      <c r="UV5" s="31" t="s">
        <v>38</v>
      </c>
      <c r="UW5" s="31" t="s">
        <v>68</v>
      </c>
      <c r="UX5" s="31" t="s">
        <v>38</v>
      </c>
      <c r="UY5" s="31" t="s">
        <v>60</v>
      </c>
      <c r="UZ5" s="31" t="s">
        <v>15</v>
      </c>
      <c r="VA5" s="31" t="s">
        <v>84</v>
      </c>
      <c r="VB5" s="31" t="s">
        <v>84</v>
      </c>
      <c r="VC5" s="31" t="s">
        <v>38</v>
      </c>
      <c r="VD5" s="31" t="s">
        <v>84</v>
      </c>
      <c r="VE5" s="31" t="s">
        <v>38</v>
      </c>
      <c r="VF5" s="31" t="s">
        <v>38</v>
      </c>
      <c r="VG5" s="31" t="s">
        <v>34</v>
      </c>
      <c r="VH5" s="31" t="s">
        <v>38</v>
      </c>
      <c r="VI5" s="31" t="s">
        <v>34</v>
      </c>
      <c r="VJ5" s="31" t="s">
        <v>22</v>
      </c>
      <c r="VK5" s="31" t="s">
        <v>22</v>
      </c>
      <c r="VL5" s="31" t="s">
        <v>38</v>
      </c>
      <c r="VM5" s="31" t="s">
        <v>190</v>
      </c>
      <c r="VN5" s="31" t="s">
        <v>15</v>
      </c>
      <c r="VO5" s="31" t="s">
        <v>38</v>
      </c>
      <c r="VP5" s="31" t="s">
        <v>60</v>
      </c>
      <c r="VQ5" s="31" t="s">
        <v>166</v>
      </c>
      <c r="VR5" s="31" t="s">
        <v>190</v>
      </c>
      <c r="VS5" s="31" t="s">
        <v>38</v>
      </c>
      <c r="VT5" s="31" t="s">
        <v>38</v>
      </c>
      <c r="VU5" s="31" t="s">
        <v>38</v>
      </c>
      <c r="VV5" s="31" t="s">
        <v>34</v>
      </c>
      <c r="VW5" s="31" t="s">
        <v>38</v>
      </c>
      <c r="VX5" s="31" t="s">
        <v>38</v>
      </c>
      <c r="VY5" s="31" t="s">
        <v>84</v>
      </c>
      <c r="VZ5" s="31" t="s">
        <v>22</v>
      </c>
      <c r="WA5" s="31" t="s">
        <v>38</v>
      </c>
      <c r="WB5" s="31" t="s">
        <v>34</v>
      </c>
      <c r="WC5" s="31" t="s">
        <v>38</v>
      </c>
      <c r="WD5" s="31" t="s">
        <v>38</v>
      </c>
      <c r="WE5" s="31" t="s">
        <v>38</v>
      </c>
      <c r="WF5" s="31" t="s">
        <v>22</v>
      </c>
      <c r="WG5" s="31" t="s">
        <v>45</v>
      </c>
      <c r="WH5" s="31" t="s">
        <v>190</v>
      </c>
      <c r="WI5" s="31" t="s">
        <v>15</v>
      </c>
      <c r="WJ5" s="31" t="s">
        <v>38</v>
      </c>
      <c r="WK5" s="31" t="s">
        <v>22</v>
      </c>
      <c r="WL5" s="31" t="s">
        <v>364</v>
      </c>
      <c r="WM5" s="31" t="s">
        <v>190</v>
      </c>
      <c r="WN5" s="31" t="s">
        <v>34</v>
      </c>
      <c r="WO5" s="31" t="s">
        <v>49</v>
      </c>
      <c r="WP5" s="31" t="s">
        <v>15</v>
      </c>
      <c r="WQ5" s="31" t="s">
        <v>15</v>
      </c>
      <c r="WR5" s="31" t="s">
        <v>38</v>
      </c>
      <c r="WS5" s="31" t="s">
        <v>22</v>
      </c>
      <c r="WT5" s="31" t="s">
        <v>38</v>
      </c>
      <c r="WU5" s="31" t="s">
        <v>190</v>
      </c>
      <c r="WV5" s="31" t="s">
        <v>38</v>
      </c>
      <c r="WW5" s="31" t="s">
        <v>190</v>
      </c>
      <c r="WX5" s="31" t="s">
        <v>15</v>
      </c>
      <c r="WY5" s="31" t="s">
        <v>190</v>
      </c>
      <c r="WZ5" s="31" t="s">
        <v>190</v>
      </c>
      <c r="XA5" s="31" t="s">
        <v>38</v>
      </c>
      <c r="XB5" s="31" t="s">
        <v>84</v>
      </c>
      <c r="XC5" s="31" t="s">
        <v>84</v>
      </c>
      <c r="XD5" s="31" t="s">
        <v>190</v>
      </c>
      <c r="XE5" s="31" t="s">
        <v>38</v>
      </c>
      <c r="XF5" s="31" t="s">
        <v>190</v>
      </c>
      <c r="XG5" s="31" t="s">
        <v>364</v>
      </c>
      <c r="XH5" s="31" t="s">
        <v>22</v>
      </c>
      <c r="XI5" s="31" t="s">
        <v>68</v>
      </c>
      <c r="XJ5" s="31" t="s">
        <v>636</v>
      </c>
      <c r="XK5" s="31" t="s">
        <v>38</v>
      </c>
      <c r="XL5" s="31" t="s">
        <v>38</v>
      </c>
      <c r="XM5" s="31" t="s">
        <v>38</v>
      </c>
      <c r="XN5" s="31" t="s">
        <v>38</v>
      </c>
      <c r="XO5" s="31" t="s">
        <v>38</v>
      </c>
      <c r="XP5" s="31" t="s">
        <v>22</v>
      </c>
      <c r="XQ5" s="31" t="s">
        <v>38</v>
      </c>
      <c r="XR5" s="31" t="s">
        <v>38</v>
      </c>
      <c r="XS5" s="31" t="s">
        <v>38</v>
      </c>
      <c r="XT5" s="31" t="s">
        <v>190</v>
      </c>
      <c r="XU5" s="31" t="s">
        <v>68</v>
      </c>
      <c r="XV5" s="31" t="s">
        <v>190</v>
      </c>
      <c r="XW5" s="31" t="s">
        <v>45</v>
      </c>
      <c r="XX5" s="31" t="s">
        <v>697</v>
      </c>
      <c r="XY5" s="31" t="s">
        <v>38</v>
      </c>
      <c r="XZ5" s="31" t="s">
        <v>724</v>
      </c>
      <c r="YA5" s="31" t="s">
        <v>636</v>
      </c>
      <c r="YB5" s="31" t="s">
        <v>38</v>
      </c>
      <c r="YC5" s="31" t="s">
        <v>22</v>
      </c>
      <c r="YD5" s="31" t="s">
        <v>84</v>
      </c>
      <c r="YE5" s="31" t="s">
        <v>68</v>
      </c>
      <c r="YF5" s="31" t="s">
        <v>190</v>
      </c>
      <c r="YG5" s="31" t="s">
        <v>38</v>
      </c>
      <c r="YH5" s="31" t="s">
        <v>49</v>
      </c>
      <c r="YI5" s="31" t="s">
        <v>190</v>
      </c>
      <c r="YJ5" s="31" t="s">
        <v>15</v>
      </c>
      <c r="YK5" s="31" t="s">
        <v>697</v>
      </c>
      <c r="YL5" s="31" t="s">
        <v>190</v>
      </c>
      <c r="YM5" s="31" t="s">
        <v>84</v>
      </c>
      <c r="YN5" s="31" t="s">
        <v>68</v>
      </c>
      <c r="YO5" s="31" t="s">
        <v>38</v>
      </c>
      <c r="YP5" s="31" t="s">
        <v>22</v>
      </c>
      <c r="YQ5" s="31" t="s">
        <v>45</v>
      </c>
      <c r="YR5" s="31" t="s">
        <v>84</v>
      </c>
      <c r="YS5" s="31" t="s">
        <v>190</v>
      </c>
      <c r="YT5" s="31" t="s">
        <v>150</v>
      </c>
      <c r="YU5" s="31" t="s">
        <v>190</v>
      </c>
      <c r="YV5" s="31" t="s">
        <v>38</v>
      </c>
      <c r="YW5" s="31" t="s">
        <v>621</v>
      </c>
      <c r="YX5" s="31" t="s">
        <v>38</v>
      </c>
      <c r="YY5" s="31" t="s">
        <v>621</v>
      </c>
      <c r="YZ5" s="31" t="s">
        <v>150</v>
      </c>
      <c r="ZA5" s="31" t="s">
        <v>621</v>
      </c>
      <c r="ZB5" s="31" t="s">
        <v>38</v>
      </c>
      <c r="ZC5" s="31" t="s">
        <v>150</v>
      </c>
      <c r="ZD5" s="31" t="s">
        <v>68</v>
      </c>
      <c r="ZE5" s="31" t="s">
        <v>190</v>
      </c>
      <c r="ZF5" s="31" t="s">
        <v>150</v>
      </c>
      <c r="ZG5" s="31" t="s">
        <v>60</v>
      </c>
      <c r="ZH5" s="31" t="s">
        <v>150</v>
      </c>
      <c r="ZI5" s="31" t="s">
        <v>621</v>
      </c>
      <c r="ZJ5" s="31" t="s">
        <v>84</v>
      </c>
      <c r="ZK5" s="31" t="s">
        <v>636</v>
      </c>
      <c r="ZL5" s="31" t="s">
        <v>636</v>
      </c>
      <c r="ZM5" s="31" t="s">
        <v>150</v>
      </c>
      <c r="ZN5" s="31" t="s">
        <v>84</v>
      </c>
      <c r="ZO5" s="31" t="s">
        <v>34</v>
      </c>
      <c r="ZP5" s="31" t="s">
        <v>621</v>
      </c>
      <c r="ZQ5" s="31" t="s">
        <v>166</v>
      </c>
      <c r="ZR5" s="31" t="s">
        <v>360</v>
      </c>
      <c r="ZS5" s="31" t="s">
        <v>190</v>
      </c>
      <c r="ZT5" s="31" t="s">
        <v>190</v>
      </c>
      <c r="ZU5" s="31" t="s">
        <v>636</v>
      </c>
      <c r="ZV5" s="31" t="s">
        <v>38</v>
      </c>
      <c r="ZW5" s="31" t="s">
        <v>38</v>
      </c>
      <c r="ZX5" s="31" t="s">
        <v>150</v>
      </c>
      <c r="ZY5" s="31" t="s">
        <v>49</v>
      </c>
      <c r="ZZ5" s="31" t="s">
        <v>38</v>
      </c>
      <c r="AAA5" s="31" t="s">
        <v>60</v>
      </c>
      <c r="AAB5" s="31" t="s">
        <v>150</v>
      </c>
      <c r="AAC5" s="31" t="s">
        <v>45</v>
      </c>
      <c r="AAD5" s="31" t="s">
        <v>68</v>
      </c>
      <c r="AAE5" s="31" t="s">
        <v>364</v>
      </c>
      <c r="AAF5" s="31" t="s">
        <v>636</v>
      </c>
      <c r="AAG5" s="31" t="s">
        <v>45</v>
      </c>
      <c r="AAH5" s="31" t="s">
        <v>636</v>
      </c>
      <c r="AAI5" s="31" t="s">
        <v>245</v>
      </c>
      <c r="AAJ5" s="31" t="s">
        <v>360</v>
      </c>
      <c r="AAK5" s="31" t="s">
        <v>38</v>
      </c>
      <c r="AAL5" s="31" t="s">
        <v>60</v>
      </c>
      <c r="AAM5" s="31" t="s">
        <v>68</v>
      </c>
      <c r="AAN5" s="31" t="s">
        <v>45</v>
      </c>
      <c r="AAO5" s="31" t="s">
        <v>245</v>
      </c>
      <c r="AAP5" s="31" t="s">
        <v>190</v>
      </c>
      <c r="AAQ5" s="31" t="s">
        <v>636</v>
      </c>
      <c r="AAR5" s="31" t="s">
        <v>245</v>
      </c>
      <c r="AAS5" s="31" t="s">
        <v>60</v>
      </c>
      <c r="AAT5" s="31" t="s">
        <v>245</v>
      </c>
      <c r="AAU5" s="31" t="s">
        <v>68</v>
      </c>
      <c r="AAV5" s="31" t="s">
        <v>15</v>
      </c>
      <c r="AAW5" s="31" t="s">
        <v>45</v>
      </c>
      <c r="AAX5" s="31" t="s">
        <v>38</v>
      </c>
      <c r="AAY5" s="31" t="s">
        <v>190</v>
      </c>
      <c r="AAZ5" s="31" t="s">
        <v>60</v>
      </c>
      <c r="ABA5" s="31" t="s">
        <v>84</v>
      </c>
      <c r="ABB5" s="31" t="s">
        <v>697</v>
      </c>
      <c r="ABC5" s="31" t="s">
        <v>636</v>
      </c>
      <c r="ABD5" s="31" t="s">
        <v>15</v>
      </c>
      <c r="ABE5" s="31" t="s">
        <v>84</v>
      </c>
      <c r="ABF5" s="31" t="s">
        <v>190</v>
      </c>
      <c r="ABG5" s="31" t="s">
        <v>360</v>
      </c>
      <c r="ABH5" s="31" t="s">
        <v>52</v>
      </c>
      <c r="ABI5" s="31" t="s">
        <v>190</v>
      </c>
      <c r="ABJ5" s="31" t="s">
        <v>636</v>
      </c>
      <c r="ABK5" s="31" t="s">
        <v>360</v>
      </c>
      <c r="ABL5" s="31" t="s">
        <v>636</v>
      </c>
      <c r="ABM5" s="31" t="s">
        <v>636</v>
      </c>
      <c r="ABN5" s="31" t="s">
        <v>636</v>
      </c>
      <c r="ABO5" s="31" t="s">
        <v>60</v>
      </c>
      <c r="ABP5" s="31" t="s">
        <v>15</v>
      </c>
      <c r="ABQ5" s="31" t="s">
        <v>190</v>
      </c>
      <c r="ABR5" s="31" t="s">
        <v>190</v>
      </c>
      <c r="ABS5" s="31" t="s">
        <v>360</v>
      </c>
      <c r="ABT5" s="31" t="s">
        <v>60</v>
      </c>
      <c r="ABU5" s="31" t="s">
        <v>636</v>
      </c>
      <c r="ABV5" s="31" t="s">
        <v>636</v>
      </c>
      <c r="ABW5" s="31" t="s">
        <v>60</v>
      </c>
      <c r="ABX5" s="31" t="s">
        <v>190</v>
      </c>
      <c r="ABY5" s="31" t="s">
        <v>15</v>
      </c>
      <c r="ABZ5" s="31" t="s">
        <v>84</v>
      </c>
      <c r="ACA5" s="31" t="s">
        <v>60</v>
      </c>
      <c r="ACB5" s="31" t="s">
        <v>15</v>
      </c>
      <c r="ACC5" s="31" t="s">
        <v>636</v>
      </c>
      <c r="ACD5" s="31" t="s">
        <v>45</v>
      </c>
      <c r="ACE5" s="31" t="s">
        <v>45</v>
      </c>
      <c r="ACF5" s="31" t="s">
        <v>190</v>
      </c>
      <c r="ACG5" s="31" t="s">
        <v>38</v>
      </c>
      <c r="ACH5" s="31" t="s">
        <v>190</v>
      </c>
      <c r="ACI5" s="31" t="s">
        <v>34</v>
      </c>
      <c r="ACJ5" s="31" t="s">
        <v>52</v>
      </c>
      <c r="ACK5" s="31" t="s">
        <v>60</v>
      </c>
      <c r="ACL5" s="31" t="s">
        <v>190</v>
      </c>
      <c r="ACM5" s="31" t="s">
        <v>68</v>
      </c>
      <c r="ACN5" s="31" t="s">
        <v>68</v>
      </c>
      <c r="ACO5" s="31" t="s">
        <v>45</v>
      </c>
      <c r="ACP5" s="31" t="s">
        <v>38</v>
      </c>
      <c r="ACQ5" s="31" t="s">
        <v>49</v>
      </c>
      <c r="ACR5" s="31" t="s">
        <v>15</v>
      </c>
      <c r="ACS5" s="31" t="s">
        <v>22</v>
      </c>
      <c r="ACT5" s="31" t="s">
        <v>22</v>
      </c>
      <c r="ACU5" s="31" t="s">
        <v>60</v>
      </c>
      <c r="ACV5" s="31" t="s">
        <v>60</v>
      </c>
      <c r="ACW5" s="31" t="s">
        <v>22</v>
      </c>
      <c r="ACX5" s="31" t="s">
        <v>49</v>
      </c>
      <c r="ACY5" s="31" t="s">
        <v>49</v>
      </c>
      <c r="ACZ5" s="31" t="s">
        <v>22</v>
      </c>
      <c r="ADA5" s="31" t="s">
        <v>60</v>
      </c>
      <c r="ADB5" s="31" t="s">
        <v>60</v>
      </c>
      <c r="ADC5" s="31" t="s">
        <v>15</v>
      </c>
      <c r="ADD5" s="31" t="s">
        <v>22</v>
      </c>
      <c r="ADE5" s="31" t="s">
        <v>60</v>
      </c>
      <c r="ADF5" s="31" t="s">
        <v>22</v>
      </c>
      <c r="ADG5" s="31" t="s">
        <v>22</v>
      </c>
      <c r="ADH5" s="31" t="s">
        <v>22</v>
      </c>
      <c r="ADI5" s="31" t="s">
        <v>22</v>
      </c>
      <c r="ADJ5" s="31" t="s">
        <v>38</v>
      </c>
      <c r="ADK5" s="31" t="s">
        <v>15</v>
      </c>
      <c r="ADL5" s="31" t="s">
        <v>15</v>
      </c>
      <c r="ADM5" s="31" t="s">
        <v>15</v>
      </c>
      <c r="ADN5" s="31" t="s">
        <v>190</v>
      </c>
      <c r="ADO5" s="31" t="s">
        <v>190</v>
      </c>
      <c r="ADP5" s="31" t="s">
        <v>190</v>
      </c>
      <c r="ADQ5" s="31" t="s">
        <v>150</v>
      </c>
      <c r="ADR5" s="31" t="s">
        <v>52</v>
      </c>
      <c r="ADS5" s="31" t="s">
        <v>38</v>
      </c>
      <c r="ADT5" s="31" t="s">
        <v>38</v>
      </c>
      <c r="ADU5" s="31" t="s">
        <v>166</v>
      </c>
      <c r="ADV5" s="31" t="s">
        <v>15</v>
      </c>
      <c r="ADW5" s="31" t="s">
        <v>38</v>
      </c>
      <c r="ADX5" s="31" t="s">
        <v>22</v>
      </c>
      <c r="ADY5" s="31" t="s">
        <v>49</v>
      </c>
      <c r="ADZ5" s="31" t="s">
        <v>22</v>
      </c>
      <c r="AEA5" s="31" t="s">
        <v>200</v>
      </c>
      <c r="AEB5" s="31" t="s">
        <v>15</v>
      </c>
      <c r="AEC5" s="31" t="s">
        <v>22</v>
      </c>
      <c r="AED5" s="31" t="s">
        <v>22</v>
      </c>
      <c r="AEE5" s="31" t="s">
        <v>22</v>
      </c>
      <c r="AEF5" s="31" t="s">
        <v>22</v>
      </c>
      <c r="AEG5" s="31" t="s">
        <v>117</v>
      </c>
      <c r="AEH5" s="31" t="s">
        <v>15</v>
      </c>
      <c r="AEI5" s="31" t="s">
        <v>22</v>
      </c>
      <c r="AEJ5" s="31" t="s">
        <v>22</v>
      </c>
      <c r="AEK5" s="31" t="s">
        <v>22</v>
      </c>
      <c r="AEL5" s="31" t="s">
        <v>49</v>
      </c>
      <c r="AEM5" s="31" t="s">
        <v>200</v>
      </c>
      <c r="AEN5" s="31" t="s">
        <v>22</v>
      </c>
      <c r="AEO5" s="31" t="s">
        <v>22</v>
      </c>
      <c r="AEP5" s="31" t="s">
        <v>22</v>
      </c>
      <c r="AEQ5" s="31" t="s">
        <v>84</v>
      </c>
      <c r="AER5" s="31" t="s">
        <v>45</v>
      </c>
      <c r="AES5" s="31" t="s">
        <v>621</v>
      </c>
      <c r="AET5" s="31" t="s">
        <v>22</v>
      </c>
      <c r="AEU5" s="31" t="s">
        <v>84</v>
      </c>
      <c r="AEV5" s="31" t="s">
        <v>84</v>
      </c>
      <c r="AEW5" s="31" t="s">
        <v>49</v>
      </c>
      <c r="AEX5" s="31" t="s">
        <v>49</v>
      </c>
      <c r="AEY5" s="31" t="s">
        <v>49</v>
      </c>
      <c r="AEZ5" s="31" t="s">
        <v>15</v>
      </c>
      <c r="AFA5" s="31" t="s">
        <v>166</v>
      </c>
      <c r="AFB5" s="31" t="s">
        <v>15</v>
      </c>
      <c r="AFC5" s="31" t="s">
        <v>49</v>
      </c>
      <c r="AFD5" s="31" t="s">
        <v>68</v>
      </c>
      <c r="AFE5" s="31" t="s">
        <v>150</v>
      </c>
      <c r="AFF5" s="31" t="s">
        <v>22</v>
      </c>
      <c r="AFG5" s="31" t="s">
        <v>22</v>
      </c>
      <c r="AFH5" s="31" t="s">
        <v>49</v>
      </c>
      <c r="AFI5" s="31" t="s">
        <v>22</v>
      </c>
      <c r="AFJ5" s="31" t="s">
        <v>49</v>
      </c>
      <c r="AFK5" s="31" t="s">
        <v>68</v>
      </c>
      <c r="AFL5" s="31" t="s">
        <v>22</v>
      </c>
      <c r="AFM5" s="31" t="s">
        <v>724</v>
      </c>
      <c r="AFN5" s="31" t="s">
        <v>38</v>
      </c>
      <c r="AFO5" s="31" t="s">
        <v>49</v>
      </c>
      <c r="AFP5" s="31" t="s">
        <v>360</v>
      </c>
      <c r="AFQ5" s="31" t="s">
        <v>22</v>
      </c>
      <c r="AFR5" s="31" t="s">
        <v>49</v>
      </c>
      <c r="AFS5" s="31" t="s">
        <v>22</v>
      </c>
      <c r="AFT5" s="31" t="s">
        <v>22</v>
      </c>
      <c r="AFU5" s="31" t="s">
        <v>22</v>
      </c>
      <c r="AFV5" s="31" t="s">
        <v>52</v>
      </c>
      <c r="AFW5" s="31" t="s">
        <v>52</v>
      </c>
      <c r="AFX5" s="31" t="s">
        <v>52</v>
      </c>
      <c r="AFY5" s="31" t="s">
        <v>520</v>
      </c>
      <c r="AFZ5" s="31" t="s">
        <v>22</v>
      </c>
      <c r="AGA5" s="31" t="s">
        <v>190</v>
      </c>
      <c r="AGB5" s="31" t="s">
        <v>22</v>
      </c>
      <c r="AGC5" s="31" t="s">
        <v>22</v>
      </c>
      <c r="AGD5" s="31" t="s">
        <v>22</v>
      </c>
      <c r="AGE5" s="31" t="s">
        <v>150</v>
      </c>
      <c r="AGF5" s="31" t="s">
        <v>22</v>
      </c>
      <c r="AGG5" s="31" t="s">
        <v>22</v>
      </c>
      <c r="AGH5" s="31" t="s">
        <v>49</v>
      </c>
      <c r="AGI5" s="31" t="s">
        <v>22</v>
      </c>
      <c r="AGJ5" s="31" t="s">
        <v>84</v>
      </c>
      <c r="AGK5" s="31" t="s">
        <v>84</v>
      </c>
      <c r="AGL5" s="31" t="s">
        <v>45</v>
      </c>
      <c r="AGM5" s="31" t="s">
        <v>245</v>
      </c>
      <c r="AGN5" s="31" t="s">
        <v>49</v>
      </c>
      <c r="AGO5" s="31" t="s">
        <v>166</v>
      </c>
      <c r="AGP5" s="31" t="s">
        <v>38</v>
      </c>
      <c r="AGQ5" s="31" t="s">
        <v>166</v>
      </c>
      <c r="AGR5" s="31" t="s">
        <v>245</v>
      </c>
      <c r="AGS5" s="31" t="s">
        <v>724</v>
      </c>
      <c r="AGT5" s="31" t="s">
        <v>166</v>
      </c>
      <c r="AGU5" s="31" t="s">
        <v>190</v>
      </c>
      <c r="AGV5" s="31" t="s">
        <v>38</v>
      </c>
      <c r="AGW5" s="31" t="s">
        <v>38</v>
      </c>
      <c r="AGX5" s="31" t="s">
        <v>150</v>
      </c>
      <c r="AGY5" s="31" t="s">
        <v>49</v>
      </c>
      <c r="AGZ5" s="31" t="s">
        <v>49</v>
      </c>
      <c r="AHA5" s="31" t="s">
        <v>60</v>
      </c>
      <c r="AHB5" s="31" t="s">
        <v>49</v>
      </c>
      <c r="AHC5" s="31" t="s">
        <v>22</v>
      </c>
      <c r="AHD5" s="31" t="s">
        <v>22</v>
      </c>
      <c r="AHE5" s="31" t="s">
        <v>200</v>
      </c>
      <c r="AHF5" s="31" t="s">
        <v>49</v>
      </c>
      <c r="AHG5" s="31" t="s">
        <v>200</v>
      </c>
      <c r="AHH5" s="31" t="s">
        <v>150</v>
      </c>
      <c r="AHI5" s="31" t="s">
        <v>45</v>
      </c>
      <c r="AHJ5" s="31" t="s">
        <v>360</v>
      </c>
      <c r="AHK5" s="31" t="s">
        <v>360</v>
      </c>
      <c r="AHL5" s="31" t="s">
        <v>360</v>
      </c>
      <c r="AHM5" s="31" t="s">
        <v>360</v>
      </c>
      <c r="AHN5" s="31" t="s">
        <v>22</v>
      </c>
      <c r="AHO5" s="31" t="s">
        <v>45</v>
      </c>
      <c r="AHP5" s="31" t="s">
        <v>360</v>
      </c>
      <c r="AHQ5" s="31" t="s">
        <v>45</v>
      </c>
      <c r="AHR5" s="31" t="s">
        <v>84</v>
      </c>
      <c r="AHS5" s="31" t="s">
        <v>84</v>
      </c>
      <c r="AHT5" s="31" t="s">
        <v>190</v>
      </c>
      <c r="AHU5" s="31" t="s">
        <v>364</v>
      </c>
      <c r="AHV5" s="31" t="s">
        <v>166</v>
      </c>
      <c r="AHW5" s="31" t="s">
        <v>166</v>
      </c>
      <c r="AHX5" s="31" t="s">
        <v>166</v>
      </c>
      <c r="AHY5" s="31" t="s">
        <v>166</v>
      </c>
      <c r="AHZ5" s="31" t="s">
        <v>22</v>
      </c>
      <c r="AIA5" s="31" t="s">
        <v>84</v>
      </c>
      <c r="AIB5" s="31" t="s">
        <v>22</v>
      </c>
      <c r="AIC5" s="31" t="s">
        <v>22</v>
      </c>
      <c r="AID5" s="31" t="s">
        <v>22</v>
      </c>
      <c r="AIE5" s="31" t="s">
        <v>52</v>
      </c>
      <c r="AIF5" s="31" t="s">
        <v>360</v>
      </c>
      <c r="AIG5" s="31" t="s">
        <v>360</v>
      </c>
      <c r="AIH5" s="31" t="s">
        <v>190</v>
      </c>
      <c r="AII5" s="31" t="s">
        <v>22</v>
      </c>
      <c r="AIJ5" s="31" t="s">
        <v>150</v>
      </c>
      <c r="AIK5" s="31" t="s">
        <v>84</v>
      </c>
      <c r="AIL5" s="31" t="s">
        <v>190</v>
      </c>
      <c r="AIM5" s="31" t="s">
        <v>45</v>
      </c>
      <c r="AIN5" s="31" t="s">
        <v>49</v>
      </c>
      <c r="AIO5" s="31" t="s">
        <v>49</v>
      </c>
      <c r="AIP5" s="31" t="s">
        <v>49</v>
      </c>
      <c r="AIQ5" s="31" t="s">
        <v>49</v>
      </c>
      <c r="AIR5" s="31" t="s">
        <v>49</v>
      </c>
      <c r="AIS5" s="31" t="s">
        <v>38</v>
      </c>
      <c r="AIT5" s="31" t="s">
        <v>38</v>
      </c>
      <c r="AIU5" s="31" t="s">
        <v>697</v>
      </c>
      <c r="AIV5" s="31" t="s">
        <v>38</v>
      </c>
      <c r="AIW5" s="31" t="s">
        <v>150</v>
      </c>
      <c r="AIX5" s="31" t="s">
        <v>190</v>
      </c>
      <c r="AIY5" s="31" t="s">
        <v>150</v>
      </c>
      <c r="AIZ5" s="31" t="s">
        <v>636</v>
      </c>
      <c r="AJA5" s="31" t="s">
        <v>38</v>
      </c>
      <c r="AJB5" s="31" t="s">
        <v>190</v>
      </c>
      <c r="AJC5" s="31" t="s">
        <v>190</v>
      </c>
      <c r="AJD5" s="31" t="s">
        <v>34</v>
      </c>
      <c r="AJE5" s="31" t="s">
        <v>190</v>
      </c>
      <c r="AJF5" s="31" t="s">
        <v>166</v>
      </c>
      <c r="AJG5" s="31" t="s">
        <v>84</v>
      </c>
      <c r="AJH5" s="31" t="s">
        <v>38</v>
      </c>
      <c r="AJI5" s="31" t="s">
        <v>52</v>
      </c>
      <c r="AJJ5" s="31" t="s">
        <v>60</v>
      </c>
      <c r="AJK5" s="31" t="s">
        <v>38</v>
      </c>
      <c r="AJL5" s="31" t="s">
        <v>49</v>
      </c>
      <c r="AJM5" s="31" t="s">
        <v>38</v>
      </c>
      <c r="AJN5" s="31" t="s">
        <v>38</v>
      </c>
      <c r="AJO5" s="31" t="s">
        <v>49</v>
      </c>
      <c r="AJP5" s="31" t="s">
        <v>38</v>
      </c>
      <c r="AJQ5" s="31" t="s">
        <v>84</v>
      </c>
      <c r="AJR5" s="31" t="s">
        <v>60</v>
      </c>
      <c r="AJS5" s="31" t="s">
        <v>150</v>
      </c>
      <c r="AJT5" s="31" t="s">
        <v>45</v>
      </c>
      <c r="AJU5" s="31" t="s">
        <v>360</v>
      </c>
      <c r="AJV5" s="31" t="s">
        <v>360</v>
      </c>
      <c r="AJW5" s="31" t="s">
        <v>15</v>
      </c>
      <c r="AJX5" s="31" t="s">
        <v>15</v>
      </c>
      <c r="AJY5" s="31" t="s">
        <v>360</v>
      </c>
      <c r="AJZ5" s="31" t="s">
        <v>360</v>
      </c>
      <c r="AKA5" s="31" t="s">
        <v>84</v>
      </c>
      <c r="AKB5" s="31" t="s">
        <v>150</v>
      </c>
      <c r="AKC5" s="31" t="s">
        <v>45</v>
      </c>
      <c r="AKD5" s="31" t="s">
        <v>15</v>
      </c>
      <c r="AKE5" s="31" t="s">
        <v>22</v>
      </c>
      <c r="AKF5" s="31" t="s">
        <v>22</v>
      </c>
      <c r="AKG5" s="31" t="s">
        <v>84</v>
      </c>
      <c r="AKH5" s="31" t="s">
        <v>190</v>
      </c>
      <c r="AKI5" s="31" t="s">
        <v>52</v>
      </c>
      <c r="AKJ5" s="31" t="s">
        <v>49</v>
      </c>
      <c r="AKK5" s="31" t="s">
        <v>49</v>
      </c>
      <c r="AKL5" s="31" t="s">
        <v>52</v>
      </c>
      <c r="AKM5" s="31" t="s">
        <v>38</v>
      </c>
      <c r="AKN5" s="31" t="s">
        <v>22</v>
      </c>
      <c r="AKO5" s="31" t="s">
        <v>22</v>
      </c>
      <c r="AKP5" s="31" t="s">
        <v>22</v>
      </c>
      <c r="AKQ5" s="31" t="s">
        <v>68</v>
      </c>
      <c r="AKR5" s="31" t="s">
        <v>84</v>
      </c>
      <c r="AKS5" s="31" t="s">
        <v>84</v>
      </c>
      <c r="AKT5" s="31" t="s">
        <v>22</v>
      </c>
      <c r="AKU5" s="31" t="s">
        <v>60</v>
      </c>
      <c r="AKV5" s="31" t="s">
        <v>38</v>
      </c>
      <c r="AKW5" s="31" t="s">
        <v>38</v>
      </c>
      <c r="AKX5" s="31" t="s">
        <v>49</v>
      </c>
      <c r="AKY5" s="31" t="s">
        <v>49</v>
      </c>
      <c r="AKZ5" s="31" t="s">
        <v>166</v>
      </c>
      <c r="ALA5" s="31" t="s">
        <v>22</v>
      </c>
      <c r="ALB5" s="31" t="s">
        <v>68</v>
      </c>
      <c r="ALC5" s="31" t="s">
        <v>22</v>
      </c>
      <c r="ALD5" s="31" t="s">
        <v>22</v>
      </c>
      <c r="ALE5" s="31" t="s">
        <v>364</v>
      </c>
      <c r="ALF5" s="31" t="s">
        <v>49</v>
      </c>
      <c r="ALG5" s="31" t="s">
        <v>84</v>
      </c>
      <c r="ALH5" s="31" t="s">
        <v>45</v>
      </c>
      <c r="ALI5" s="31" t="s">
        <v>84</v>
      </c>
      <c r="ALJ5" s="31" t="s">
        <v>22</v>
      </c>
      <c r="ALK5" s="31" t="s">
        <v>49</v>
      </c>
      <c r="ALL5" s="31" t="s">
        <v>52</v>
      </c>
      <c r="ALM5" s="31" t="s">
        <v>84</v>
      </c>
      <c r="ALN5" s="31" t="s">
        <v>15</v>
      </c>
      <c r="ALO5" s="31" t="s">
        <v>15</v>
      </c>
      <c r="ALP5" s="31" t="s">
        <v>45</v>
      </c>
      <c r="ALQ5" s="31" t="s">
        <v>150</v>
      </c>
      <c r="ALR5" s="31" t="s">
        <v>22</v>
      </c>
      <c r="ALS5" s="31" t="s">
        <v>15</v>
      </c>
      <c r="ALT5" s="31" t="s">
        <v>15</v>
      </c>
      <c r="ALU5" s="31" t="s">
        <v>575</v>
      </c>
      <c r="ALV5" s="31" t="s">
        <v>150</v>
      </c>
      <c r="ALW5" s="31" t="s">
        <v>84</v>
      </c>
      <c r="ALX5" s="31" t="s">
        <v>22</v>
      </c>
      <c r="ALY5" s="31" t="s">
        <v>15</v>
      </c>
      <c r="ALZ5" s="31" t="s">
        <v>38</v>
      </c>
      <c r="AMA5" s="31" t="s">
        <v>190</v>
      </c>
      <c r="AMB5" s="31" t="s">
        <v>38</v>
      </c>
      <c r="AMC5" s="31" t="s">
        <v>38</v>
      </c>
      <c r="AMD5" s="31" t="s">
        <v>38</v>
      </c>
      <c r="AME5" s="31" t="s">
        <v>22</v>
      </c>
      <c r="AMF5" s="31" t="s">
        <v>190</v>
      </c>
      <c r="AMG5" s="31" t="s">
        <v>34</v>
      </c>
      <c r="AMH5" s="31" t="s">
        <v>190</v>
      </c>
      <c r="AMI5" s="31" t="s">
        <v>150</v>
      </c>
      <c r="AMJ5" s="31" t="s">
        <v>190</v>
      </c>
      <c r="AMK5" s="31" t="s">
        <v>38</v>
      </c>
      <c r="AML5" s="31" t="s">
        <v>22</v>
      </c>
      <c r="AMM5" s="31" t="s">
        <v>49</v>
      </c>
      <c r="AMN5" s="31" t="s">
        <v>166</v>
      </c>
      <c r="AMO5" s="31" t="s">
        <v>84</v>
      </c>
      <c r="AMP5" s="31" t="s">
        <v>49</v>
      </c>
      <c r="AMQ5" s="31" t="s">
        <v>22</v>
      </c>
      <c r="AMR5" s="31" t="s">
        <v>49</v>
      </c>
      <c r="AMS5" s="31" t="s">
        <v>84</v>
      </c>
      <c r="AMT5" s="31" t="s">
        <v>49</v>
      </c>
      <c r="AMU5" s="31" t="s">
        <v>49</v>
      </c>
      <c r="AMV5" s="31" t="s">
        <v>68</v>
      </c>
      <c r="AMW5" s="31" t="s">
        <v>38</v>
      </c>
      <c r="AMX5" s="31" t="s">
        <v>22</v>
      </c>
      <c r="AMY5" s="31" t="s">
        <v>22</v>
      </c>
      <c r="AMZ5" s="31" t="s">
        <v>360</v>
      </c>
      <c r="ANA5" s="31" t="s">
        <v>22</v>
      </c>
      <c r="ANB5" s="31" t="s">
        <v>49</v>
      </c>
      <c r="ANC5" s="31" t="s">
        <v>190</v>
      </c>
      <c r="AND5" s="31" t="s">
        <v>15</v>
      </c>
      <c r="ANE5" s="31" t="s">
        <v>190</v>
      </c>
      <c r="ANF5" s="31" t="s">
        <v>38</v>
      </c>
      <c r="ANG5" s="31" t="s">
        <v>360</v>
      </c>
      <c r="ANH5" s="31" t="s">
        <v>360</v>
      </c>
      <c r="ANI5" s="31" t="s">
        <v>68</v>
      </c>
      <c r="ANJ5" s="31" t="s">
        <v>68</v>
      </c>
      <c r="ANK5" s="31" t="s">
        <v>38</v>
      </c>
      <c r="ANL5" s="31" t="s">
        <v>60</v>
      </c>
      <c r="ANM5" s="31" t="s">
        <v>190</v>
      </c>
      <c r="ANN5" s="31" t="s">
        <v>38</v>
      </c>
      <c r="ANO5" s="31" t="s">
        <v>60</v>
      </c>
      <c r="ANP5" s="31" t="s">
        <v>60</v>
      </c>
      <c r="ANQ5" s="31" t="s">
        <v>22</v>
      </c>
      <c r="ANR5" s="31" t="s">
        <v>38</v>
      </c>
      <c r="ANS5" s="31" t="s">
        <v>60</v>
      </c>
      <c r="ANT5" s="31" t="s">
        <v>52</v>
      </c>
      <c r="ANU5" s="31" t="s">
        <v>52</v>
      </c>
      <c r="ANV5" s="31" t="s">
        <v>49</v>
      </c>
      <c r="ANW5" s="31" t="s">
        <v>245</v>
      </c>
      <c r="ANX5" s="31" t="s">
        <v>15</v>
      </c>
      <c r="ANY5" s="31" t="s">
        <v>360</v>
      </c>
      <c r="ANZ5" s="31" t="s">
        <v>190</v>
      </c>
      <c r="AOA5" s="31" t="s">
        <v>190</v>
      </c>
      <c r="AOB5" s="31" t="s">
        <v>166</v>
      </c>
      <c r="AOC5" s="31" t="s">
        <v>150</v>
      </c>
      <c r="AOD5" s="31" t="s">
        <v>190</v>
      </c>
      <c r="AOE5" s="31" t="s">
        <v>190</v>
      </c>
      <c r="AOF5" s="31" t="s">
        <v>190</v>
      </c>
      <c r="AOG5" s="31" t="s">
        <v>38</v>
      </c>
      <c r="AOH5" s="31" t="s">
        <v>190</v>
      </c>
      <c r="AOI5" s="31" t="s">
        <v>49</v>
      </c>
      <c r="AOJ5" s="31" t="s">
        <v>84</v>
      </c>
    </row>
    <row r="6" spans="1:1076" x14ac:dyDescent="0.3">
      <c r="A6" s="47" t="s">
        <v>5</v>
      </c>
      <c r="B6" s="44" t="s">
        <v>655</v>
      </c>
      <c r="C6" s="31" t="s">
        <v>822</v>
      </c>
      <c r="D6" s="31" t="s">
        <v>844</v>
      </c>
      <c r="E6" s="31" t="s">
        <v>655</v>
      </c>
      <c r="F6" s="31" t="s">
        <v>655</v>
      </c>
      <c r="G6" s="31" t="s">
        <v>655</v>
      </c>
      <c r="H6" s="31" t="s">
        <v>655</v>
      </c>
      <c r="I6" s="31" t="s">
        <v>1204</v>
      </c>
      <c r="J6" s="31" t="s">
        <v>676</v>
      </c>
      <c r="K6" s="31" t="s">
        <v>887</v>
      </c>
      <c r="L6" s="31" t="s">
        <v>420</v>
      </c>
      <c r="M6" s="31" t="s">
        <v>436</v>
      </c>
      <c r="N6" s="31" t="s">
        <v>420</v>
      </c>
      <c r="O6" s="31" t="s">
        <v>1198</v>
      </c>
      <c r="P6" s="31" t="s">
        <v>1256</v>
      </c>
      <c r="Q6" s="31" t="s">
        <v>1256</v>
      </c>
      <c r="R6" s="31" t="s">
        <v>135</v>
      </c>
      <c r="S6" s="31" t="s">
        <v>135</v>
      </c>
      <c r="T6" s="31" t="s">
        <v>1570</v>
      </c>
      <c r="U6" s="31" t="s">
        <v>194</v>
      </c>
      <c r="V6" s="31" t="s">
        <v>194</v>
      </c>
      <c r="W6" s="31" t="s">
        <v>466</v>
      </c>
      <c r="X6" s="31" t="s">
        <v>1263</v>
      </c>
      <c r="Y6" s="31" t="s">
        <v>1267</v>
      </c>
      <c r="Z6" s="31" t="s">
        <v>1267</v>
      </c>
      <c r="AA6" s="31" t="s">
        <v>1267</v>
      </c>
      <c r="AB6" s="31" t="s">
        <v>1351</v>
      </c>
      <c r="AC6" s="31" t="s">
        <v>1353</v>
      </c>
      <c r="AD6" s="31" t="s">
        <v>1351</v>
      </c>
      <c r="AE6" s="31" t="s">
        <v>1351</v>
      </c>
      <c r="AF6" s="31" t="s">
        <v>1361</v>
      </c>
      <c r="AG6" s="31" t="s">
        <v>1394</v>
      </c>
      <c r="AH6" s="31" t="s">
        <v>1416</v>
      </c>
      <c r="AI6" s="31" t="s">
        <v>452</v>
      </c>
      <c r="AJ6" s="31" t="s">
        <v>74</v>
      </c>
      <c r="AK6" s="31" t="s">
        <v>507</v>
      </c>
      <c r="AL6" s="31" t="s">
        <v>1557</v>
      </c>
      <c r="AM6" s="31" t="s">
        <v>74</v>
      </c>
      <c r="AN6" s="31" t="s">
        <v>477</v>
      </c>
      <c r="AO6" s="31" t="s">
        <v>1242</v>
      </c>
      <c r="AP6" s="31" t="s">
        <v>1242</v>
      </c>
      <c r="AQ6" s="31" t="s">
        <v>1245</v>
      </c>
      <c r="AR6" s="31" t="s">
        <v>1247</v>
      </c>
      <c r="AS6" s="31" t="s">
        <v>1247</v>
      </c>
      <c r="AT6" s="31" t="s">
        <v>477</v>
      </c>
      <c r="AU6" s="31" t="s">
        <v>1256</v>
      </c>
      <c r="AV6" s="31" t="s">
        <v>1270</v>
      </c>
      <c r="AW6" s="31" t="s">
        <v>1270</v>
      </c>
      <c r="AX6" s="31" t="s">
        <v>1256</v>
      </c>
      <c r="AY6" s="31" t="s">
        <v>135</v>
      </c>
      <c r="AZ6" s="31" t="s">
        <v>1316</v>
      </c>
      <c r="BA6" s="31" t="s">
        <v>1316</v>
      </c>
      <c r="BB6" s="31" t="s">
        <v>1316</v>
      </c>
      <c r="BC6" s="31" t="s">
        <v>1253</v>
      </c>
      <c r="BD6" s="31" t="s">
        <v>1198</v>
      </c>
      <c r="BE6" s="31" t="s">
        <v>1300</v>
      </c>
      <c r="BF6" s="31" t="s">
        <v>1300</v>
      </c>
      <c r="BG6" s="31" t="s">
        <v>1044</v>
      </c>
      <c r="BH6" s="31" t="s">
        <v>1044</v>
      </c>
      <c r="BI6" s="31" t="s">
        <v>1044</v>
      </c>
      <c r="BJ6" s="31" t="s">
        <v>1044</v>
      </c>
      <c r="BK6" s="31" t="s">
        <v>516</v>
      </c>
      <c r="BL6" s="31" t="s">
        <v>516</v>
      </c>
      <c r="BM6" s="31" t="s">
        <v>516</v>
      </c>
      <c r="BN6" s="31" t="s">
        <v>1016</v>
      </c>
      <c r="BO6" s="31" t="s">
        <v>516</v>
      </c>
      <c r="BP6" s="31" t="s">
        <v>1328</v>
      </c>
      <c r="BQ6" s="31" t="s">
        <v>1328</v>
      </c>
      <c r="BR6" s="31" t="s">
        <v>1339</v>
      </c>
      <c r="BS6" s="31" t="s">
        <v>1343</v>
      </c>
      <c r="BT6" s="31" t="s">
        <v>1346</v>
      </c>
      <c r="BU6" s="31" t="s">
        <v>1348</v>
      </c>
      <c r="BV6" s="31" t="s">
        <v>1348</v>
      </c>
      <c r="BW6" s="31" t="s">
        <v>1016</v>
      </c>
      <c r="BX6" s="31" t="s">
        <v>27</v>
      </c>
      <c r="BY6" s="31" t="s">
        <v>27</v>
      </c>
      <c r="BZ6" s="31" t="s">
        <v>27</v>
      </c>
      <c r="CA6" s="31" t="s">
        <v>27</v>
      </c>
      <c r="CB6" s="31" t="s">
        <v>85</v>
      </c>
      <c r="CC6" s="31" t="s">
        <v>27</v>
      </c>
      <c r="CD6" s="31" t="s">
        <v>27</v>
      </c>
      <c r="CE6" s="31" t="s">
        <v>27</v>
      </c>
      <c r="CF6" s="31" t="s">
        <v>290</v>
      </c>
      <c r="CG6" s="31" t="s">
        <v>501</v>
      </c>
      <c r="CH6" s="31" t="s">
        <v>501</v>
      </c>
      <c r="CI6" s="31" t="s">
        <v>1378</v>
      </c>
      <c r="CJ6" s="31" t="s">
        <v>1382</v>
      </c>
      <c r="CK6" s="31" t="s">
        <v>1683</v>
      </c>
      <c r="CL6" s="31" t="s">
        <v>1688</v>
      </c>
      <c r="CM6" s="31" t="s">
        <v>1693</v>
      </c>
      <c r="CN6" s="31" t="s">
        <v>1306</v>
      </c>
      <c r="CO6" s="31" t="s">
        <v>1311</v>
      </c>
      <c r="CP6" s="31" t="s">
        <v>1306</v>
      </c>
      <c r="CQ6" s="31" t="s">
        <v>1306</v>
      </c>
      <c r="CR6" s="31" t="s">
        <v>53</v>
      </c>
      <c r="CS6" s="31" t="s">
        <v>77</v>
      </c>
      <c r="CT6" s="31" t="s">
        <v>85</v>
      </c>
      <c r="CU6" s="31" t="s">
        <v>105</v>
      </c>
      <c r="CV6" s="31" t="s">
        <v>113</v>
      </c>
      <c r="CW6" s="31" t="s">
        <v>121</v>
      </c>
      <c r="CX6" s="31" t="s">
        <v>148</v>
      </c>
      <c r="CY6" s="31" t="s">
        <v>176</v>
      </c>
      <c r="CZ6" s="31" t="s">
        <v>121</v>
      </c>
      <c r="DA6" s="31" t="s">
        <v>176</v>
      </c>
      <c r="DB6" s="31" t="s">
        <v>335</v>
      </c>
      <c r="DC6" s="31" t="s">
        <v>335</v>
      </c>
      <c r="DD6" s="31" t="s">
        <v>356</v>
      </c>
      <c r="DE6" s="31" t="s">
        <v>335</v>
      </c>
      <c r="DF6" s="31" t="s">
        <v>402</v>
      </c>
      <c r="DG6" s="31" t="s">
        <v>414</v>
      </c>
      <c r="DH6" s="31" t="s">
        <v>425</v>
      </c>
      <c r="DI6" s="31" t="s">
        <v>436</v>
      </c>
      <c r="DJ6" s="31" t="s">
        <v>445</v>
      </c>
      <c r="DK6" s="31" t="s">
        <v>445</v>
      </c>
      <c r="DL6" s="31" t="s">
        <v>445</v>
      </c>
      <c r="DM6" s="31" t="s">
        <v>356</v>
      </c>
      <c r="DN6" s="31" t="s">
        <v>462</v>
      </c>
      <c r="DO6" s="31" t="s">
        <v>471</v>
      </c>
      <c r="DP6" s="31" t="s">
        <v>474</v>
      </c>
      <c r="DQ6" s="31" t="s">
        <v>482</v>
      </c>
      <c r="DR6" s="31" t="s">
        <v>482</v>
      </c>
      <c r="DS6" s="31" t="s">
        <v>482</v>
      </c>
      <c r="DT6" s="31" t="s">
        <v>425</v>
      </c>
      <c r="DU6" s="31" t="s">
        <v>77</v>
      </c>
      <c r="DV6" s="31" t="s">
        <v>471</v>
      </c>
      <c r="DW6" s="31" t="s">
        <v>471</v>
      </c>
      <c r="DX6" s="31" t="s">
        <v>445</v>
      </c>
      <c r="DY6" s="31" t="s">
        <v>531</v>
      </c>
      <c r="DZ6" s="31" t="s">
        <v>224</v>
      </c>
      <c r="EA6" s="31" t="s">
        <v>53</v>
      </c>
      <c r="EB6" s="31" t="s">
        <v>81</v>
      </c>
      <c r="EC6" s="31" t="s">
        <v>53</v>
      </c>
      <c r="ED6" s="31" t="s">
        <v>53</v>
      </c>
      <c r="EE6" s="31" t="s">
        <v>626</v>
      </c>
      <c r="EF6" s="31" t="s">
        <v>637</v>
      </c>
      <c r="EG6" s="31" t="s">
        <v>641</v>
      </c>
      <c r="EH6" s="31" t="s">
        <v>253</v>
      </c>
      <c r="EI6" s="31" t="s">
        <v>253</v>
      </c>
      <c r="EJ6" s="31" t="s">
        <v>698</v>
      </c>
      <c r="EK6" s="31" t="s">
        <v>710</v>
      </c>
      <c r="EL6" s="31" t="s">
        <v>718</v>
      </c>
      <c r="EM6" s="31" t="s">
        <v>896</v>
      </c>
      <c r="EN6" s="31" t="s">
        <v>902</v>
      </c>
      <c r="EO6" s="31" t="s">
        <v>904</v>
      </c>
      <c r="EP6" s="31" t="s">
        <v>924</v>
      </c>
      <c r="EQ6" s="31" t="s">
        <v>402</v>
      </c>
      <c r="ER6" s="31" t="s">
        <v>964</v>
      </c>
      <c r="ES6" s="31" t="s">
        <v>924</v>
      </c>
      <c r="ET6" s="31" t="s">
        <v>1007</v>
      </c>
      <c r="EU6" s="31" t="s">
        <v>1010</v>
      </c>
      <c r="EV6" s="31" t="s">
        <v>1007</v>
      </c>
      <c r="EW6" s="31" t="s">
        <v>1032</v>
      </c>
      <c r="EX6" s="31" t="s">
        <v>1034</v>
      </c>
      <c r="EY6" s="31" t="s">
        <v>1052</v>
      </c>
      <c r="EZ6" s="31" t="s">
        <v>896</v>
      </c>
      <c r="FA6" s="31" t="s">
        <v>1052</v>
      </c>
      <c r="FB6" s="31" t="s">
        <v>1078</v>
      </c>
      <c r="FC6" s="31" t="s">
        <v>1052</v>
      </c>
      <c r="FD6" s="31" t="s">
        <v>1133</v>
      </c>
      <c r="FE6" s="31" t="s">
        <v>894</v>
      </c>
      <c r="FF6" s="31" t="s">
        <v>1150</v>
      </c>
      <c r="FG6" s="31" t="s">
        <v>224</v>
      </c>
      <c r="FH6" s="31" t="s">
        <v>1007</v>
      </c>
      <c r="FI6" s="31" t="s">
        <v>1066</v>
      </c>
      <c r="FJ6" s="31" t="s">
        <v>1220</v>
      </c>
      <c r="FK6" s="31" t="s">
        <v>1052</v>
      </c>
      <c r="FL6" s="31" t="s">
        <v>1145</v>
      </c>
      <c r="FM6" s="31" t="s">
        <v>1052</v>
      </c>
      <c r="FN6" s="31" t="s">
        <v>1235</v>
      </c>
      <c r="FO6" s="31" t="s">
        <v>904</v>
      </c>
      <c r="FP6" s="31" t="s">
        <v>1252</v>
      </c>
      <c r="FQ6" s="31" t="s">
        <v>1283</v>
      </c>
      <c r="FR6" s="31" t="s">
        <v>1365</v>
      </c>
      <c r="FS6" s="31" t="s">
        <v>1365</v>
      </c>
      <c r="FT6" s="31" t="s">
        <v>1370</v>
      </c>
      <c r="FU6" s="31" t="s">
        <v>1372</v>
      </c>
      <c r="FV6" s="31" t="s">
        <v>1372</v>
      </c>
      <c r="FW6" s="31" t="s">
        <v>1372</v>
      </c>
      <c r="FX6" s="31" t="s">
        <v>1372</v>
      </c>
      <c r="FY6" s="31" t="s">
        <v>445</v>
      </c>
      <c r="FZ6" s="31" t="s">
        <v>710</v>
      </c>
      <c r="GA6" s="31" t="s">
        <v>710</v>
      </c>
      <c r="GB6" s="31" t="s">
        <v>1391</v>
      </c>
      <c r="GC6" s="31" t="s">
        <v>445</v>
      </c>
      <c r="GD6" s="31" t="s">
        <v>445</v>
      </c>
      <c r="GE6" s="31" t="s">
        <v>1400</v>
      </c>
      <c r="GF6" s="31" t="s">
        <v>445</v>
      </c>
      <c r="GG6" s="31" t="s">
        <v>445</v>
      </c>
      <c r="GH6" s="31" t="s">
        <v>1445</v>
      </c>
      <c r="GI6" s="31" t="s">
        <v>1445</v>
      </c>
      <c r="GJ6" s="31" t="s">
        <v>1445</v>
      </c>
      <c r="GK6" s="31" t="s">
        <v>1445</v>
      </c>
      <c r="GL6" s="31" t="s">
        <v>154</v>
      </c>
      <c r="GM6" s="31" t="s">
        <v>154</v>
      </c>
      <c r="GN6" s="31" t="s">
        <v>1420</v>
      </c>
      <c r="GO6" s="31" t="s">
        <v>1007</v>
      </c>
      <c r="GP6" s="31" t="s">
        <v>1007</v>
      </c>
      <c r="GQ6" s="31" t="s">
        <v>1007</v>
      </c>
      <c r="GR6" s="31" t="s">
        <v>1007</v>
      </c>
      <c r="GS6" s="31" t="s">
        <v>968</v>
      </c>
      <c r="GT6" s="31" t="s">
        <v>1515</v>
      </c>
      <c r="GU6" s="31" t="s">
        <v>1519</v>
      </c>
      <c r="GV6" s="31" t="s">
        <v>1543</v>
      </c>
      <c r="GW6" s="31" t="s">
        <v>1555</v>
      </c>
      <c r="GX6" s="31" t="s">
        <v>1570</v>
      </c>
      <c r="GY6" s="31" t="s">
        <v>167</v>
      </c>
      <c r="GZ6" s="31" t="s">
        <v>1591</v>
      </c>
      <c r="HA6" s="31" t="s">
        <v>425</v>
      </c>
      <c r="HB6" s="31" t="s">
        <v>53</v>
      </c>
      <c r="HC6" s="31" t="s">
        <v>1650</v>
      </c>
      <c r="HD6" s="31" t="s">
        <v>1651</v>
      </c>
      <c r="HE6" s="31" t="s">
        <v>1653</v>
      </c>
      <c r="HF6" s="31" t="s">
        <v>1655</v>
      </c>
      <c r="HG6" s="31" t="s">
        <v>626</v>
      </c>
      <c r="HH6" s="31" t="s">
        <v>626</v>
      </c>
      <c r="HI6" s="31" t="s">
        <v>626</v>
      </c>
      <c r="HJ6" s="31" t="s">
        <v>626</v>
      </c>
      <c r="HK6" s="31" t="s">
        <v>160</v>
      </c>
      <c r="HL6" s="31" t="s">
        <v>1716</v>
      </c>
      <c r="HM6" s="31" t="s">
        <v>1716</v>
      </c>
      <c r="HN6" s="31" t="s">
        <v>1728</v>
      </c>
      <c r="HO6" s="31" t="s">
        <v>1733</v>
      </c>
      <c r="HP6" s="31" t="s">
        <v>1733</v>
      </c>
      <c r="HQ6" s="31" t="s">
        <v>1728</v>
      </c>
      <c r="HR6" s="31" t="s">
        <v>1728</v>
      </c>
      <c r="HS6" s="31" t="s">
        <v>1720</v>
      </c>
      <c r="HT6" s="31" t="s">
        <v>118</v>
      </c>
      <c r="HU6" s="31" t="s">
        <v>1774</v>
      </c>
      <c r="HV6" s="31" t="s">
        <v>1774</v>
      </c>
      <c r="HW6" s="31" t="s">
        <v>1777</v>
      </c>
      <c r="HX6" s="31" t="s">
        <v>1779</v>
      </c>
      <c r="HY6" s="31" t="s">
        <v>1779</v>
      </c>
      <c r="HZ6" s="31" t="s">
        <v>896</v>
      </c>
      <c r="IA6" s="31" t="s">
        <v>16</v>
      </c>
      <c r="IB6" s="31" t="s">
        <v>23</v>
      </c>
      <c r="IC6" s="31" t="s">
        <v>31</v>
      </c>
      <c r="ID6" s="31" t="s">
        <v>35</v>
      </c>
      <c r="IE6" s="31" t="s">
        <v>39</v>
      </c>
      <c r="IF6" s="31" t="s">
        <v>42</v>
      </c>
      <c r="IG6" s="31" t="s">
        <v>46</v>
      </c>
      <c r="IH6" s="31" t="s">
        <v>46</v>
      </c>
      <c r="II6" s="31" t="s">
        <v>57</v>
      </c>
      <c r="IJ6" s="31" t="s">
        <v>61</v>
      </c>
      <c r="IK6" s="31" t="s">
        <v>65</v>
      </c>
      <c r="IL6" s="31" t="s">
        <v>69</v>
      </c>
      <c r="IM6" s="31" t="s">
        <v>72</v>
      </c>
      <c r="IN6" s="31" t="s">
        <v>74</v>
      </c>
      <c r="IO6" s="31" t="s">
        <v>79</v>
      </c>
      <c r="IP6" s="31" t="s">
        <v>81</v>
      </c>
      <c r="IQ6" s="31" t="s">
        <v>65</v>
      </c>
      <c r="IR6" s="31" t="s">
        <v>88</v>
      </c>
      <c r="IS6" s="31" t="s">
        <v>46</v>
      </c>
      <c r="IT6" s="31" t="s">
        <v>92</v>
      </c>
      <c r="IU6" s="31" t="s">
        <v>23</v>
      </c>
      <c r="IV6" s="31" t="s">
        <v>23</v>
      </c>
      <c r="IW6" s="31" t="s">
        <v>96</v>
      </c>
      <c r="IX6" s="31" t="s">
        <v>99</v>
      </c>
      <c r="IY6" s="31" t="s">
        <v>102</v>
      </c>
      <c r="IZ6" s="31" t="s">
        <v>107</v>
      </c>
      <c r="JA6" s="31" t="s">
        <v>16</v>
      </c>
      <c r="JB6" s="31" t="s">
        <v>110</v>
      </c>
      <c r="JC6" s="31" t="s">
        <v>115</v>
      </c>
      <c r="JD6" s="31" t="s">
        <v>118</v>
      </c>
      <c r="JE6" s="31" t="s">
        <v>123</v>
      </c>
      <c r="JF6" s="31" t="s">
        <v>65</v>
      </c>
      <c r="JG6" s="31" t="s">
        <v>127</v>
      </c>
      <c r="JH6" s="31" t="s">
        <v>74</v>
      </c>
      <c r="JI6" s="31" t="s">
        <v>132</v>
      </c>
      <c r="JJ6" s="31" t="s">
        <v>135</v>
      </c>
      <c r="JK6" s="31" t="s">
        <v>135</v>
      </c>
      <c r="JL6" s="31" t="s">
        <v>139</v>
      </c>
      <c r="JM6" s="31" t="s">
        <v>142</v>
      </c>
      <c r="JN6" s="31" t="s">
        <v>139</v>
      </c>
      <c r="JO6" s="31" t="s">
        <v>139</v>
      </c>
      <c r="JP6" s="31" t="s">
        <v>115</v>
      </c>
      <c r="JQ6" s="31" t="s">
        <v>151</v>
      </c>
      <c r="JR6" s="31" t="s">
        <v>154</v>
      </c>
      <c r="JS6" s="31" t="s">
        <v>157</v>
      </c>
      <c r="JT6" s="31" t="s">
        <v>160</v>
      </c>
      <c r="JU6" s="31" t="s">
        <v>163</v>
      </c>
      <c r="JV6" s="31" t="s">
        <v>167</v>
      </c>
      <c r="JW6" s="31" t="s">
        <v>102</v>
      </c>
      <c r="JX6" s="31" t="s">
        <v>173</v>
      </c>
      <c r="JY6" s="31" t="s">
        <v>16</v>
      </c>
      <c r="JZ6" s="31" t="s">
        <v>35</v>
      </c>
      <c r="KA6" s="31" t="s">
        <v>181</v>
      </c>
      <c r="KB6" s="31" t="s">
        <v>160</v>
      </c>
      <c r="KC6" s="31" t="s">
        <v>127</v>
      </c>
      <c r="KD6" s="31" t="s">
        <v>160</v>
      </c>
      <c r="KE6" s="31" t="s">
        <v>35</v>
      </c>
      <c r="KF6" s="31" t="s">
        <v>167</v>
      </c>
      <c r="KG6" s="31" t="s">
        <v>160</v>
      </c>
      <c r="KH6" s="31" t="s">
        <v>201</v>
      </c>
      <c r="KI6" s="31" t="s">
        <v>201</v>
      </c>
      <c r="KJ6" s="31" t="s">
        <v>92</v>
      </c>
      <c r="KK6" s="31" t="s">
        <v>167</v>
      </c>
      <c r="KL6" s="31" t="s">
        <v>208</v>
      </c>
      <c r="KM6" s="31" t="s">
        <v>118</v>
      </c>
      <c r="KN6" s="31" t="s">
        <v>110</v>
      </c>
      <c r="KO6" s="31" t="s">
        <v>208</v>
      </c>
      <c r="KP6" s="31" t="s">
        <v>57</v>
      </c>
      <c r="KQ6" s="31" t="s">
        <v>151</v>
      </c>
      <c r="KR6" s="31" t="s">
        <v>157</v>
      </c>
      <c r="KS6" s="31" t="s">
        <v>39</v>
      </c>
      <c r="KT6" s="31" t="s">
        <v>220</v>
      </c>
      <c r="KU6" s="31" t="s">
        <v>222</v>
      </c>
      <c r="KV6" s="31" t="s">
        <v>224</v>
      </c>
      <c r="KW6" s="31" t="s">
        <v>118</v>
      </c>
      <c r="KX6" s="31" t="s">
        <v>113</v>
      </c>
      <c r="KY6" s="31" t="s">
        <v>16</v>
      </c>
      <c r="KZ6" s="31" t="s">
        <v>123</v>
      </c>
      <c r="LA6" s="31" t="s">
        <v>31</v>
      </c>
      <c r="LB6" s="31" t="s">
        <v>31</v>
      </c>
      <c r="LC6" s="31" t="s">
        <v>46</v>
      </c>
      <c r="LD6" s="31" t="s">
        <v>69</v>
      </c>
      <c r="LE6" s="31" t="s">
        <v>237</v>
      </c>
      <c r="LF6" s="31" t="s">
        <v>239</v>
      </c>
      <c r="LG6" s="31" t="s">
        <v>242</v>
      </c>
      <c r="LH6" s="31" t="s">
        <v>246</v>
      </c>
      <c r="LI6" s="31" t="s">
        <v>224</v>
      </c>
      <c r="LJ6" s="31" t="s">
        <v>237</v>
      </c>
      <c r="LK6" s="31" t="s">
        <v>251</v>
      </c>
      <c r="LL6" s="31" t="s">
        <v>253</v>
      </c>
      <c r="LM6" s="31" t="s">
        <v>35</v>
      </c>
      <c r="LN6" s="31" t="s">
        <v>256</v>
      </c>
      <c r="LO6" s="31" t="s">
        <v>57</v>
      </c>
      <c r="LP6" s="31" t="s">
        <v>81</v>
      </c>
      <c r="LQ6" s="31" t="s">
        <v>96</v>
      </c>
      <c r="LR6" s="31" t="s">
        <v>263</v>
      </c>
      <c r="LS6" s="31" t="s">
        <v>263</v>
      </c>
      <c r="LT6" s="31" t="s">
        <v>118</v>
      </c>
      <c r="LU6" s="31" t="s">
        <v>16</v>
      </c>
      <c r="LV6" s="31" t="s">
        <v>268</v>
      </c>
      <c r="LW6" s="31" t="s">
        <v>115</v>
      </c>
      <c r="LX6" s="31" t="s">
        <v>272</v>
      </c>
      <c r="LY6" s="31" t="s">
        <v>263</v>
      </c>
      <c r="LZ6" s="31" t="s">
        <v>275</v>
      </c>
      <c r="MA6" s="31" t="s">
        <v>220</v>
      </c>
      <c r="MB6" s="31" t="s">
        <v>107</v>
      </c>
      <c r="MC6" s="31" t="s">
        <v>282</v>
      </c>
      <c r="MD6" s="31" t="s">
        <v>163</v>
      </c>
      <c r="ME6" s="31" t="s">
        <v>285</v>
      </c>
      <c r="MF6" s="31" t="s">
        <v>287</v>
      </c>
      <c r="MG6" s="31" t="s">
        <v>290</v>
      </c>
      <c r="MH6" s="31" t="s">
        <v>291</v>
      </c>
      <c r="MI6" s="31" t="s">
        <v>293</v>
      </c>
      <c r="MJ6" s="31" t="s">
        <v>88</v>
      </c>
      <c r="MK6" s="31" t="s">
        <v>297</v>
      </c>
      <c r="ML6" s="31" t="s">
        <v>297</v>
      </c>
      <c r="MM6" s="31" t="s">
        <v>297</v>
      </c>
      <c r="MN6" s="31" t="s">
        <v>297</v>
      </c>
      <c r="MO6" s="31" t="s">
        <v>302</v>
      </c>
      <c r="MP6" s="31" t="s">
        <v>268</v>
      </c>
      <c r="MQ6" s="31" t="s">
        <v>307</v>
      </c>
      <c r="MR6" s="31" t="s">
        <v>302</v>
      </c>
      <c r="MS6" s="31" t="s">
        <v>285</v>
      </c>
      <c r="MT6" s="31" t="s">
        <v>311</v>
      </c>
      <c r="MU6" s="31" t="s">
        <v>167</v>
      </c>
      <c r="MV6" s="31" t="s">
        <v>42</v>
      </c>
      <c r="MW6" s="31" t="s">
        <v>253</v>
      </c>
      <c r="MX6" s="31" t="s">
        <v>318</v>
      </c>
      <c r="MY6" s="31" t="s">
        <v>16</v>
      </c>
      <c r="MZ6" s="31" t="s">
        <v>256</v>
      </c>
      <c r="NA6" s="31" t="s">
        <v>322</v>
      </c>
      <c r="NB6" s="31" t="s">
        <v>275</v>
      </c>
      <c r="NC6" s="31" t="s">
        <v>325</v>
      </c>
      <c r="ND6" s="31" t="s">
        <v>79</v>
      </c>
      <c r="NE6" s="31" t="s">
        <v>102</v>
      </c>
      <c r="NF6" s="31" t="s">
        <v>246</v>
      </c>
      <c r="NG6" s="31" t="s">
        <v>318</v>
      </c>
      <c r="NH6" s="31" t="s">
        <v>57</v>
      </c>
      <c r="NI6" s="31" t="s">
        <v>57</v>
      </c>
      <c r="NJ6" s="31" t="s">
        <v>338</v>
      </c>
      <c r="NK6" s="31" t="s">
        <v>341</v>
      </c>
      <c r="NL6" s="31" t="s">
        <v>343</v>
      </c>
      <c r="NM6" s="31" t="s">
        <v>345</v>
      </c>
      <c r="NN6" s="31" t="s">
        <v>348</v>
      </c>
      <c r="NO6" s="31" t="s">
        <v>201</v>
      </c>
      <c r="NP6" s="31" t="s">
        <v>88</v>
      </c>
      <c r="NQ6" s="31" t="s">
        <v>352</v>
      </c>
      <c r="NR6" s="31" t="s">
        <v>354</v>
      </c>
      <c r="NS6" s="31" t="s">
        <v>92</v>
      </c>
      <c r="NT6" s="31" t="s">
        <v>361</v>
      </c>
      <c r="NU6" s="31" t="s">
        <v>311</v>
      </c>
      <c r="NV6" s="31" t="s">
        <v>268</v>
      </c>
      <c r="NW6" s="31" t="s">
        <v>208</v>
      </c>
      <c r="NX6" s="31" t="s">
        <v>370</v>
      </c>
      <c r="NY6" s="31" t="s">
        <v>373</v>
      </c>
      <c r="NZ6" s="31" t="s">
        <v>16</v>
      </c>
      <c r="OA6" s="31" t="s">
        <v>160</v>
      </c>
      <c r="OB6" s="31" t="s">
        <v>208</v>
      </c>
      <c r="OC6" s="31" t="s">
        <v>335</v>
      </c>
      <c r="OD6" s="31" t="s">
        <v>381</v>
      </c>
      <c r="OE6" s="31" t="s">
        <v>383</v>
      </c>
      <c r="OF6" s="31" t="s">
        <v>386</v>
      </c>
      <c r="OG6" s="31" t="s">
        <v>370</v>
      </c>
      <c r="OH6" s="31" t="s">
        <v>290</v>
      </c>
      <c r="OI6" s="31" t="s">
        <v>167</v>
      </c>
      <c r="OJ6" s="31" t="s">
        <v>246</v>
      </c>
      <c r="OK6" s="31" t="s">
        <v>220</v>
      </c>
      <c r="OL6" s="31" t="s">
        <v>16</v>
      </c>
      <c r="OM6" s="31" t="s">
        <v>239</v>
      </c>
      <c r="ON6" s="31" t="s">
        <v>220</v>
      </c>
      <c r="OO6" s="31" t="s">
        <v>397</v>
      </c>
      <c r="OP6" s="31" t="s">
        <v>398</v>
      </c>
      <c r="OQ6" s="31" t="s">
        <v>345</v>
      </c>
      <c r="OR6" s="31" t="s">
        <v>405</v>
      </c>
      <c r="OS6" s="31" t="s">
        <v>407</v>
      </c>
      <c r="OT6" s="31" t="s">
        <v>16</v>
      </c>
      <c r="OU6" s="31" t="s">
        <v>57</v>
      </c>
      <c r="OV6" s="31" t="s">
        <v>386</v>
      </c>
      <c r="OW6" s="31" t="s">
        <v>397</v>
      </c>
      <c r="OX6" s="31" t="s">
        <v>167</v>
      </c>
      <c r="OY6" s="31" t="s">
        <v>35</v>
      </c>
      <c r="OZ6" s="31" t="s">
        <v>311</v>
      </c>
      <c r="PA6" s="31" t="s">
        <v>102</v>
      </c>
      <c r="PB6" s="31" t="s">
        <v>224</v>
      </c>
      <c r="PC6" s="31" t="s">
        <v>88</v>
      </c>
      <c r="PD6" s="31" t="s">
        <v>88</v>
      </c>
      <c r="PE6" s="31" t="s">
        <v>436</v>
      </c>
      <c r="PF6" s="31" t="s">
        <v>436</v>
      </c>
      <c r="PG6" s="31" t="s">
        <v>436</v>
      </c>
      <c r="PH6" s="31" t="s">
        <v>370</v>
      </c>
      <c r="PI6" s="31" t="s">
        <v>311</v>
      </c>
      <c r="PJ6" s="31" t="s">
        <v>381</v>
      </c>
      <c r="PK6" s="31" t="s">
        <v>139</v>
      </c>
      <c r="PL6" s="31" t="s">
        <v>16</v>
      </c>
      <c r="PM6" s="31" t="s">
        <v>356</v>
      </c>
      <c r="PN6" s="31" t="s">
        <v>160</v>
      </c>
      <c r="PO6" s="31" t="s">
        <v>302</v>
      </c>
      <c r="PP6" s="31" t="s">
        <v>290</v>
      </c>
      <c r="PQ6" s="31" t="s">
        <v>488</v>
      </c>
      <c r="PR6" s="31" t="s">
        <v>311</v>
      </c>
      <c r="PS6" s="31" t="s">
        <v>35</v>
      </c>
      <c r="PT6" s="31" t="s">
        <v>493</v>
      </c>
      <c r="PU6" s="31" t="s">
        <v>31</v>
      </c>
      <c r="PV6" s="31" t="s">
        <v>79</v>
      </c>
      <c r="PW6" s="31" t="s">
        <v>482</v>
      </c>
      <c r="PX6" s="31" t="s">
        <v>302</v>
      </c>
      <c r="PY6" s="31" t="s">
        <v>513</v>
      </c>
      <c r="PZ6" s="31" t="s">
        <v>521</v>
      </c>
      <c r="QA6" s="31" t="s">
        <v>16</v>
      </c>
      <c r="QB6" s="31" t="s">
        <v>46</v>
      </c>
      <c r="QC6" s="31" t="s">
        <v>537</v>
      </c>
      <c r="QD6" s="31" t="s">
        <v>539</v>
      </c>
      <c r="QE6" s="31" t="s">
        <v>31</v>
      </c>
      <c r="QF6" s="31" t="s">
        <v>542</v>
      </c>
      <c r="QG6" s="31" t="s">
        <v>69</v>
      </c>
      <c r="QH6" s="31" t="s">
        <v>546</v>
      </c>
      <c r="QI6" s="31" t="s">
        <v>548</v>
      </c>
      <c r="QJ6" s="31" t="s">
        <v>79</v>
      </c>
      <c r="QK6" s="31" t="s">
        <v>552</v>
      </c>
      <c r="QL6" s="31" t="s">
        <v>554</v>
      </c>
      <c r="QM6" s="31" t="s">
        <v>556</v>
      </c>
      <c r="QN6" s="31" t="s">
        <v>69</v>
      </c>
      <c r="QO6" s="31" t="s">
        <v>561</v>
      </c>
      <c r="QP6" s="31" t="s">
        <v>563</v>
      </c>
      <c r="QQ6" s="31" t="s">
        <v>113</v>
      </c>
      <c r="QR6" s="31" t="s">
        <v>291</v>
      </c>
      <c r="QS6" s="31" t="s">
        <v>567</v>
      </c>
      <c r="QT6" s="31" t="s">
        <v>341</v>
      </c>
      <c r="QU6" s="31" t="s">
        <v>79</v>
      </c>
      <c r="QV6" s="31" t="s">
        <v>573</v>
      </c>
      <c r="QW6" s="31" t="s">
        <v>576</v>
      </c>
      <c r="QX6" s="31" t="s">
        <v>546</v>
      </c>
      <c r="QY6" s="31" t="s">
        <v>579</v>
      </c>
      <c r="QZ6" s="31" t="s">
        <v>581</v>
      </c>
      <c r="RA6" s="31" t="s">
        <v>92</v>
      </c>
      <c r="RB6" s="31" t="s">
        <v>46</v>
      </c>
      <c r="RC6" s="31" t="s">
        <v>586</v>
      </c>
      <c r="RD6" s="31" t="s">
        <v>576</v>
      </c>
      <c r="RE6" s="31" t="s">
        <v>72</v>
      </c>
      <c r="RF6" s="31" t="s">
        <v>592</v>
      </c>
      <c r="RG6" s="31" t="s">
        <v>561</v>
      </c>
      <c r="RH6" s="31" t="s">
        <v>287</v>
      </c>
      <c r="RI6" s="31" t="s">
        <v>596</v>
      </c>
      <c r="RJ6" s="31" t="s">
        <v>599</v>
      </c>
      <c r="RK6" s="31" t="s">
        <v>601</v>
      </c>
      <c r="RL6" s="31" t="s">
        <v>79</v>
      </c>
      <c r="RM6" s="31" t="s">
        <v>606</v>
      </c>
      <c r="RN6" s="31" t="s">
        <v>608</v>
      </c>
      <c r="RO6" s="31" t="s">
        <v>610</v>
      </c>
      <c r="RP6" s="31" t="s">
        <v>612</v>
      </c>
      <c r="RQ6" s="31" t="s">
        <v>556</v>
      </c>
      <c r="RR6" s="31" t="s">
        <v>615</v>
      </c>
      <c r="RS6" s="31" t="s">
        <v>35</v>
      </c>
      <c r="RT6" s="31" t="s">
        <v>619</v>
      </c>
      <c r="RU6" s="31" t="s">
        <v>46</v>
      </c>
      <c r="RV6" s="31" t="s">
        <v>123</v>
      </c>
      <c r="RW6" s="31" t="s">
        <v>142</v>
      </c>
      <c r="RX6" s="31" t="s">
        <v>624</v>
      </c>
      <c r="RY6" s="31" t="s">
        <v>118</v>
      </c>
      <c r="RZ6" s="31" t="s">
        <v>287</v>
      </c>
      <c r="SA6" s="31" t="s">
        <v>79</v>
      </c>
      <c r="SB6" s="31" t="s">
        <v>631</v>
      </c>
      <c r="SC6" s="31" t="s">
        <v>633</v>
      </c>
      <c r="SD6" s="31" t="s">
        <v>579</v>
      </c>
      <c r="SE6" s="31" t="s">
        <v>610</v>
      </c>
      <c r="SF6" s="31" t="s">
        <v>644</v>
      </c>
      <c r="SG6" s="31" t="s">
        <v>647</v>
      </c>
      <c r="SH6" s="31" t="s">
        <v>118</v>
      </c>
      <c r="SI6" s="31" t="s">
        <v>619</v>
      </c>
      <c r="SJ6" s="31" t="s">
        <v>652</v>
      </c>
      <c r="SK6" s="31" t="s">
        <v>599</v>
      </c>
      <c r="SL6" s="31" t="s">
        <v>579</v>
      </c>
      <c r="SM6" s="31" t="s">
        <v>660</v>
      </c>
      <c r="SN6" s="31" t="s">
        <v>72</v>
      </c>
      <c r="SO6" s="31" t="s">
        <v>664</v>
      </c>
      <c r="SP6" s="31" t="s">
        <v>667</v>
      </c>
      <c r="SQ6" s="31" t="s">
        <v>644</v>
      </c>
      <c r="SR6" s="31" t="s">
        <v>670</v>
      </c>
      <c r="SS6" s="31" t="s">
        <v>46</v>
      </c>
      <c r="ST6" s="31" t="s">
        <v>237</v>
      </c>
      <c r="SU6" s="31" t="s">
        <v>619</v>
      </c>
      <c r="SV6" s="31" t="s">
        <v>680</v>
      </c>
      <c r="SW6" s="31" t="s">
        <v>683</v>
      </c>
      <c r="SX6" s="31" t="s">
        <v>160</v>
      </c>
      <c r="SY6" s="31" t="s">
        <v>686</v>
      </c>
      <c r="SZ6" s="31" t="s">
        <v>688</v>
      </c>
      <c r="TA6" s="31" t="s">
        <v>118</v>
      </c>
      <c r="TB6" s="31" t="s">
        <v>664</v>
      </c>
      <c r="TC6" s="31" t="s">
        <v>57</v>
      </c>
      <c r="TD6" s="31" t="s">
        <v>599</v>
      </c>
      <c r="TE6" s="31" t="s">
        <v>694</v>
      </c>
      <c r="TF6" s="31" t="s">
        <v>680</v>
      </c>
      <c r="TG6" s="31" t="s">
        <v>664</v>
      </c>
      <c r="TH6" s="31" t="s">
        <v>123</v>
      </c>
      <c r="TI6" s="31" t="s">
        <v>703</v>
      </c>
      <c r="TJ6" s="31" t="s">
        <v>599</v>
      </c>
      <c r="TK6" s="31" t="s">
        <v>706</v>
      </c>
      <c r="TL6" s="31" t="s">
        <v>708</v>
      </c>
      <c r="TM6" s="31" t="s">
        <v>16</v>
      </c>
      <c r="TN6" s="31" t="s">
        <v>74</v>
      </c>
      <c r="TO6" s="31" t="s">
        <v>39</v>
      </c>
      <c r="TP6" s="31" t="s">
        <v>715</v>
      </c>
      <c r="TQ6" s="31" t="s">
        <v>720</v>
      </c>
      <c r="TR6" s="31" t="s">
        <v>722</v>
      </c>
      <c r="TS6" s="31" t="s">
        <v>725</v>
      </c>
      <c r="TT6" s="31" t="s">
        <v>118</v>
      </c>
      <c r="TU6" s="31" t="s">
        <v>39</v>
      </c>
      <c r="TV6" s="31" t="s">
        <v>729</v>
      </c>
      <c r="TW6" s="31" t="s">
        <v>731</v>
      </c>
      <c r="TX6" s="31" t="s">
        <v>599</v>
      </c>
      <c r="TY6" s="31" t="s">
        <v>735</v>
      </c>
      <c r="TZ6" s="31" t="s">
        <v>737</v>
      </c>
      <c r="UA6" s="31" t="s">
        <v>739</v>
      </c>
      <c r="UB6" s="31" t="s">
        <v>683</v>
      </c>
      <c r="UC6" s="31" t="s">
        <v>743</v>
      </c>
      <c r="UD6" s="31" t="s">
        <v>731</v>
      </c>
      <c r="UE6" s="31" t="s">
        <v>720</v>
      </c>
      <c r="UF6" s="31" t="s">
        <v>749</v>
      </c>
      <c r="UG6" s="31" t="s">
        <v>703</v>
      </c>
      <c r="UH6" s="31" t="s">
        <v>77</v>
      </c>
      <c r="UI6" s="31" t="s">
        <v>754</v>
      </c>
      <c r="UJ6" s="31" t="s">
        <v>121</v>
      </c>
      <c r="UK6" s="31" t="s">
        <v>759</v>
      </c>
      <c r="UL6" s="31" t="s">
        <v>761</v>
      </c>
      <c r="UM6" s="31" t="s">
        <v>763</v>
      </c>
      <c r="UN6" s="31" t="s">
        <v>766</v>
      </c>
      <c r="UO6" s="31" t="s">
        <v>768</v>
      </c>
      <c r="UP6" s="31" t="s">
        <v>770</v>
      </c>
      <c r="UQ6" s="31" t="s">
        <v>772</v>
      </c>
      <c r="UR6" s="31" t="s">
        <v>121</v>
      </c>
      <c r="US6" s="31" t="s">
        <v>272</v>
      </c>
      <c r="UT6" s="31" t="s">
        <v>81</v>
      </c>
      <c r="UU6" s="31" t="s">
        <v>778</v>
      </c>
      <c r="UV6" s="31" t="s">
        <v>781</v>
      </c>
      <c r="UW6" s="31" t="s">
        <v>783</v>
      </c>
      <c r="UX6" s="31" t="s">
        <v>785</v>
      </c>
      <c r="UY6" s="31" t="s">
        <v>722</v>
      </c>
      <c r="UZ6" s="31" t="s">
        <v>16</v>
      </c>
      <c r="VA6" s="31" t="s">
        <v>766</v>
      </c>
      <c r="VB6" s="31" t="s">
        <v>791</v>
      </c>
      <c r="VC6" s="31" t="s">
        <v>92</v>
      </c>
      <c r="VD6" s="31" t="s">
        <v>167</v>
      </c>
      <c r="VE6" s="31" t="s">
        <v>796</v>
      </c>
      <c r="VF6" s="31" t="s">
        <v>798</v>
      </c>
      <c r="VG6" s="31" t="s">
        <v>800</v>
      </c>
      <c r="VH6" s="31" t="s">
        <v>121</v>
      </c>
      <c r="VI6" s="31" t="s">
        <v>803</v>
      </c>
      <c r="VJ6" s="31" t="s">
        <v>805</v>
      </c>
      <c r="VK6" s="31" t="s">
        <v>81</v>
      </c>
      <c r="VL6" s="31" t="s">
        <v>808</v>
      </c>
      <c r="VM6" s="31" t="s">
        <v>107</v>
      </c>
      <c r="VN6" s="31" t="s">
        <v>683</v>
      </c>
      <c r="VO6" s="31" t="s">
        <v>370</v>
      </c>
      <c r="VP6" s="31" t="s">
        <v>770</v>
      </c>
      <c r="VQ6" s="31" t="s">
        <v>791</v>
      </c>
      <c r="VR6" s="31" t="s">
        <v>815</v>
      </c>
      <c r="VS6" s="31" t="s">
        <v>817</v>
      </c>
      <c r="VT6" s="31" t="s">
        <v>820</v>
      </c>
      <c r="VU6" s="31" t="s">
        <v>824</v>
      </c>
      <c r="VV6" s="31" t="s">
        <v>826</v>
      </c>
      <c r="VW6" s="31" t="s">
        <v>81</v>
      </c>
      <c r="VX6" s="31" t="s">
        <v>397</v>
      </c>
      <c r="VY6" s="31" t="s">
        <v>761</v>
      </c>
      <c r="VZ6" s="31" t="s">
        <v>297</v>
      </c>
      <c r="WA6" s="31" t="s">
        <v>815</v>
      </c>
      <c r="WB6" s="31" t="s">
        <v>833</v>
      </c>
      <c r="WC6" s="31" t="s">
        <v>836</v>
      </c>
      <c r="WD6" s="31" t="s">
        <v>839</v>
      </c>
      <c r="WE6" s="31" t="s">
        <v>655</v>
      </c>
      <c r="WF6" s="31" t="s">
        <v>297</v>
      </c>
      <c r="WG6" s="31" t="s">
        <v>791</v>
      </c>
      <c r="WH6" s="31" t="s">
        <v>848</v>
      </c>
      <c r="WI6" s="31" t="s">
        <v>850</v>
      </c>
      <c r="WJ6" s="31" t="s">
        <v>852</v>
      </c>
      <c r="WK6" s="31" t="s">
        <v>854</v>
      </c>
      <c r="WL6" s="31" t="s">
        <v>856</v>
      </c>
      <c r="WM6" s="31" t="s">
        <v>16</v>
      </c>
      <c r="WN6" s="31" t="s">
        <v>759</v>
      </c>
      <c r="WO6" s="31" t="s">
        <v>118</v>
      </c>
      <c r="WP6" s="31" t="s">
        <v>862</v>
      </c>
      <c r="WQ6" s="31" t="s">
        <v>88</v>
      </c>
      <c r="WR6" s="31" t="s">
        <v>817</v>
      </c>
      <c r="WS6" s="31" t="s">
        <v>866</v>
      </c>
      <c r="WT6" s="31" t="s">
        <v>868</v>
      </c>
      <c r="WU6" s="31" t="s">
        <v>848</v>
      </c>
      <c r="WV6" s="31" t="s">
        <v>871</v>
      </c>
      <c r="WW6" s="31" t="s">
        <v>836</v>
      </c>
      <c r="WX6" s="31" t="s">
        <v>57</v>
      </c>
      <c r="WY6" s="31" t="s">
        <v>875</v>
      </c>
      <c r="WZ6" s="31" t="s">
        <v>761</v>
      </c>
      <c r="XA6" s="31" t="s">
        <v>817</v>
      </c>
      <c r="XB6" s="31" t="s">
        <v>839</v>
      </c>
      <c r="XC6" s="31" t="s">
        <v>311</v>
      </c>
      <c r="XD6" s="31" t="s">
        <v>856</v>
      </c>
      <c r="XE6" s="31" t="s">
        <v>759</v>
      </c>
      <c r="XF6" s="31" t="s">
        <v>883</v>
      </c>
      <c r="XG6" s="31" t="s">
        <v>856</v>
      </c>
      <c r="XH6" s="31" t="s">
        <v>890</v>
      </c>
      <c r="XI6" s="31" t="s">
        <v>892</v>
      </c>
      <c r="XJ6" s="31" t="s">
        <v>894</v>
      </c>
      <c r="XK6" s="31" t="s">
        <v>898</v>
      </c>
      <c r="XL6" s="31" t="s">
        <v>900</v>
      </c>
      <c r="XM6" s="31" t="s">
        <v>907</v>
      </c>
      <c r="XN6" s="31" t="s">
        <v>909</v>
      </c>
      <c r="XO6" s="31" t="s">
        <v>796</v>
      </c>
      <c r="XP6" s="31" t="s">
        <v>912</v>
      </c>
      <c r="XQ6" s="31" t="s">
        <v>914</v>
      </c>
      <c r="XR6" s="31" t="s">
        <v>900</v>
      </c>
      <c r="XS6" s="31" t="s">
        <v>817</v>
      </c>
      <c r="XT6" s="31" t="s">
        <v>918</v>
      </c>
      <c r="XU6" s="31" t="s">
        <v>920</v>
      </c>
      <c r="XV6" s="31" t="s">
        <v>856</v>
      </c>
      <c r="XW6" s="31" t="s">
        <v>783</v>
      </c>
      <c r="XX6" s="31" t="s">
        <v>924</v>
      </c>
      <c r="XY6" s="31" t="s">
        <v>926</v>
      </c>
      <c r="XZ6" s="31" t="s">
        <v>928</v>
      </c>
      <c r="YA6" s="31" t="s">
        <v>931</v>
      </c>
      <c r="YB6" s="31" t="s">
        <v>817</v>
      </c>
      <c r="YC6" s="31" t="s">
        <v>934</v>
      </c>
      <c r="YD6" s="31" t="s">
        <v>936</v>
      </c>
      <c r="YE6" s="31" t="s">
        <v>938</v>
      </c>
      <c r="YF6" s="31" t="s">
        <v>943</v>
      </c>
      <c r="YG6" s="31" t="s">
        <v>900</v>
      </c>
      <c r="YH6" s="31" t="s">
        <v>16</v>
      </c>
      <c r="YI6" s="31" t="s">
        <v>839</v>
      </c>
      <c r="YJ6" s="31" t="s">
        <v>951</v>
      </c>
      <c r="YK6" s="31" t="s">
        <v>953</v>
      </c>
      <c r="YL6" s="31" t="s">
        <v>848</v>
      </c>
      <c r="YM6" s="31" t="s">
        <v>768</v>
      </c>
      <c r="YN6" s="31" t="s">
        <v>88</v>
      </c>
      <c r="YO6" s="31" t="s">
        <v>958</v>
      </c>
      <c r="YP6" s="31" t="s">
        <v>934</v>
      </c>
      <c r="YQ6" s="31" t="s">
        <v>961</v>
      </c>
      <c r="YR6" s="31" t="s">
        <v>16</v>
      </c>
      <c r="YS6" s="31" t="s">
        <v>966</v>
      </c>
      <c r="YT6" s="31" t="s">
        <v>968</v>
      </c>
      <c r="YU6" s="31" t="s">
        <v>970</v>
      </c>
      <c r="YV6" s="31" t="s">
        <v>973</v>
      </c>
      <c r="YW6" s="31" t="s">
        <v>398</v>
      </c>
      <c r="YX6" s="31" t="s">
        <v>973</v>
      </c>
      <c r="YY6" s="31" t="s">
        <v>977</v>
      </c>
      <c r="YZ6" s="31" t="s">
        <v>783</v>
      </c>
      <c r="ZA6" s="31" t="s">
        <v>961</v>
      </c>
      <c r="ZB6" s="31" t="s">
        <v>981</v>
      </c>
      <c r="ZC6" s="31" t="s">
        <v>983</v>
      </c>
      <c r="ZD6" s="31" t="s">
        <v>985</v>
      </c>
      <c r="ZE6" s="31" t="s">
        <v>139</v>
      </c>
      <c r="ZF6" s="31" t="s">
        <v>988</v>
      </c>
      <c r="ZG6" s="31" t="s">
        <v>992</v>
      </c>
      <c r="ZH6" s="31" t="s">
        <v>783</v>
      </c>
      <c r="ZI6" s="31" t="s">
        <v>995</v>
      </c>
      <c r="ZJ6" s="31" t="s">
        <v>997</v>
      </c>
      <c r="ZK6" s="31" t="s">
        <v>999</v>
      </c>
      <c r="ZL6" s="31" t="s">
        <v>833</v>
      </c>
      <c r="ZM6" s="31" t="s">
        <v>985</v>
      </c>
      <c r="ZN6" s="31" t="s">
        <v>1005</v>
      </c>
      <c r="ZO6" s="31" t="s">
        <v>958</v>
      </c>
      <c r="ZP6" s="31" t="s">
        <v>1013</v>
      </c>
      <c r="ZQ6" s="31" t="s">
        <v>988</v>
      </c>
      <c r="ZR6" s="31" t="s">
        <v>983</v>
      </c>
      <c r="ZS6" s="31" t="s">
        <v>1019</v>
      </c>
      <c r="ZT6" s="31" t="s">
        <v>1021</v>
      </c>
      <c r="ZU6" s="31" t="s">
        <v>1023</v>
      </c>
      <c r="ZV6" s="31" t="s">
        <v>1010</v>
      </c>
      <c r="ZW6" s="31" t="s">
        <v>1029</v>
      </c>
      <c r="ZX6" s="31" t="s">
        <v>951</v>
      </c>
      <c r="ZY6" s="31" t="s">
        <v>988</v>
      </c>
      <c r="ZZ6" s="31" t="s">
        <v>1037</v>
      </c>
      <c r="AAA6" s="31" t="s">
        <v>992</v>
      </c>
      <c r="AAB6" s="31" t="s">
        <v>1040</v>
      </c>
      <c r="AAC6" s="31" t="s">
        <v>981</v>
      </c>
      <c r="AAD6" s="31" t="s">
        <v>938</v>
      </c>
      <c r="AAE6" s="31" t="s">
        <v>1049</v>
      </c>
      <c r="AAF6" s="31" t="s">
        <v>348</v>
      </c>
      <c r="AAG6" s="31" t="s">
        <v>977</v>
      </c>
      <c r="AAH6" s="31" t="s">
        <v>1055</v>
      </c>
      <c r="AAI6" s="31" t="s">
        <v>1059</v>
      </c>
      <c r="AAJ6" s="31" t="s">
        <v>1061</v>
      </c>
      <c r="AAK6" s="31" t="s">
        <v>1063</v>
      </c>
      <c r="AAL6" s="31" t="s">
        <v>992</v>
      </c>
      <c r="AAM6" s="31" t="s">
        <v>1066</v>
      </c>
      <c r="AAN6" s="31" t="s">
        <v>1071</v>
      </c>
      <c r="AAO6" s="31" t="s">
        <v>1073</v>
      </c>
      <c r="AAP6" s="31" t="s">
        <v>1075</v>
      </c>
      <c r="AAQ6" s="31" t="s">
        <v>348</v>
      </c>
      <c r="AAR6" s="31" t="s">
        <v>1080</v>
      </c>
      <c r="AAS6" s="31" t="s">
        <v>992</v>
      </c>
      <c r="AAT6" s="31" t="s">
        <v>1007</v>
      </c>
      <c r="AAU6" s="31" t="s">
        <v>1066</v>
      </c>
      <c r="AAV6" s="31" t="s">
        <v>1071</v>
      </c>
      <c r="AAW6" s="31" t="s">
        <v>1091</v>
      </c>
      <c r="AAX6" s="31" t="s">
        <v>1073</v>
      </c>
      <c r="AAY6" s="31" t="s">
        <v>1094</v>
      </c>
      <c r="AAZ6" s="31" t="s">
        <v>992</v>
      </c>
      <c r="ABA6" s="31" t="s">
        <v>1066</v>
      </c>
      <c r="ABB6" s="31" t="s">
        <v>1098</v>
      </c>
      <c r="ABC6" s="31" t="s">
        <v>1023</v>
      </c>
      <c r="ABD6" s="31" t="s">
        <v>1016</v>
      </c>
      <c r="ABE6" s="31" t="s">
        <v>1066</v>
      </c>
      <c r="ABF6" s="31" t="s">
        <v>1105</v>
      </c>
      <c r="ABG6" s="31" t="s">
        <v>1108</v>
      </c>
      <c r="ABH6" s="31" t="s">
        <v>1110</v>
      </c>
      <c r="ABI6" s="31" t="s">
        <v>1112</v>
      </c>
      <c r="ABJ6" s="31" t="s">
        <v>1114</v>
      </c>
      <c r="ABK6" s="31" t="s">
        <v>1061</v>
      </c>
      <c r="ABL6" s="31" t="s">
        <v>1117</v>
      </c>
      <c r="ABM6" s="31" t="s">
        <v>1120</v>
      </c>
      <c r="ABN6" s="31" t="s">
        <v>1059</v>
      </c>
      <c r="ABO6" s="31" t="s">
        <v>1123</v>
      </c>
      <c r="ABP6" s="31" t="s">
        <v>1016</v>
      </c>
      <c r="ABQ6" s="31" t="s">
        <v>1126</v>
      </c>
      <c r="ABR6" s="31" t="s">
        <v>1120</v>
      </c>
      <c r="ABS6" s="31" t="s">
        <v>1129</v>
      </c>
      <c r="ABT6" s="31" t="s">
        <v>1123</v>
      </c>
      <c r="ABU6" s="31" t="s">
        <v>1099</v>
      </c>
      <c r="ABV6" s="31" t="s">
        <v>1135</v>
      </c>
      <c r="ABW6" s="31" t="s">
        <v>1123</v>
      </c>
      <c r="ABX6" s="31" t="s">
        <v>1139</v>
      </c>
      <c r="ABY6" s="31" t="s">
        <v>894</v>
      </c>
      <c r="ABZ6" s="31" t="s">
        <v>1066</v>
      </c>
      <c r="ACA6" s="31" t="s">
        <v>1123</v>
      </c>
      <c r="ACB6" s="31" t="s">
        <v>1145</v>
      </c>
      <c r="ACC6" s="31" t="s">
        <v>1117</v>
      </c>
      <c r="ACD6" s="31" t="s">
        <v>1148</v>
      </c>
      <c r="ACE6" s="31" t="s">
        <v>1150</v>
      </c>
      <c r="ACF6" s="31" t="s">
        <v>1152</v>
      </c>
      <c r="ACG6" s="31" t="s">
        <v>1154</v>
      </c>
      <c r="ACH6" s="31" t="s">
        <v>1061</v>
      </c>
      <c r="ACI6" s="31" t="s">
        <v>1158</v>
      </c>
      <c r="ACJ6" s="31" t="s">
        <v>1158</v>
      </c>
      <c r="ACK6" s="31" t="s">
        <v>1162</v>
      </c>
      <c r="ACL6" s="31" t="s">
        <v>1164</v>
      </c>
      <c r="ACM6" s="31" t="s">
        <v>1166</v>
      </c>
      <c r="ACN6" s="31" t="s">
        <v>1168</v>
      </c>
      <c r="ACO6" s="31" t="s">
        <v>1073</v>
      </c>
      <c r="ACP6" s="31" t="s">
        <v>1154</v>
      </c>
      <c r="ACQ6" s="31" t="s">
        <v>132</v>
      </c>
      <c r="ACR6" s="31" t="s">
        <v>1174</v>
      </c>
      <c r="ACS6" s="31" t="s">
        <v>1176</v>
      </c>
      <c r="ACT6" s="31" t="s">
        <v>341</v>
      </c>
      <c r="ACU6" s="31" t="s">
        <v>556</v>
      </c>
      <c r="ACV6" s="31" t="s">
        <v>142</v>
      </c>
      <c r="ACW6" s="31" t="s">
        <v>1182</v>
      </c>
      <c r="ACX6" s="31" t="s">
        <v>69</v>
      </c>
      <c r="ACY6" s="31" t="s">
        <v>160</v>
      </c>
      <c r="ACZ6" s="31" t="s">
        <v>542</v>
      </c>
      <c r="ADA6" s="31" t="s">
        <v>644</v>
      </c>
      <c r="ADB6" s="31" t="s">
        <v>1188</v>
      </c>
      <c r="ADC6" s="31" t="s">
        <v>610</v>
      </c>
      <c r="ADD6" s="31" t="s">
        <v>291</v>
      </c>
      <c r="ADE6" s="31" t="s">
        <v>1192</v>
      </c>
      <c r="ADF6" s="31" t="s">
        <v>1194</v>
      </c>
      <c r="ADG6" s="31" t="s">
        <v>1196</v>
      </c>
      <c r="ADH6" s="31" t="s">
        <v>31</v>
      </c>
      <c r="ADI6" s="31" t="s">
        <v>1202</v>
      </c>
      <c r="ADJ6" s="31" t="s">
        <v>686</v>
      </c>
      <c r="ADK6" s="31" t="s">
        <v>1152</v>
      </c>
      <c r="ADL6" s="31" t="s">
        <v>1152</v>
      </c>
      <c r="ADM6" s="31" t="s">
        <v>1152</v>
      </c>
      <c r="ADN6" s="31" t="s">
        <v>1212</v>
      </c>
      <c r="ADO6" s="31" t="s">
        <v>894</v>
      </c>
      <c r="ADP6" s="31" t="s">
        <v>1218</v>
      </c>
      <c r="ADQ6" s="31" t="s">
        <v>1223</v>
      </c>
      <c r="ADR6" s="31" t="s">
        <v>1225</v>
      </c>
      <c r="ADS6" s="31" t="s">
        <v>1225</v>
      </c>
      <c r="ADT6" s="31" t="s">
        <v>1013</v>
      </c>
      <c r="ADU6" s="31" t="s">
        <v>1158</v>
      </c>
      <c r="ADV6" s="31" t="s">
        <v>1240</v>
      </c>
      <c r="ADW6" s="31" t="s">
        <v>900</v>
      </c>
      <c r="ADX6" s="31" t="s">
        <v>1259</v>
      </c>
      <c r="ADY6" s="31" t="s">
        <v>1261</v>
      </c>
      <c r="ADZ6" s="31" t="s">
        <v>1259</v>
      </c>
      <c r="AEA6" s="31" t="s">
        <v>743</v>
      </c>
      <c r="AEB6" s="31" t="s">
        <v>96</v>
      </c>
      <c r="AEC6" s="31" t="s">
        <v>856</v>
      </c>
      <c r="AED6" s="31" t="s">
        <v>1277</v>
      </c>
      <c r="AEE6" s="31" t="s">
        <v>1279</v>
      </c>
      <c r="AEF6" s="31" t="s">
        <v>1267</v>
      </c>
      <c r="AEG6" s="31" t="s">
        <v>1267</v>
      </c>
      <c r="AEH6" s="31" t="s">
        <v>1267</v>
      </c>
      <c r="AEI6" s="31" t="s">
        <v>135</v>
      </c>
      <c r="AEJ6" s="31" t="s">
        <v>135</v>
      </c>
      <c r="AEK6" s="31" t="s">
        <v>135</v>
      </c>
      <c r="AEL6" s="31" t="s">
        <v>135</v>
      </c>
      <c r="AEM6" s="31" t="s">
        <v>1253</v>
      </c>
      <c r="AEN6" s="31" t="s">
        <v>1325</v>
      </c>
      <c r="AEO6" s="31" t="s">
        <v>1332</v>
      </c>
      <c r="AEP6" s="31" t="s">
        <v>633</v>
      </c>
      <c r="AEQ6" s="31" t="s">
        <v>633</v>
      </c>
      <c r="AER6" s="31" t="s">
        <v>633</v>
      </c>
      <c r="AES6" s="31" t="s">
        <v>633</v>
      </c>
      <c r="AET6" s="31" t="s">
        <v>561</v>
      </c>
      <c r="AEU6" s="31" t="s">
        <v>1351</v>
      </c>
      <c r="AEV6" s="31" t="s">
        <v>1357</v>
      </c>
      <c r="AEW6" s="31" t="s">
        <v>1382</v>
      </c>
      <c r="AEX6" s="31" t="s">
        <v>1382</v>
      </c>
      <c r="AEY6" s="31" t="s">
        <v>644</v>
      </c>
      <c r="AEZ6" s="31" t="s">
        <v>1396</v>
      </c>
      <c r="AFA6" s="31" t="s">
        <v>445</v>
      </c>
      <c r="AFB6" s="31" t="s">
        <v>436</v>
      </c>
      <c r="AFC6" s="31" t="s">
        <v>567</v>
      </c>
      <c r="AFD6" s="31" t="s">
        <v>1407</v>
      </c>
      <c r="AFE6" s="31" t="s">
        <v>1196</v>
      </c>
      <c r="AFF6" s="31" t="s">
        <v>1412</v>
      </c>
      <c r="AFG6" s="31" t="s">
        <v>1414</v>
      </c>
      <c r="AFH6" s="31" t="s">
        <v>1416</v>
      </c>
      <c r="AFI6" s="31" t="s">
        <v>325</v>
      </c>
      <c r="AFJ6" s="31" t="s">
        <v>148</v>
      </c>
      <c r="AFK6" s="31" t="s">
        <v>1420</v>
      </c>
      <c r="AFL6" s="31" t="s">
        <v>737</v>
      </c>
      <c r="AFM6" s="31" t="s">
        <v>749</v>
      </c>
      <c r="AFN6" s="31" t="s">
        <v>370</v>
      </c>
      <c r="AFO6" s="31" t="s">
        <v>154</v>
      </c>
      <c r="AFP6" s="31" t="s">
        <v>290</v>
      </c>
      <c r="AFQ6" s="31" t="s">
        <v>890</v>
      </c>
      <c r="AFR6" s="31" t="s">
        <v>208</v>
      </c>
      <c r="AFS6" s="31" t="s">
        <v>1428</v>
      </c>
      <c r="AFT6" s="31" t="s">
        <v>1430</v>
      </c>
      <c r="AFU6" s="31" t="s">
        <v>201</v>
      </c>
      <c r="AFV6" s="31" t="s">
        <v>1016</v>
      </c>
      <c r="AFW6" s="31" t="s">
        <v>1436</v>
      </c>
      <c r="AFX6" s="31" t="s">
        <v>1437</v>
      </c>
      <c r="AFY6" s="31" t="s">
        <v>1439</v>
      </c>
      <c r="AFZ6" s="31" t="s">
        <v>1416</v>
      </c>
      <c r="AGA6" s="31" t="s">
        <v>1416</v>
      </c>
      <c r="AGB6" s="31" t="s">
        <v>1445</v>
      </c>
      <c r="AGC6" s="31" t="s">
        <v>1416</v>
      </c>
      <c r="AGD6" s="31" t="s">
        <v>1416</v>
      </c>
      <c r="AGE6" s="31" t="s">
        <v>1044</v>
      </c>
      <c r="AGF6" s="31" t="s">
        <v>1460</v>
      </c>
      <c r="AGG6" s="31" t="s">
        <v>1462</v>
      </c>
      <c r="AGH6" s="31" t="s">
        <v>123</v>
      </c>
      <c r="AGI6" s="31" t="s">
        <v>325</v>
      </c>
      <c r="AGJ6" s="31" t="s">
        <v>16</v>
      </c>
      <c r="AGK6" s="31" t="s">
        <v>16</v>
      </c>
      <c r="AGL6" s="31" t="s">
        <v>16</v>
      </c>
      <c r="AGM6" s="31" t="s">
        <v>16</v>
      </c>
      <c r="AGN6" s="31" t="s">
        <v>16</v>
      </c>
      <c r="AGO6" s="31" t="s">
        <v>16</v>
      </c>
      <c r="AGP6" s="31" t="s">
        <v>16</v>
      </c>
      <c r="AGQ6" s="31" t="s">
        <v>16</v>
      </c>
      <c r="AGR6" s="31" t="s">
        <v>501</v>
      </c>
      <c r="AGS6" s="31" t="s">
        <v>16</v>
      </c>
      <c r="AGT6" s="31" t="s">
        <v>1478</v>
      </c>
      <c r="AGU6" s="31" t="s">
        <v>290</v>
      </c>
      <c r="AGV6" s="31" t="s">
        <v>290</v>
      </c>
      <c r="AGW6" s="31" t="s">
        <v>290</v>
      </c>
      <c r="AGX6" s="31" t="s">
        <v>290</v>
      </c>
      <c r="AGY6" s="31" t="s">
        <v>1487</v>
      </c>
      <c r="AGZ6" s="31" t="s">
        <v>1420</v>
      </c>
      <c r="AHA6" s="31" t="s">
        <v>592</v>
      </c>
      <c r="AHB6" s="31" t="s">
        <v>123</v>
      </c>
      <c r="AHC6" s="31" t="s">
        <v>1492</v>
      </c>
      <c r="AHD6" s="31" t="s">
        <v>1494</v>
      </c>
      <c r="AHE6" s="31" t="s">
        <v>1496</v>
      </c>
      <c r="AHF6" s="31" t="s">
        <v>1499</v>
      </c>
      <c r="AHG6" s="31" t="s">
        <v>1502</v>
      </c>
      <c r="AHH6" s="31" t="s">
        <v>1504</v>
      </c>
      <c r="AHI6" s="31" t="s">
        <v>1007</v>
      </c>
      <c r="AHJ6" s="31" t="s">
        <v>894</v>
      </c>
      <c r="AHK6" s="31" t="s">
        <v>894</v>
      </c>
      <c r="AHL6" s="31" t="s">
        <v>311</v>
      </c>
      <c r="AHM6" s="31" t="s">
        <v>989</v>
      </c>
      <c r="AHN6" s="31" t="s">
        <v>1005</v>
      </c>
      <c r="AHO6" s="31" t="s">
        <v>1519</v>
      </c>
      <c r="AHP6" s="31" t="s">
        <v>311</v>
      </c>
      <c r="AHQ6" s="31" t="s">
        <v>311</v>
      </c>
      <c r="AHR6" s="31" t="s">
        <v>912</v>
      </c>
      <c r="AHS6" s="31" t="s">
        <v>311</v>
      </c>
      <c r="AHT6" s="31" t="s">
        <v>311</v>
      </c>
      <c r="AHU6" s="31" t="s">
        <v>311</v>
      </c>
      <c r="AHV6" s="31" t="s">
        <v>311</v>
      </c>
      <c r="AHW6" s="31" t="s">
        <v>311</v>
      </c>
      <c r="AHX6" s="31" t="s">
        <v>311</v>
      </c>
      <c r="AHY6" s="31" t="s">
        <v>311</v>
      </c>
      <c r="AHZ6" s="31" t="s">
        <v>1532</v>
      </c>
      <c r="AIA6" s="31" t="s">
        <v>293</v>
      </c>
      <c r="AIB6" s="31" t="s">
        <v>839</v>
      </c>
      <c r="AIC6" s="31" t="s">
        <v>1536</v>
      </c>
      <c r="AID6" s="31" t="s">
        <v>1538</v>
      </c>
      <c r="AIE6" s="31" t="s">
        <v>778</v>
      </c>
      <c r="AIF6" s="31" t="s">
        <v>890</v>
      </c>
      <c r="AIG6" s="31" t="s">
        <v>1543</v>
      </c>
      <c r="AIH6" s="31" t="s">
        <v>1545</v>
      </c>
      <c r="AII6" s="31" t="s">
        <v>1543</v>
      </c>
      <c r="AIJ6" s="31" t="s">
        <v>1543</v>
      </c>
      <c r="AIK6" s="31" t="s">
        <v>1543</v>
      </c>
      <c r="AIL6" s="31" t="s">
        <v>1063</v>
      </c>
      <c r="AIM6" s="31" t="s">
        <v>1108</v>
      </c>
      <c r="AIN6" s="31" t="s">
        <v>561</v>
      </c>
      <c r="AIO6" s="31" t="s">
        <v>132</v>
      </c>
      <c r="AIP6" s="31" t="s">
        <v>132</v>
      </c>
      <c r="AIQ6" s="31" t="s">
        <v>272</v>
      </c>
      <c r="AIR6" s="31" t="s">
        <v>1562</v>
      </c>
      <c r="AIS6" s="31" t="s">
        <v>1564</v>
      </c>
      <c r="AIT6" s="31" t="s">
        <v>1564</v>
      </c>
      <c r="AIU6" s="31" t="s">
        <v>1564</v>
      </c>
      <c r="AIV6" s="31" t="s">
        <v>1564</v>
      </c>
      <c r="AIW6" s="31" t="s">
        <v>1570</v>
      </c>
      <c r="AIX6" s="31" t="s">
        <v>167</v>
      </c>
      <c r="AIY6" s="31" t="s">
        <v>167</v>
      </c>
      <c r="AIZ6" s="31" t="s">
        <v>167</v>
      </c>
      <c r="AJA6" s="31" t="s">
        <v>167</v>
      </c>
      <c r="AJB6" s="31" t="s">
        <v>167</v>
      </c>
      <c r="AJC6" s="31" t="s">
        <v>167</v>
      </c>
      <c r="AJD6" s="31" t="s">
        <v>167</v>
      </c>
      <c r="AJE6" s="31" t="s">
        <v>167</v>
      </c>
      <c r="AJF6" s="31" t="s">
        <v>167</v>
      </c>
      <c r="AJG6" s="31" t="s">
        <v>167</v>
      </c>
      <c r="AJH6" s="31" t="s">
        <v>1589</v>
      </c>
      <c r="AJI6" s="31" t="s">
        <v>118</v>
      </c>
      <c r="AJJ6" s="31" t="s">
        <v>655</v>
      </c>
      <c r="AJK6" s="31" t="s">
        <v>1589</v>
      </c>
      <c r="AJL6" s="31" t="s">
        <v>1600</v>
      </c>
      <c r="AJM6" s="31" t="s">
        <v>554</v>
      </c>
      <c r="AJN6" s="31" t="s">
        <v>554</v>
      </c>
      <c r="AJO6" s="31" t="s">
        <v>123</v>
      </c>
      <c r="AJP6" s="31" t="s">
        <v>1604</v>
      </c>
      <c r="AJQ6" s="31" t="s">
        <v>110</v>
      </c>
      <c r="AJR6" s="31" t="s">
        <v>1607</v>
      </c>
      <c r="AJS6" s="31" t="s">
        <v>302</v>
      </c>
      <c r="AJT6" s="31" t="s">
        <v>302</v>
      </c>
      <c r="AJU6" s="31" t="s">
        <v>302</v>
      </c>
      <c r="AJV6" s="31" t="s">
        <v>302</v>
      </c>
      <c r="AJW6" s="31" t="s">
        <v>725</v>
      </c>
      <c r="AJX6" s="31" t="s">
        <v>1616</v>
      </c>
      <c r="AJY6" s="31" t="s">
        <v>1108</v>
      </c>
      <c r="AJZ6" s="31" t="s">
        <v>1504</v>
      </c>
      <c r="AKA6" s="31" t="s">
        <v>1504</v>
      </c>
      <c r="AKB6" s="31" t="s">
        <v>1504</v>
      </c>
      <c r="AKC6" s="31" t="s">
        <v>1504</v>
      </c>
      <c r="AKD6" s="31" t="s">
        <v>1504</v>
      </c>
      <c r="AKE6" s="31" t="s">
        <v>1504</v>
      </c>
      <c r="AKF6" s="31" t="s">
        <v>1504</v>
      </c>
      <c r="AKG6" s="31" t="s">
        <v>1504</v>
      </c>
      <c r="AKH6" s="31" t="s">
        <v>1504</v>
      </c>
      <c r="AKI6" s="31" t="s">
        <v>81</v>
      </c>
      <c r="AKJ6" s="31" t="s">
        <v>81</v>
      </c>
      <c r="AKK6" s="31" t="s">
        <v>81</v>
      </c>
      <c r="AKL6" s="31" t="s">
        <v>81</v>
      </c>
      <c r="AKM6" s="31" t="s">
        <v>81</v>
      </c>
      <c r="AKN6" s="31" t="s">
        <v>291</v>
      </c>
      <c r="AKO6" s="31" t="s">
        <v>291</v>
      </c>
      <c r="AKP6" s="31" t="s">
        <v>291</v>
      </c>
      <c r="AKQ6" s="31" t="s">
        <v>291</v>
      </c>
      <c r="AKR6" s="31" t="s">
        <v>127</v>
      </c>
      <c r="AKS6" s="31" t="s">
        <v>1182</v>
      </c>
      <c r="AKT6" s="31" t="s">
        <v>1182</v>
      </c>
      <c r="AKU6" s="31" t="s">
        <v>770</v>
      </c>
      <c r="AKV6" s="31" t="s">
        <v>1640</v>
      </c>
      <c r="AKW6" s="31" t="s">
        <v>1642</v>
      </c>
      <c r="AKX6" s="31" t="s">
        <v>1644</v>
      </c>
      <c r="AKY6" s="31" t="s">
        <v>1646</v>
      </c>
      <c r="AKZ6" s="31" t="s">
        <v>1646</v>
      </c>
      <c r="ALA6" s="31" t="s">
        <v>1644</v>
      </c>
      <c r="ALB6" s="31" t="s">
        <v>1657</v>
      </c>
      <c r="ALC6" s="31" t="s">
        <v>1657</v>
      </c>
      <c r="ALD6" s="31" t="s">
        <v>1659</v>
      </c>
      <c r="ALE6" s="31" t="s">
        <v>1659</v>
      </c>
      <c r="ALF6" s="31" t="s">
        <v>1657</v>
      </c>
      <c r="ALG6" s="31" t="s">
        <v>1657</v>
      </c>
      <c r="ALH6" s="31" t="s">
        <v>1657</v>
      </c>
      <c r="ALI6" s="31" t="s">
        <v>1657</v>
      </c>
      <c r="ALJ6" s="31" t="s">
        <v>626</v>
      </c>
      <c r="ALK6" s="31" t="s">
        <v>160</v>
      </c>
      <c r="ALL6" s="31" t="s">
        <v>160</v>
      </c>
      <c r="ALM6" s="31" t="s">
        <v>160</v>
      </c>
      <c r="ALN6" s="31" t="s">
        <v>160</v>
      </c>
      <c r="ALO6" s="31" t="s">
        <v>160</v>
      </c>
      <c r="ALP6" s="31" t="s">
        <v>160</v>
      </c>
      <c r="ALQ6" s="31" t="s">
        <v>160</v>
      </c>
      <c r="ALR6" s="31" t="s">
        <v>160</v>
      </c>
      <c r="ALS6" s="31" t="s">
        <v>160</v>
      </c>
      <c r="ALT6" s="31" t="s">
        <v>160</v>
      </c>
      <c r="ALU6" s="31" t="s">
        <v>1681</v>
      </c>
      <c r="ALV6" s="31" t="s">
        <v>1683</v>
      </c>
      <c r="ALW6" s="31" t="s">
        <v>268</v>
      </c>
      <c r="ALX6" s="31" t="s">
        <v>1691</v>
      </c>
      <c r="ALY6" s="31" t="s">
        <v>1696</v>
      </c>
      <c r="ALZ6" s="31" t="s">
        <v>1696</v>
      </c>
      <c r="AMA6" s="31" t="s">
        <v>1696</v>
      </c>
      <c r="AMB6" s="31" t="s">
        <v>1701</v>
      </c>
      <c r="AMC6" s="31" t="s">
        <v>1701</v>
      </c>
      <c r="AMD6" s="31" t="s">
        <v>1701</v>
      </c>
      <c r="AME6" s="31" t="s">
        <v>1705</v>
      </c>
      <c r="AMF6" s="31" t="s">
        <v>1707</v>
      </c>
      <c r="AMG6" s="31" t="s">
        <v>1707</v>
      </c>
      <c r="AMH6" s="31" t="s">
        <v>1707</v>
      </c>
      <c r="AMI6" s="31" t="s">
        <v>1707</v>
      </c>
      <c r="AMJ6" s="31" t="s">
        <v>1707</v>
      </c>
      <c r="AMK6" s="31" t="s">
        <v>868</v>
      </c>
      <c r="AML6" s="31" t="s">
        <v>1714</v>
      </c>
      <c r="AMM6" s="31" t="s">
        <v>1718</v>
      </c>
      <c r="AMN6" s="31" t="s">
        <v>1720</v>
      </c>
      <c r="AMO6" s="31" t="s">
        <v>1722</v>
      </c>
      <c r="AMP6" s="31" t="s">
        <v>610</v>
      </c>
      <c r="AMQ6" s="31" t="s">
        <v>1725</v>
      </c>
      <c r="AMR6" s="31" t="s">
        <v>1731</v>
      </c>
      <c r="AMS6" s="31" t="s">
        <v>1722</v>
      </c>
      <c r="AMT6" s="31" t="s">
        <v>163</v>
      </c>
      <c r="AMU6" s="31" t="s">
        <v>1740</v>
      </c>
      <c r="AMV6" s="31" t="s">
        <v>683</v>
      </c>
      <c r="AMW6" s="31" t="s">
        <v>1037</v>
      </c>
      <c r="AMX6" s="31" t="s">
        <v>407</v>
      </c>
      <c r="AMY6" s="31" t="s">
        <v>1746</v>
      </c>
      <c r="AMZ6" s="31" t="s">
        <v>1725</v>
      </c>
      <c r="ANA6" s="31" t="s">
        <v>1725</v>
      </c>
      <c r="ANB6" s="31" t="s">
        <v>151</v>
      </c>
      <c r="ANC6" s="31" t="s">
        <v>151</v>
      </c>
      <c r="AND6" s="31" t="s">
        <v>725</v>
      </c>
      <c r="ANE6" s="31" t="s">
        <v>725</v>
      </c>
      <c r="ANF6" s="31" t="s">
        <v>725</v>
      </c>
      <c r="ANG6" s="31" t="s">
        <v>1755</v>
      </c>
      <c r="ANH6" s="31" t="s">
        <v>1757</v>
      </c>
      <c r="ANI6" s="31" t="s">
        <v>737</v>
      </c>
      <c r="ANJ6" s="31" t="s">
        <v>737</v>
      </c>
      <c r="ANK6" s="31" t="s">
        <v>1761</v>
      </c>
      <c r="ANL6" s="31" t="s">
        <v>1761</v>
      </c>
      <c r="ANM6" s="31" t="s">
        <v>1764</v>
      </c>
      <c r="ANN6" s="31" t="s">
        <v>1766</v>
      </c>
      <c r="ANO6" s="31" t="s">
        <v>1768</v>
      </c>
      <c r="ANP6" s="31" t="s">
        <v>1761</v>
      </c>
      <c r="ANQ6" s="31" t="s">
        <v>46</v>
      </c>
      <c r="ANR6" s="31" t="s">
        <v>1761</v>
      </c>
      <c r="ANS6" s="31" t="s">
        <v>573</v>
      </c>
      <c r="ANT6" s="31" t="s">
        <v>1779</v>
      </c>
      <c r="ANU6" s="31" t="s">
        <v>1781</v>
      </c>
      <c r="ANV6" s="31" t="s">
        <v>1016</v>
      </c>
      <c r="ANW6" s="31" t="s">
        <v>1059</v>
      </c>
      <c r="ANX6" s="31" t="s">
        <v>1078</v>
      </c>
      <c r="ANY6" s="31" t="s">
        <v>1129</v>
      </c>
      <c r="ANZ6" s="31" t="s">
        <v>1790</v>
      </c>
      <c r="AOA6" s="31" t="s">
        <v>1139</v>
      </c>
      <c r="AOB6" s="31" t="s">
        <v>1139</v>
      </c>
      <c r="AOC6" s="31" t="s">
        <v>1139</v>
      </c>
      <c r="AOD6" s="31" t="s">
        <v>1129</v>
      </c>
      <c r="AOE6" s="31" t="s">
        <v>1129</v>
      </c>
      <c r="AOF6" s="31" t="s">
        <v>1129</v>
      </c>
      <c r="AOG6" s="31" t="s">
        <v>1129</v>
      </c>
      <c r="AOH6" s="31" t="s">
        <v>1110</v>
      </c>
      <c r="AOI6" s="31" t="s">
        <v>74</v>
      </c>
      <c r="AOJ6" s="31" t="s">
        <v>74</v>
      </c>
    </row>
    <row r="7" spans="1:1076" x14ac:dyDescent="0.3">
      <c r="A7" s="47" t="s">
        <v>6</v>
      </c>
      <c r="B7" s="44" t="s">
        <v>70</v>
      </c>
      <c r="C7" s="31" t="s">
        <v>257</v>
      </c>
      <c r="D7" s="31" t="s">
        <v>845</v>
      </c>
      <c r="E7" s="31" t="s">
        <v>841</v>
      </c>
      <c r="F7" s="31" t="s">
        <v>841</v>
      </c>
      <c r="G7" s="31" t="s">
        <v>841</v>
      </c>
      <c r="H7" s="31" t="s">
        <v>841</v>
      </c>
      <c r="I7" s="31" t="s">
        <v>1205</v>
      </c>
      <c r="J7" s="31" t="s">
        <v>677</v>
      </c>
      <c r="K7" s="31" t="s">
        <v>888</v>
      </c>
      <c r="L7" s="31" t="s">
        <v>421</v>
      </c>
      <c r="M7" s="31" t="s">
        <v>437</v>
      </c>
      <c r="N7" s="31" t="s">
        <v>437</v>
      </c>
      <c r="O7" s="31" t="s">
        <v>1199</v>
      </c>
      <c r="P7" s="31" t="s">
        <v>1289</v>
      </c>
      <c r="Q7" s="31" t="s">
        <v>1289</v>
      </c>
      <c r="R7" s="31" t="s">
        <v>1199</v>
      </c>
      <c r="S7" s="31" t="s">
        <v>1199</v>
      </c>
      <c r="T7" s="31" t="s">
        <v>195</v>
      </c>
      <c r="U7" s="31" t="s">
        <v>195</v>
      </c>
      <c r="V7" s="31" t="s">
        <v>195</v>
      </c>
      <c r="W7" s="31" t="s">
        <v>467</v>
      </c>
      <c r="X7" s="31" t="s">
        <v>1264</v>
      </c>
      <c r="Y7" s="31" t="s">
        <v>1268</v>
      </c>
      <c r="Z7" s="31" t="s">
        <v>1268</v>
      </c>
      <c r="AA7" s="31" t="s">
        <v>1268</v>
      </c>
      <c r="AB7" s="31" t="s">
        <v>1268</v>
      </c>
      <c r="AC7" s="31" t="s">
        <v>1268</v>
      </c>
      <c r="AD7" s="31" t="s">
        <v>1268</v>
      </c>
      <c r="AE7" s="31" t="s">
        <v>1268</v>
      </c>
      <c r="AF7" s="31" t="s">
        <v>1362</v>
      </c>
      <c r="AG7" s="31" t="s">
        <v>174</v>
      </c>
      <c r="AH7" s="31" t="s">
        <v>1268</v>
      </c>
      <c r="AI7" s="31" t="s">
        <v>453</v>
      </c>
      <c r="AJ7" s="31" t="s">
        <v>461</v>
      </c>
      <c r="AK7" s="31" t="s">
        <v>508</v>
      </c>
      <c r="AL7" s="31" t="s">
        <v>834</v>
      </c>
      <c r="AM7" s="31" t="s">
        <v>461</v>
      </c>
      <c r="AN7" s="31" t="s">
        <v>478</v>
      </c>
      <c r="AO7" s="31" t="s">
        <v>478</v>
      </c>
      <c r="AP7" s="31" t="s">
        <v>478</v>
      </c>
      <c r="AQ7" s="31" t="s">
        <v>478</v>
      </c>
      <c r="AR7" s="31" t="s">
        <v>478</v>
      </c>
      <c r="AS7" s="31" t="s">
        <v>130</v>
      </c>
      <c r="AT7" s="31" t="s">
        <v>478</v>
      </c>
      <c r="AU7" s="31" t="s">
        <v>478</v>
      </c>
      <c r="AV7" s="31" t="s">
        <v>1199</v>
      </c>
      <c r="AW7" s="31" t="s">
        <v>1272</v>
      </c>
      <c r="AX7" s="31" t="s">
        <v>1289</v>
      </c>
      <c r="AY7" s="31" t="s">
        <v>1287</v>
      </c>
      <c r="AZ7" s="31" t="s">
        <v>1199</v>
      </c>
      <c r="BA7" s="31" t="s">
        <v>1199</v>
      </c>
      <c r="BB7" s="31" t="s">
        <v>1319</v>
      </c>
      <c r="BC7" s="31" t="s">
        <v>478</v>
      </c>
      <c r="BD7" s="31" t="s">
        <v>1199</v>
      </c>
      <c r="BE7" s="31" t="s">
        <v>1301</v>
      </c>
      <c r="BF7" s="31" t="s">
        <v>1301</v>
      </c>
      <c r="BG7" s="31" t="s">
        <v>1045</v>
      </c>
      <c r="BH7" s="31" t="s">
        <v>1045</v>
      </c>
      <c r="BI7" s="31" t="s">
        <v>1045</v>
      </c>
      <c r="BJ7" s="31" t="s">
        <v>257</v>
      </c>
      <c r="BK7" s="31" t="s">
        <v>517</v>
      </c>
      <c r="BL7" s="31" t="s">
        <v>517</v>
      </c>
      <c r="BM7" s="31" t="s">
        <v>525</v>
      </c>
      <c r="BN7" s="31" t="s">
        <v>36</v>
      </c>
      <c r="BO7" s="31" t="s">
        <v>1323</v>
      </c>
      <c r="BP7" s="31" t="s">
        <v>1329</v>
      </c>
      <c r="BQ7" s="31" t="s">
        <v>517</v>
      </c>
      <c r="BR7" s="31" t="s">
        <v>1340</v>
      </c>
      <c r="BS7" s="31" t="s">
        <v>1344</v>
      </c>
      <c r="BT7" s="31" t="s">
        <v>1347</v>
      </c>
      <c r="BU7" s="31" t="s">
        <v>517</v>
      </c>
      <c r="BV7" s="31" t="s">
        <v>517</v>
      </c>
      <c r="BW7" s="31" t="s">
        <v>399</v>
      </c>
      <c r="BX7" s="31" t="s">
        <v>28</v>
      </c>
      <c r="BY7" s="31" t="s">
        <v>28</v>
      </c>
      <c r="BZ7" s="31" t="s">
        <v>28</v>
      </c>
      <c r="CA7" s="31" t="s">
        <v>28</v>
      </c>
      <c r="CB7" s="31" t="s">
        <v>529</v>
      </c>
      <c r="CC7" s="31" t="s">
        <v>204</v>
      </c>
      <c r="CD7" s="31" t="s">
        <v>28</v>
      </c>
      <c r="CE7" s="31" t="s">
        <v>28</v>
      </c>
      <c r="CF7" s="31" t="s">
        <v>1481</v>
      </c>
      <c r="CG7" s="31" t="s">
        <v>502</v>
      </c>
      <c r="CH7" s="31" t="s">
        <v>502</v>
      </c>
      <c r="CI7" s="31" t="s">
        <v>1379</v>
      </c>
      <c r="CJ7" s="31" t="s">
        <v>28</v>
      </c>
      <c r="CK7" s="31" t="s">
        <v>1684</v>
      </c>
      <c r="CL7" s="31" t="s">
        <v>1684</v>
      </c>
      <c r="CM7" s="31" t="s">
        <v>1694</v>
      </c>
      <c r="CN7" s="31" t="s">
        <v>1307</v>
      </c>
      <c r="CO7" s="31" t="s">
        <v>1312</v>
      </c>
      <c r="CP7" s="31" t="s">
        <v>1307</v>
      </c>
      <c r="CQ7" s="31" t="s">
        <v>1307</v>
      </c>
      <c r="CR7" s="31" t="s">
        <v>54</v>
      </c>
      <c r="CS7" s="31" t="s">
        <v>54</v>
      </c>
      <c r="CT7" s="31" t="s">
        <v>86</v>
      </c>
      <c r="CU7" s="31" t="s">
        <v>86</v>
      </c>
      <c r="CV7" s="31" t="s">
        <v>54</v>
      </c>
      <c r="CW7" s="31" t="s">
        <v>54</v>
      </c>
      <c r="CX7" s="31" t="s">
        <v>86</v>
      </c>
      <c r="CY7" s="31" t="s">
        <v>86</v>
      </c>
      <c r="CZ7" s="31" t="s">
        <v>54</v>
      </c>
      <c r="DA7" s="31" t="s">
        <v>86</v>
      </c>
      <c r="DB7" s="31" t="s">
        <v>86</v>
      </c>
      <c r="DC7" s="31" t="s">
        <v>86</v>
      </c>
      <c r="DD7" s="31" t="s">
        <v>86</v>
      </c>
      <c r="DE7" s="31" t="s">
        <v>86</v>
      </c>
      <c r="DF7" s="31" t="s">
        <v>403</v>
      </c>
      <c r="DG7" s="31" t="s">
        <v>415</v>
      </c>
      <c r="DH7" s="31" t="s">
        <v>426</v>
      </c>
      <c r="DI7" s="31" t="s">
        <v>213</v>
      </c>
      <c r="DJ7" s="31" t="s">
        <v>446</v>
      </c>
      <c r="DK7" s="31" t="s">
        <v>36</v>
      </c>
      <c r="DL7" s="31" t="s">
        <v>449</v>
      </c>
      <c r="DM7" s="31" t="s">
        <v>86</v>
      </c>
      <c r="DN7" s="31" t="s">
        <v>213</v>
      </c>
      <c r="DO7" s="31" t="s">
        <v>86</v>
      </c>
      <c r="DP7" s="31" t="s">
        <v>86</v>
      </c>
      <c r="DQ7" s="31" t="s">
        <v>86</v>
      </c>
      <c r="DR7" s="31" t="s">
        <v>86</v>
      </c>
      <c r="DS7" s="31" t="s">
        <v>86</v>
      </c>
      <c r="DT7" s="31" t="s">
        <v>426</v>
      </c>
      <c r="DU7" s="31" t="s">
        <v>449</v>
      </c>
      <c r="DV7" s="31" t="s">
        <v>86</v>
      </c>
      <c r="DW7" s="31" t="s">
        <v>86</v>
      </c>
      <c r="DX7" s="31" t="s">
        <v>527</v>
      </c>
      <c r="DY7" s="31" t="s">
        <v>532</v>
      </c>
      <c r="DZ7" s="31" t="s">
        <v>86</v>
      </c>
      <c r="EA7" s="31" t="s">
        <v>54</v>
      </c>
      <c r="EB7" s="31" t="s">
        <v>66</v>
      </c>
      <c r="EC7" s="31" t="s">
        <v>54</v>
      </c>
      <c r="ED7" s="31" t="s">
        <v>54</v>
      </c>
      <c r="EE7" s="31" t="s">
        <v>89</v>
      </c>
      <c r="EF7" s="31" t="s">
        <v>638</v>
      </c>
      <c r="EG7" s="31" t="s">
        <v>86</v>
      </c>
      <c r="EH7" s="31" t="s">
        <v>66</v>
      </c>
      <c r="EI7" s="31" t="s">
        <v>158</v>
      </c>
      <c r="EJ7" s="31" t="s">
        <v>484</v>
      </c>
      <c r="EK7" s="31" t="s">
        <v>185</v>
      </c>
      <c r="EL7" s="31" t="s">
        <v>449</v>
      </c>
      <c r="EM7" s="31" t="s">
        <v>295</v>
      </c>
      <c r="EN7" s="31" t="s">
        <v>403</v>
      </c>
      <c r="EO7" s="31" t="s">
        <v>905</v>
      </c>
      <c r="EP7" s="31" t="s">
        <v>941</v>
      </c>
      <c r="EQ7" s="31" t="s">
        <v>949</v>
      </c>
      <c r="ER7" s="31" t="s">
        <v>36</v>
      </c>
      <c r="ES7" s="31" t="s">
        <v>417</v>
      </c>
      <c r="ET7" s="31" t="s">
        <v>1008</v>
      </c>
      <c r="EU7" s="31" t="s">
        <v>66</v>
      </c>
      <c r="EV7" s="31" t="s">
        <v>1026</v>
      </c>
      <c r="EW7" s="31" t="s">
        <v>399</v>
      </c>
      <c r="EX7" s="31" t="s">
        <v>213</v>
      </c>
      <c r="EY7" s="31" t="s">
        <v>834</v>
      </c>
      <c r="EZ7" s="31" t="s">
        <v>417</v>
      </c>
      <c r="FA7" s="31" t="s">
        <v>1069</v>
      </c>
      <c r="FB7" s="31" t="s">
        <v>213</v>
      </c>
      <c r="FC7" s="31" t="s">
        <v>1069</v>
      </c>
      <c r="FD7" s="31" t="s">
        <v>834</v>
      </c>
      <c r="FE7" s="31" t="s">
        <v>1137</v>
      </c>
      <c r="FF7" s="31" t="s">
        <v>834</v>
      </c>
      <c r="FG7" s="31" t="s">
        <v>86</v>
      </c>
      <c r="FH7" s="31" t="s">
        <v>1214</v>
      </c>
      <c r="FI7" s="31" t="s">
        <v>195</v>
      </c>
      <c r="FJ7" s="31" t="s">
        <v>1221</v>
      </c>
      <c r="FK7" s="31" t="s">
        <v>1229</v>
      </c>
      <c r="FL7" s="31" t="s">
        <v>1231</v>
      </c>
      <c r="FM7" s="31" t="s">
        <v>1229</v>
      </c>
      <c r="FN7" s="31" t="s">
        <v>1236</v>
      </c>
      <c r="FO7" s="31" t="s">
        <v>1250</v>
      </c>
      <c r="FP7" s="31" t="s">
        <v>1250</v>
      </c>
      <c r="FQ7" s="31" t="s">
        <v>834</v>
      </c>
      <c r="FR7" s="31" t="s">
        <v>1366</v>
      </c>
      <c r="FS7" s="31" t="s">
        <v>1366</v>
      </c>
      <c r="FT7" s="31" t="s">
        <v>1366</v>
      </c>
      <c r="FU7" s="31" t="s">
        <v>1373</v>
      </c>
      <c r="FV7" s="31" t="s">
        <v>1366</v>
      </c>
      <c r="FW7" s="31" t="s">
        <v>1366</v>
      </c>
      <c r="FX7" s="31" t="s">
        <v>1366</v>
      </c>
      <c r="FY7" s="31" t="s">
        <v>1366</v>
      </c>
      <c r="FZ7" s="31" t="s">
        <v>1387</v>
      </c>
      <c r="GA7" s="31" t="s">
        <v>1387</v>
      </c>
      <c r="GB7" s="31" t="s">
        <v>1392</v>
      </c>
      <c r="GC7" s="31" t="s">
        <v>1366</v>
      </c>
      <c r="GD7" s="31" t="s">
        <v>449</v>
      </c>
      <c r="GE7" s="31" t="s">
        <v>527</v>
      </c>
      <c r="GF7" s="31" t="s">
        <v>1366</v>
      </c>
      <c r="GG7" s="31" t="s">
        <v>1083</v>
      </c>
      <c r="GH7" s="31" t="s">
        <v>58</v>
      </c>
      <c r="GI7" s="31" t="s">
        <v>1450</v>
      </c>
      <c r="GJ7" s="31" t="s">
        <v>1452</v>
      </c>
      <c r="GK7" s="31" t="s">
        <v>1452</v>
      </c>
      <c r="GL7" s="31" t="s">
        <v>365</v>
      </c>
      <c r="GM7" s="31" t="s">
        <v>365</v>
      </c>
      <c r="GN7" s="31" t="s">
        <v>376</v>
      </c>
      <c r="GO7" s="31" t="s">
        <v>1026</v>
      </c>
      <c r="GP7" s="31" t="s">
        <v>1026</v>
      </c>
      <c r="GQ7" s="31" t="s">
        <v>1008</v>
      </c>
      <c r="GR7" s="31" t="s">
        <v>1008</v>
      </c>
      <c r="GS7" s="31" t="s">
        <v>944</v>
      </c>
      <c r="GT7" s="31" t="s">
        <v>399</v>
      </c>
      <c r="GU7" s="31" t="s">
        <v>834</v>
      </c>
      <c r="GV7" s="31" t="s">
        <v>944</v>
      </c>
      <c r="GW7" s="31" t="s">
        <v>257</v>
      </c>
      <c r="GX7" s="31" t="s">
        <v>1571</v>
      </c>
      <c r="GY7" s="31" t="s">
        <v>257</v>
      </c>
      <c r="GZ7" s="31" t="s">
        <v>929</v>
      </c>
      <c r="HA7" s="31" t="s">
        <v>426</v>
      </c>
      <c r="HB7" s="31" t="s">
        <v>54</v>
      </c>
      <c r="HC7" s="31" t="s">
        <v>1366</v>
      </c>
      <c r="HD7" s="31" t="s">
        <v>1264</v>
      </c>
      <c r="HE7" s="31" t="s">
        <v>1481</v>
      </c>
      <c r="HF7" s="31" t="s">
        <v>1481</v>
      </c>
      <c r="HG7" s="31" t="s">
        <v>905</v>
      </c>
      <c r="HH7" s="31" t="s">
        <v>213</v>
      </c>
      <c r="HI7" s="31" t="s">
        <v>130</v>
      </c>
      <c r="HJ7" s="31" t="s">
        <v>70</v>
      </c>
      <c r="HK7" s="31" t="s">
        <v>161</v>
      </c>
      <c r="HL7" s="31" t="s">
        <v>103</v>
      </c>
      <c r="HM7" s="31" t="s">
        <v>1367</v>
      </c>
      <c r="HN7" s="31" t="s">
        <v>1729</v>
      </c>
      <c r="HO7" s="31" t="s">
        <v>1367</v>
      </c>
      <c r="HP7" s="31" t="s">
        <v>1083</v>
      </c>
      <c r="HQ7" s="31" t="s">
        <v>1729</v>
      </c>
      <c r="HR7" s="31" t="s">
        <v>1729</v>
      </c>
      <c r="HS7" s="31" t="s">
        <v>1366</v>
      </c>
      <c r="HT7" s="31" t="s">
        <v>119</v>
      </c>
      <c r="HU7" s="31" t="s">
        <v>1366</v>
      </c>
      <c r="HV7" s="31" t="s">
        <v>1366</v>
      </c>
      <c r="HW7" s="31" t="s">
        <v>1729</v>
      </c>
      <c r="HX7" s="31" t="s">
        <v>213</v>
      </c>
      <c r="HY7" s="31" t="s">
        <v>1783</v>
      </c>
      <c r="HZ7" s="31" t="s">
        <v>295</v>
      </c>
      <c r="IA7" s="31" t="s">
        <v>17</v>
      </c>
      <c r="IB7" s="31" t="s">
        <v>24</v>
      </c>
      <c r="IC7" s="31" t="s">
        <v>32</v>
      </c>
      <c r="ID7" s="31" t="s">
        <v>36</v>
      </c>
      <c r="IE7" s="31" t="s">
        <v>40</v>
      </c>
      <c r="IF7" s="31" t="s">
        <v>43</v>
      </c>
      <c r="IG7" s="31" t="s">
        <v>47</v>
      </c>
      <c r="IH7" s="31" t="s">
        <v>50</v>
      </c>
      <c r="II7" s="31" t="s">
        <v>58</v>
      </c>
      <c r="IJ7" s="31" t="s">
        <v>62</v>
      </c>
      <c r="IK7" s="31" t="s">
        <v>66</v>
      </c>
      <c r="IL7" s="31" t="s">
        <v>70</v>
      </c>
      <c r="IM7" s="31" t="s">
        <v>66</v>
      </c>
      <c r="IN7" s="31" t="s">
        <v>75</v>
      </c>
      <c r="IO7" s="31" t="s">
        <v>32</v>
      </c>
      <c r="IP7" s="31" t="s">
        <v>70</v>
      </c>
      <c r="IQ7" s="31" t="s">
        <v>66</v>
      </c>
      <c r="IR7" s="31" t="s">
        <v>89</v>
      </c>
      <c r="IS7" s="31" t="s">
        <v>47</v>
      </c>
      <c r="IT7" s="31" t="s">
        <v>17</v>
      </c>
      <c r="IU7" s="31" t="s">
        <v>24</v>
      </c>
      <c r="IV7" s="31" t="s">
        <v>24</v>
      </c>
      <c r="IW7" s="31" t="s">
        <v>97</v>
      </c>
      <c r="IX7" s="31" t="s">
        <v>100</v>
      </c>
      <c r="IY7" s="31" t="s">
        <v>103</v>
      </c>
      <c r="IZ7" s="31" t="s">
        <v>36</v>
      </c>
      <c r="JA7" s="31" t="s">
        <v>17</v>
      </c>
      <c r="JB7" s="31" t="s">
        <v>111</v>
      </c>
      <c r="JC7" s="31" t="s">
        <v>70</v>
      </c>
      <c r="JD7" s="31" t="s">
        <v>119</v>
      </c>
      <c r="JE7" s="31" t="s">
        <v>124</v>
      </c>
      <c r="JF7" s="31" t="s">
        <v>66</v>
      </c>
      <c r="JG7" s="31" t="s">
        <v>128</v>
      </c>
      <c r="JH7" s="31" t="s">
        <v>130</v>
      </c>
      <c r="JI7" s="31" t="s">
        <v>133</v>
      </c>
      <c r="JJ7" s="31" t="s">
        <v>133</v>
      </c>
      <c r="JK7" s="31" t="s">
        <v>137</v>
      </c>
      <c r="JL7" s="31" t="s">
        <v>140</v>
      </c>
      <c r="JM7" s="31" t="s">
        <v>143</v>
      </c>
      <c r="JN7" s="31" t="s">
        <v>140</v>
      </c>
      <c r="JO7" s="31" t="s">
        <v>140</v>
      </c>
      <c r="JP7" s="31" t="s">
        <v>70</v>
      </c>
      <c r="JQ7" s="31" t="s">
        <v>152</v>
      </c>
      <c r="JR7" s="31" t="s">
        <v>155</v>
      </c>
      <c r="JS7" s="31" t="s">
        <v>158</v>
      </c>
      <c r="JT7" s="31" t="s">
        <v>161</v>
      </c>
      <c r="JU7" s="31" t="s">
        <v>164</v>
      </c>
      <c r="JV7" s="31" t="s">
        <v>168</v>
      </c>
      <c r="JW7" s="31" t="s">
        <v>170</v>
      </c>
      <c r="JX7" s="31" t="s">
        <v>174</v>
      </c>
      <c r="JY7" s="31" t="s">
        <v>17</v>
      </c>
      <c r="JZ7" s="31" t="s">
        <v>179</v>
      </c>
      <c r="KA7" s="31" t="s">
        <v>70</v>
      </c>
      <c r="KB7" s="31" t="s">
        <v>119</v>
      </c>
      <c r="KC7" s="31" t="s">
        <v>185</v>
      </c>
      <c r="KD7" s="31" t="s">
        <v>161</v>
      </c>
      <c r="KE7" s="31" t="s">
        <v>188</v>
      </c>
      <c r="KF7" s="31" t="s">
        <v>47</v>
      </c>
      <c r="KG7" s="31" t="s">
        <v>192</v>
      </c>
      <c r="KH7" s="31" t="s">
        <v>202</v>
      </c>
      <c r="KI7" s="31" t="s">
        <v>204</v>
      </c>
      <c r="KJ7" s="31" t="s">
        <v>17</v>
      </c>
      <c r="KK7" s="31" t="s">
        <v>130</v>
      </c>
      <c r="KL7" s="31" t="s">
        <v>209</v>
      </c>
      <c r="KM7" s="31" t="s">
        <v>119</v>
      </c>
      <c r="KN7" s="31" t="s">
        <v>111</v>
      </c>
      <c r="KO7" s="31" t="s">
        <v>213</v>
      </c>
      <c r="KP7" s="31" t="s">
        <v>215</v>
      </c>
      <c r="KQ7" s="31" t="s">
        <v>152</v>
      </c>
      <c r="KR7" s="31" t="s">
        <v>192</v>
      </c>
      <c r="KS7" s="31" t="s">
        <v>40</v>
      </c>
      <c r="KT7" s="31" t="s">
        <v>133</v>
      </c>
      <c r="KU7" s="31" t="s">
        <v>62</v>
      </c>
      <c r="KV7" s="31" t="s">
        <v>225</v>
      </c>
      <c r="KW7" s="31" t="s">
        <v>119</v>
      </c>
      <c r="KX7" s="31" t="s">
        <v>228</v>
      </c>
      <c r="KY7" s="31" t="s">
        <v>17</v>
      </c>
      <c r="KZ7" s="31" t="s">
        <v>124</v>
      </c>
      <c r="LA7" s="31" t="s">
        <v>36</v>
      </c>
      <c r="LB7" s="31" t="s">
        <v>36</v>
      </c>
      <c r="LC7" s="31" t="s">
        <v>234</v>
      </c>
      <c r="LD7" s="31" t="s">
        <v>70</v>
      </c>
      <c r="LE7" s="31" t="s">
        <v>47</v>
      </c>
      <c r="LF7" s="31" t="s">
        <v>240</v>
      </c>
      <c r="LG7" s="31" t="s">
        <v>243</v>
      </c>
      <c r="LH7" s="31" t="s">
        <v>247</v>
      </c>
      <c r="LI7" s="31" t="s">
        <v>103</v>
      </c>
      <c r="LJ7" s="31" t="s">
        <v>47</v>
      </c>
      <c r="LK7" s="31" t="s">
        <v>62</v>
      </c>
      <c r="LL7" s="31" t="s">
        <v>62</v>
      </c>
      <c r="LM7" s="31" t="s">
        <v>188</v>
      </c>
      <c r="LN7" s="31" t="s">
        <v>257</v>
      </c>
      <c r="LO7" s="31" t="s">
        <v>47</v>
      </c>
      <c r="LP7" s="31" t="s">
        <v>260</v>
      </c>
      <c r="LQ7" s="31" t="s">
        <v>192</v>
      </c>
      <c r="LR7" s="31" t="s">
        <v>89</v>
      </c>
      <c r="LS7" s="31" t="s">
        <v>204</v>
      </c>
      <c r="LT7" s="31" t="s">
        <v>119</v>
      </c>
      <c r="LU7" s="31" t="s">
        <v>17</v>
      </c>
      <c r="LV7" s="31" t="s">
        <v>269</v>
      </c>
      <c r="LW7" s="31" t="s">
        <v>70</v>
      </c>
      <c r="LX7" s="31" t="s">
        <v>179</v>
      </c>
      <c r="LY7" s="31" t="s">
        <v>179</v>
      </c>
      <c r="LZ7" s="31" t="s">
        <v>257</v>
      </c>
      <c r="MA7" s="31" t="s">
        <v>278</v>
      </c>
      <c r="MB7" s="31" t="s">
        <v>280</v>
      </c>
      <c r="MC7" s="31" t="s">
        <v>257</v>
      </c>
      <c r="MD7" s="31" t="s">
        <v>111</v>
      </c>
      <c r="ME7" s="31" t="s">
        <v>192</v>
      </c>
      <c r="MF7" s="31" t="s">
        <v>288</v>
      </c>
      <c r="MG7" s="31" t="s">
        <v>119</v>
      </c>
      <c r="MH7" s="31" t="s">
        <v>32</v>
      </c>
      <c r="MI7" s="31" t="s">
        <v>257</v>
      </c>
      <c r="MJ7" s="31" t="s">
        <v>295</v>
      </c>
      <c r="MK7" s="31" t="s">
        <v>234</v>
      </c>
      <c r="ML7" s="31" t="s">
        <v>47</v>
      </c>
      <c r="MM7" s="31" t="s">
        <v>164</v>
      </c>
      <c r="MN7" s="31" t="s">
        <v>47</v>
      </c>
      <c r="MO7" s="31" t="s">
        <v>303</v>
      </c>
      <c r="MP7" s="31" t="s">
        <v>305</v>
      </c>
      <c r="MQ7" s="31" t="s">
        <v>47</v>
      </c>
      <c r="MR7" s="31" t="s">
        <v>303</v>
      </c>
      <c r="MS7" s="31" t="s">
        <v>204</v>
      </c>
      <c r="MT7" s="31" t="s">
        <v>257</v>
      </c>
      <c r="MU7" s="31" t="s">
        <v>103</v>
      </c>
      <c r="MV7" s="31" t="s">
        <v>314</v>
      </c>
      <c r="MW7" s="31" t="s">
        <v>316</v>
      </c>
      <c r="MX7" s="31" t="s">
        <v>47</v>
      </c>
      <c r="MY7" s="31" t="s">
        <v>140</v>
      </c>
      <c r="MZ7" s="31" t="s">
        <v>257</v>
      </c>
      <c r="NA7" s="31" t="s">
        <v>204</v>
      </c>
      <c r="NB7" s="31" t="s">
        <v>257</v>
      </c>
      <c r="NC7" s="31" t="s">
        <v>130</v>
      </c>
      <c r="ND7" s="31" t="s">
        <v>47</v>
      </c>
      <c r="NE7" s="31" t="s">
        <v>314</v>
      </c>
      <c r="NF7" s="31" t="s">
        <v>47</v>
      </c>
      <c r="NG7" s="31" t="s">
        <v>331</v>
      </c>
      <c r="NH7" s="31" t="s">
        <v>17</v>
      </c>
      <c r="NI7" s="31" t="s">
        <v>17</v>
      </c>
      <c r="NJ7" s="31" t="s">
        <v>339</v>
      </c>
      <c r="NK7" s="31" t="s">
        <v>103</v>
      </c>
      <c r="NL7" s="31" t="s">
        <v>257</v>
      </c>
      <c r="NM7" s="31" t="s">
        <v>346</v>
      </c>
      <c r="NN7" s="31" t="s">
        <v>257</v>
      </c>
      <c r="NO7" s="31" t="s">
        <v>202</v>
      </c>
      <c r="NP7" s="31" t="s">
        <v>89</v>
      </c>
      <c r="NQ7" s="31" t="s">
        <v>140</v>
      </c>
      <c r="NR7" s="31" t="s">
        <v>204</v>
      </c>
      <c r="NS7" s="31" t="s">
        <v>358</v>
      </c>
      <c r="NT7" s="31" t="s">
        <v>362</v>
      </c>
      <c r="NU7" s="31" t="s">
        <v>365</v>
      </c>
      <c r="NV7" s="31" t="s">
        <v>204</v>
      </c>
      <c r="NW7" s="31" t="s">
        <v>368</v>
      </c>
      <c r="NX7" s="31" t="s">
        <v>371</v>
      </c>
      <c r="NY7" s="31" t="s">
        <v>257</v>
      </c>
      <c r="NZ7" s="31" t="s">
        <v>140</v>
      </c>
      <c r="OA7" s="31" t="s">
        <v>376</v>
      </c>
      <c r="OB7" s="31" t="s">
        <v>89</v>
      </c>
      <c r="OC7" s="31" t="s">
        <v>86</v>
      </c>
      <c r="OD7" s="31" t="s">
        <v>257</v>
      </c>
      <c r="OE7" s="31" t="s">
        <v>384</v>
      </c>
      <c r="OF7" s="31" t="s">
        <v>47</v>
      </c>
      <c r="OG7" s="31" t="s">
        <v>119</v>
      </c>
      <c r="OH7" s="31" t="s">
        <v>47</v>
      </c>
      <c r="OI7" s="31" t="s">
        <v>130</v>
      </c>
      <c r="OJ7" s="31" t="s">
        <v>247</v>
      </c>
      <c r="OK7" s="31" t="s">
        <v>257</v>
      </c>
      <c r="OL7" s="31" t="s">
        <v>17</v>
      </c>
      <c r="OM7" s="31" t="s">
        <v>240</v>
      </c>
      <c r="ON7" s="31" t="s">
        <v>103</v>
      </c>
      <c r="OO7" s="31" t="s">
        <v>257</v>
      </c>
      <c r="OP7" s="31" t="s">
        <v>399</v>
      </c>
      <c r="OQ7" s="31" t="s">
        <v>140</v>
      </c>
      <c r="OR7" s="31" t="s">
        <v>339</v>
      </c>
      <c r="OS7" s="31" t="s">
        <v>339</v>
      </c>
      <c r="OT7" s="31" t="s">
        <v>140</v>
      </c>
      <c r="OU7" s="31" t="s">
        <v>17</v>
      </c>
      <c r="OV7" s="31" t="s">
        <v>411</v>
      </c>
      <c r="OW7" s="31" t="s">
        <v>257</v>
      </c>
      <c r="OX7" s="31" t="s">
        <v>417</v>
      </c>
      <c r="OY7" s="31" t="s">
        <v>305</v>
      </c>
      <c r="OZ7" s="31" t="s">
        <v>429</v>
      </c>
      <c r="PA7" s="31" t="s">
        <v>257</v>
      </c>
      <c r="PB7" s="31" t="s">
        <v>432</v>
      </c>
      <c r="PC7" s="31" t="s">
        <v>89</v>
      </c>
      <c r="PD7" s="31" t="s">
        <v>89</v>
      </c>
      <c r="PE7" s="31" t="s">
        <v>439</v>
      </c>
      <c r="PF7" s="31" t="s">
        <v>103</v>
      </c>
      <c r="PG7" s="31" t="s">
        <v>103</v>
      </c>
      <c r="PH7" s="31" t="s">
        <v>103</v>
      </c>
      <c r="PI7" s="31" t="s">
        <v>62</v>
      </c>
      <c r="PJ7" s="31" t="s">
        <v>257</v>
      </c>
      <c r="PK7" s="31" t="s">
        <v>140</v>
      </c>
      <c r="PL7" s="31" t="s">
        <v>17</v>
      </c>
      <c r="PM7" s="31" t="s">
        <v>86</v>
      </c>
      <c r="PN7" s="31" t="s">
        <v>305</v>
      </c>
      <c r="PO7" s="31" t="s">
        <v>303</v>
      </c>
      <c r="PP7" s="31" t="s">
        <v>484</v>
      </c>
      <c r="PQ7" s="31" t="s">
        <v>489</v>
      </c>
      <c r="PR7" s="31" t="s">
        <v>429</v>
      </c>
      <c r="PS7" s="31" t="s">
        <v>492</v>
      </c>
      <c r="PT7" s="31" t="s">
        <v>417</v>
      </c>
      <c r="PU7" s="31" t="s">
        <v>495</v>
      </c>
      <c r="PV7" s="31" t="s">
        <v>497</v>
      </c>
      <c r="PW7" s="31" t="s">
        <v>86</v>
      </c>
      <c r="PX7" s="31" t="s">
        <v>511</v>
      </c>
      <c r="PY7" s="31" t="s">
        <v>514</v>
      </c>
      <c r="PZ7" s="31" t="s">
        <v>522</v>
      </c>
      <c r="QA7" s="31" t="s">
        <v>140</v>
      </c>
      <c r="QB7" s="31" t="s">
        <v>50</v>
      </c>
      <c r="QC7" s="31" t="s">
        <v>24</v>
      </c>
      <c r="QD7" s="31" t="s">
        <v>66</v>
      </c>
      <c r="QE7" s="31" t="s">
        <v>24</v>
      </c>
      <c r="QF7" s="31" t="s">
        <v>24</v>
      </c>
      <c r="QG7" s="31" t="s">
        <v>544</v>
      </c>
      <c r="QH7" s="31" t="s">
        <v>24</v>
      </c>
      <c r="QI7" s="31" t="s">
        <v>549</v>
      </c>
      <c r="QJ7" s="31" t="s">
        <v>32</v>
      </c>
      <c r="QK7" s="31" t="s">
        <v>66</v>
      </c>
      <c r="QL7" s="31" t="s">
        <v>24</v>
      </c>
      <c r="QM7" s="31" t="s">
        <v>557</v>
      </c>
      <c r="QN7" s="31" t="s">
        <v>544</v>
      </c>
      <c r="QO7" s="31" t="s">
        <v>97</v>
      </c>
      <c r="QP7" s="31" t="s">
        <v>143</v>
      </c>
      <c r="QQ7" s="31" t="s">
        <v>54</v>
      </c>
      <c r="QR7" s="31" t="s">
        <v>32</v>
      </c>
      <c r="QS7" s="31" t="s">
        <v>24</v>
      </c>
      <c r="QT7" s="31" t="s">
        <v>24</v>
      </c>
      <c r="QU7" s="31" t="s">
        <v>32</v>
      </c>
      <c r="QV7" s="31" t="s">
        <v>36</v>
      </c>
      <c r="QW7" s="31" t="s">
        <v>497</v>
      </c>
      <c r="QX7" s="31" t="s">
        <v>24</v>
      </c>
      <c r="QY7" s="31" t="s">
        <v>62</v>
      </c>
      <c r="QZ7" s="31" t="s">
        <v>544</v>
      </c>
      <c r="RA7" s="31" t="s">
        <v>17</v>
      </c>
      <c r="RB7" s="31" t="s">
        <v>50</v>
      </c>
      <c r="RC7" s="31" t="s">
        <v>66</v>
      </c>
      <c r="RD7" s="31" t="s">
        <v>588</v>
      </c>
      <c r="RE7" s="31" t="s">
        <v>590</v>
      </c>
      <c r="RF7" s="31" t="s">
        <v>62</v>
      </c>
      <c r="RG7" s="31" t="s">
        <v>97</v>
      </c>
      <c r="RH7" s="31" t="s">
        <v>32</v>
      </c>
      <c r="RI7" s="31" t="s">
        <v>597</v>
      </c>
      <c r="RJ7" s="31" t="s">
        <v>143</v>
      </c>
      <c r="RK7" s="31" t="s">
        <v>143</v>
      </c>
      <c r="RL7" s="31" t="s">
        <v>32</v>
      </c>
      <c r="RM7" s="31" t="s">
        <v>62</v>
      </c>
      <c r="RN7" s="31" t="s">
        <v>588</v>
      </c>
      <c r="RO7" s="31" t="s">
        <v>24</v>
      </c>
      <c r="RP7" s="31" t="s">
        <v>66</v>
      </c>
      <c r="RQ7" s="31" t="s">
        <v>557</v>
      </c>
      <c r="RR7" s="31" t="s">
        <v>62</v>
      </c>
      <c r="RS7" s="31" t="s">
        <v>188</v>
      </c>
      <c r="RT7" s="31" t="s">
        <v>36</v>
      </c>
      <c r="RU7" s="31" t="s">
        <v>50</v>
      </c>
      <c r="RV7" s="31" t="s">
        <v>124</v>
      </c>
      <c r="RW7" s="31" t="s">
        <v>143</v>
      </c>
      <c r="RX7" s="31" t="s">
        <v>588</v>
      </c>
      <c r="RY7" s="31" t="s">
        <v>119</v>
      </c>
      <c r="RZ7" s="31" t="s">
        <v>32</v>
      </c>
      <c r="SA7" s="31" t="s">
        <v>32</v>
      </c>
      <c r="SB7" s="31" t="s">
        <v>62</v>
      </c>
      <c r="SC7" s="31" t="s">
        <v>634</v>
      </c>
      <c r="SD7" s="31" t="s">
        <v>62</v>
      </c>
      <c r="SE7" s="31" t="s">
        <v>24</v>
      </c>
      <c r="SF7" s="31" t="s">
        <v>143</v>
      </c>
      <c r="SG7" s="31" t="s">
        <v>648</v>
      </c>
      <c r="SH7" s="31" t="s">
        <v>119</v>
      </c>
      <c r="SI7" s="31" t="s">
        <v>36</v>
      </c>
      <c r="SJ7" s="31" t="s">
        <v>415</v>
      </c>
      <c r="SK7" s="31" t="s">
        <v>143</v>
      </c>
      <c r="SL7" s="31" t="s">
        <v>62</v>
      </c>
      <c r="SM7" s="31" t="s">
        <v>661</v>
      </c>
      <c r="SN7" s="31" t="s">
        <v>143</v>
      </c>
      <c r="SO7" s="31" t="s">
        <v>665</v>
      </c>
      <c r="SP7" s="31" t="s">
        <v>62</v>
      </c>
      <c r="SQ7" s="31" t="s">
        <v>143</v>
      </c>
      <c r="SR7" s="31" t="s">
        <v>671</v>
      </c>
      <c r="SS7" s="31" t="s">
        <v>648</v>
      </c>
      <c r="ST7" s="31" t="s">
        <v>47</v>
      </c>
      <c r="SU7" s="31" t="s">
        <v>36</v>
      </c>
      <c r="SV7" s="31" t="s">
        <v>681</v>
      </c>
      <c r="SW7" s="31" t="s">
        <v>17</v>
      </c>
      <c r="SX7" s="31" t="s">
        <v>399</v>
      </c>
      <c r="SY7" s="31" t="s">
        <v>247</v>
      </c>
      <c r="SZ7" s="31" t="s">
        <v>66</v>
      </c>
      <c r="TA7" s="31" t="s">
        <v>119</v>
      </c>
      <c r="TB7" s="31" t="s">
        <v>665</v>
      </c>
      <c r="TC7" s="31" t="s">
        <v>215</v>
      </c>
      <c r="TD7" s="31" t="s">
        <v>143</v>
      </c>
      <c r="TE7" s="31" t="s">
        <v>66</v>
      </c>
      <c r="TF7" s="31" t="s">
        <v>681</v>
      </c>
      <c r="TG7" s="31" t="s">
        <v>700</v>
      </c>
      <c r="TH7" s="31" t="s">
        <v>124</v>
      </c>
      <c r="TI7" s="31" t="s">
        <v>36</v>
      </c>
      <c r="TJ7" s="31" t="s">
        <v>143</v>
      </c>
      <c r="TK7" s="31" t="s">
        <v>66</v>
      </c>
      <c r="TL7" s="31" t="s">
        <v>174</v>
      </c>
      <c r="TM7" s="31" t="s">
        <v>17</v>
      </c>
      <c r="TN7" s="31" t="s">
        <v>47</v>
      </c>
      <c r="TO7" s="31" t="s">
        <v>119</v>
      </c>
      <c r="TP7" s="31" t="s">
        <v>716</v>
      </c>
      <c r="TQ7" s="31" t="s">
        <v>17</v>
      </c>
      <c r="TR7" s="31" t="s">
        <v>66</v>
      </c>
      <c r="TS7" s="31" t="s">
        <v>66</v>
      </c>
      <c r="TT7" s="31" t="s">
        <v>47</v>
      </c>
      <c r="TU7" s="31" t="s">
        <v>119</v>
      </c>
      <c r="TV7" s="31" t="s">
        <v>243</v>
      </c>
      <c r="TW7" s="31" t="s">
        <v>732</v>
      </c>
      <c r="TX7" s="31" t="s">
        <v>143</v>
      </c>
      <c r="TY7" s="31" t="s">
        <v>66</v>
      </c>
      <c r="TZ7" s="31" t="s">
        <v>484</v>
      </c>
      <c r="UA7" s="31" t="s">
        <v>17</v>
      </c>
      <c r="UB7" s="31" t="s">
        <v>741</v>
      </c>
      <c r="UC7" s="31" t="s">
        <v>66</v>
      </c>
      <c r="UD7" s="31" t="s">
        <v>745</v>
      </c>
      <c r="UE7" s="31" t="s">
        <v>747</v>
      </c>
      <c r="UF7" s="31" t="s">
        <v>17</v>
      </c>
      <c r="UG7" s="31" t="s">
        <v>751</v>
      </c>
      <c r="UH7" s="31" t="s">
        <v>449</v>
      </c>
      <c r="UI7" s="31" t="s">
        <v>755</v>
      </c>
      <c r="UJ7" s="31" t="s">
        <v>757</v>
      </c>
      <c r="UK7" s="31" t="s">
        <v>174</v>
      </c>
      <c r="UL7" s="31" t="s">
        <v>257</v>
      </c>
      <c r="UM7" s="31" t="s">
        <v>764</v>
      </c>
      <c r="UN7" s="31" t="s">
        <v>764</v>
      </c>
      <c r="UO7" s="31" t="s">
        <v>130</v>
      </c>
      <c r="UP7" s="31" t="s">
        <v>66</v>
      </c>
      <c r="UQ7" s="31" t="s">
        <v>411</v>
      </c>
      <c r="UR7" s="31" t="s">
        <v>774</v>
      </c>
      <c r="US7" s="31" t="s">
        <v>179</v>
      </c>
      <c r="UT7" s="31" t="s">
        <v>484</v>
      </c>
      <c r="UU7" s="31" t="s">
        <v>779</v>
      </c>
      <c r="UV7" s="31" t="s">
        <v>47</v>
      </c>
      <c r="UW7" s="31" t="s">
        <v>213</v>
      </c>
      <c r="UX7" s="31" t="s">
        <v>257</v>
      </c>
      <c r="UY7" s="31" t="s">
        <v>66</v>
      </c>
      <c r="UZ7" s="31" t="s">
        <v>17</v>
      </c>
      <c r="VA7" s="31" t="s">
        <v>789</v>
      </c>
      <c r="VB7" s="31" t="s">
        <v>164</v>
      </c>
      <c r="VC7" s="31" t="s">
        <v>793</v>
      </c>
      <c r="VD7" s="31" t="s">
        <v>17</v>
      </c>
      <c r="VE7" s="31" t="s">
        <v>36</v>
      </c>
      <c r="VF7" s="31" t="s">
        <v>779</v>
      </c>
      <c r="VG7" s="31" t="s">
        <v>257</v>
      </c>
      <c r="VH7" s="31" t="s">
        <v>774</v>
      </c>
      <c r="VI7" s="31" t="s">
        <v>47</v>
      </c>
      <c r="VJ7" s="31" t="s">
        <v>478</v>
      </c>
      <c r="VK7" s="31" t="s">
        <v>484</v>
      </c>
      <c r="VL7" s="31" t="s">
        <v>764</v>
      </c>
      <c r="VM7" s="31" t="s">
        <v>47</v>
      </c>
      <c r="VN7" s="31" t="s">
        <v>66</v>
      </c>
      <c r="VO7" s="31" t="s">
        <v>213</v>
      </c>
      <c r="VP7" s="31" t="s">
        <v>66</v>
      </c>
      <c r="VQ7" s="31" t="s">
        <v>103</v>
      </c>
      <c r="VR7" s="31" t="s">
        <v>417</v>
      </c>
      <c r="VS7" s="31" t="s">
        <v>818</v>
      </c>
      <c r="VT7" s="31" t="s">
        <v>243</v>
      </c>
      <c r="VU7" s="31" t="s">
        <v>257</v>
      </c>
      <c r="VV7" s="31" t="s">
        <v>47</v>
      </c>
      <c r="VW7" s="31" t="s">
        <v>755</v>
      </c>
      <c r="VX7" s="31" t="s">
        <v>47</v>
      </c>
      <c r="VY7" s="31" t="s">
        <v>257</v>
      </c>
      <c r="VZ7" s="31" t="s">
        <v>257</v>
      </c>
      <c r="WA7" s="31" t="s">
        <v>47</v>
      </c>
      <c r="WB7" s="31" t="s">
        <v>834</v>
      </c>
      <c r="WC7" s="31" t="s">
        <v>837</v>
      </c>
      <c r="WD7" s="31" t="s">
        <v>47</v>
      </c>
      <c r="WE7" s="31" t="s">
        <v>841</v>
      </c>
      <c r="WF7" s="31" t="s">
        <v>257</v>
      </c>
      <c r="WG7" s="31" t="s">
        <v>492</v>
      </c>
      <c r="WH7" s="31" t="s">
        <v>213</v>
      </c>
      <c r="WI7" s="31" t="s">
        <v>818</v>
      </c>
      <c r="WJ7" s="31" t="s">
        <v>257</v>
      </c>
      <c r="WK7" s="31" t="s">
        <v>179</v>
      </c>
      <c r="WL7" s="31" t="s">
        <v>417</v>
      </c>
      <c r="WM7" s="31" t="s">
        <v>17</v>
      </c>
      <c r="WN7" s="31" t="s">
        <v>859</v>
      </c>
      <c r="WO7" s="31" t="s">
        <v>36</v>
      </c>
      <c r="WP7" s="31" t="s">
        <v>36</v>
      </c>
      <c r="WQ7" s="31" t="s">
        <v>17</v>
      </c>
      <c r="WR7" s="31" t="s">
        <v>130</v>
      </c>
      <c r="WS7" s="31" t="s">
        <v>818</v>
      </c>
      <c r="WT7" s="31" t="s">
        <v>17</v>
      </c>
      <c r="WU7" s="31" t="s">
        <v>213</v>
      </c>
      <c r="WV7" s="31" t="s">
        <v>376</v>
      </c>
      <c r="WW7" s="31" t="s">
        <v>257</v>
      </c>
      <c r="WX7" s="31" t="s">
        <v>36</v>
      </c>
      <c r="WY7" s="31" t="s">
        <v>257</v>
      </c>
      <c r="WZ7" s="31" t="s">
        <v>484</v>
      </c>
      <c r="XA7" s="31" t="s">
        <v>818</v>
      </c>
      <c r="XB7" s="31" t="s">
        <v>417</v>
      </c>
      <c r="XC7" s="31" t="s">
        <v>130</v>
      </c>
      <c r="XD7" s="31" t="s">
        <v>257</v>
      </c>
      <c r="XE7" s="31" t="s">
        <v>859</v>
      </c>
      <c r="XF7" s="31" t="s">
        <v>884</v>
      </c>
      <c r="XG7" s="31" t="s">
        <v>417</v>
      </c>
      <c r="XH7" s="31" t="s">
        <v>257</v>
      </c>
      <c r="XI7" s="31" t="s">
        <v>834</v>
      </c>
      <c r="XJ7" s="31" t="s">
        <v>837</v>
      </c>
      <c r="XK7" s="31" t="s">
        <v>793</v>
      </c>
      <c r="XL7" s="31" t="s">
        <v>478</v>
      </c>
      <c r="XM7" s="31" t="s">
        <v>36</v>
      </c>
      <c r="XN7" s="31" t="s">
        <v>213</v>
      </c>
      <c r="XO7" s="31" t="s">
        <v>257</v>
      </c>
      <c r="XP7" s="31" t="s">
        <v>429</v>
      </c>
      <c r="XQ7" s="31" t="s">
        <v>130</v>
      </c>
      <c r="XR7" s="31" t="s">
        <v>837</v>
      </c>
      <c r="XS7" s="31" t="s">
        <v>103</v>
      </c>
      <c r="XT7" s="31" t="s">
        <v>213</v>
      </c>
      <c r="XU7" s="31" t="s">
        <v>399</v>
      </c>
      <c r="XV7" s="31" t="s">
        <v>417</v>
      </c>
      <c r="XW7" s="31" t="s">
        <v>923</v>
      </c>
      <c r="XX7" s="31" t="s">
        <v>793</v>
      </c>
      <c r="XY7" s="31" t="s">
        <v>103</v>
      </c>
      <c r="XZ7" s="31" t="s">
        <v>929</v>
      </c>
      <c r="YA7" s="31" t="s">
        <v>257</v>
      </c>
      <c r="YB7" s="31" t="s">
        <v>103</v>
      </c>
      <c r="YC7" s="31" t="s">
        <v>429</v>
      </c>
      <c r="YD7" s="31" t="s">
        <v>103</v>
      </c>
      <c r="YE7" s="31" t="s">
        <v>939</v>
      </c>
      <c r="YF7" s="31" t="s">
        <v>944</v>
      </c>
      <c r="YG7" s="31" t="s">
        <v>837</v>
      </c>
      <c r="YH7" s="31" t="s">
        <v>944</v>
      </c>
      <c r="YI7" s="31" t="s">
        <v>257</v>
      </c>
      <c r="YJ7" s="31" t="s">
        <v>944</v>
      </c>
      <c r="YK7" s="31" t="s">
        <v>417</v>
      </c>
      <c r="YL7" s="31" t="s">
        <v>417</v>
      </c>
      <c r="YM7" s="31" t="s">
        <v>130</v>
      </c>
      <c r="YN7" s="31" t="s">
        <v>36</v>
      </c>
      <c r="YO7" s="31" t="s">
        <v>36</v>
      </c>
      <c r="YP7" s="31" t="s">
        <v>130</v>
      </c>
      <c r="YQ7" s="31" t="s">
        <v>103</v>
      </c>
      <c r="YR7" s="31" t="s">
        <v>103</v>
      </c>
      <c r="YS7" s="31" t="s">
        <v>417</v>
      </c>
      <c r="YT7" s="31" t="s">
        <v>130</v>
      </c>
      <c r="YU7" s="31" t="s">
        <v>213</v>
      </c>
      <c r="YV7" s="31" t="s">
        <v>130</v>
      </c>
      <c r="YW7" s="31" t="s">
        <v>36</v>
      </c>
      <c r="YX7" s="31" t="s">
        <v>36</v>
      </c>
      <c r="YY7" s="31" t="s">
        <v>103</v>
      </c>
      <c r="YZ7" s="31" t="s">
        <v>257</v>
      </c>
      <c r="ZA7" s="31" t="s">
        <v>103</v>
      </c>
      <c r="ZB7" s="31" t="s">
        <v>257</v>
      </c>
      <c r="ZC7" s="31" t="s">
        <v>103</v>
      </c>
      <c r="ZD7" s="31" t="s">
        <v>130</v>
      </c>
      <c r="ZE7" s="31" t="s">
        <v>140</v>
      </c>
      <c r="ZF7" s="31" t="s">
        <v>213</v>
      </c>
      <c r="ZG7" s="31" t="s">
        <v>66</v>
      </c>
      <c r="ZH7" s="31" t="s">
        <v>257</v>
      </c>
      <c r="ZI7" s="31" t="s">
        <v>36</v>
      </c>
      <c r="ZJ7" s="31" t="s">
        <v>130</v>
      </c>
      <c r="ZK7" s="31" t="s">
        <v>1000</v>
      </c>
      <c r="ZL7" s="31" t="s">
        <v>1002</v>
      </c>
      <c r="ZM7" s="31" t="s">
        <v>36</v>
      </c>
      <c r="ZN7" s="31" t="s">
        <v>429</v>
      </c>
      <c r="ZO7" s="31" t="s">
        <v>257</v>
      </c>
      <c r="ZP7" s="31" t="s">
        <v>103</v>
      </c>
      <c r="ZQ7" s="31" t="s">
        <v>36</v>
      </c>
      <c r="ZR7" s="31" t="s">
        <v>36</v>
      </c>
      <c r="ZS7" s="31" t="s">
        <v>417</v>
      </c>
      <c r="ZT7" s="31" t="s">
        <v>213</v>
      </c>
      <c r="ZU7" s="31" t="s">
        <v>429</v>
      </c>
      <c r="ZV7" s="31" t="s">
        <v>66</v>
      </c>
      <c r="ZW7" s="31" t="s">
        <v>257</v>
      </c>
      <c r="ZX7" s="31" t="s">
        <v>130</v>
      </c>
      <c r="ZY7" s="31" t="s">
        <v>36</v>
      </c>
      <c r="ZZ7" s="31" t="s">
        <v>417</v>
      </c>
      <c r="AAA7" s="31" t="s">
        <v>66</v>
      </c>
      <c r="AAB7" s="31" t="s">
        <v>130</v>
      </c>
      <c r="AAC7" s="31" t="s">
        <v>834</v>
      </c>
      <c r="AAD7" s="31" t="s">
        <v>939</v>
      </c>
      <c r="AAE7" s="31" t="s">
        <v>834</v>
      </c>
      <c r="AAF7" s="31" t="s">
        <v>36</v>
      </c>
      <c r="AAG7" s="31" t="s">
        <v>36</v>
      </c>
      <c r="AAH7" s="31" t="s">
        <v>130</v>
      </c>
      <c r="AAI7" s="31" t="s">
        <v>36</v>
      </c>
      <c r="AAJ7" s="31" t="s">
        <v>834</v>
      </c>
      <c r="AAK7" s="31" t="s">
        <v>417</v>
      </c>
      <c r="AAL7" s="31" t="s">
        <v>66</v>
      </c>
      <c r="AAM7" s="31" t="s">
        <v>1067</v>
      </c>
      <c r="AAN7" s="31" t="s">
        <v>36</v>
      </c>
      <c r="AAO7" s="31" t="s">
        <v>834</v>
      </c>
      <c r="AAP7" s="31" t="s">
        <v>103</v>
      </c>
      <c r="AAQ7" s="31" t="s">
        <v>1002</v>
      </c>
      <c r="AAR7" s="31" t="s">
        <v>1081</v>
      </c>
      <c r="AAS7" s="31" t="s">
        <v>66</v>
      </c>
      <c r="AAT7" s="31" t="s">
        <v>1086</v>
      </c>
      <c r="AAU7" s="31" t="s">
        <v>1088</v>
      </c>
      <c r="AAV7" s="31" t="s">
        <v>66</v>
      </c>
      <c r="AAW7" s="31" t="s">
        <v>417</v>
      </c>
      <c r="AAX7" s="31" t="s">
        <v>130</v>
      </c>
      <c r="AAY7" s="31" t="s">
        <v>834</v>
      </c>
      <c r="AAZ7" s="31" t="s">
        <v>66</v>
      </c>
      <c r="ABA7" s="31" t="s">
        <v>834</v>
      </c>
      <c r="ABB7" s="31" t="s">
        <v>1002</v>
      </c>
      <c r="ABC7" s="31" t="s">
        <v>36</v>
      </c>
      <c r="ABD7" s="31" t="s">
        <v>417</v>
      </c>
      <c r="ABE7" s="31" t="s">
        <v>257</v>
      </c>
      <c r="ABF7" s="31" t="s">
        <v>1106</v>
      </c>
      <c r="ABG7" s="31" t="s">
        <v>257</v>
      </c>
      <c r="ABH7" s="31" t="s">
        <v>751</v>
      </c>
      <c r="ABI7" s="31" t="s">
        <v>399</v>
      </c>
      <c r="ABJ7" s="31" t="s">
        <v>36</v>
      </c>
      <c r="ABK7" s="31" t="s">
        <v>130</v>
      </c>
      <c r="ABL7" s="31" t="s">
        <v>1118</v>
      </c>
      <c r="ABM7" s="31" t="s">
        <v>514</v>
      </c>
      <c r="ABN7" s="31" t="s">
        <v>834</v>
      </c>
      <c r="ABO7" s="31" t="s">
        <v>66</v>
      </c>
      <c r="ABP7" s="31" t="s">
        <v>66</v>
      </c>
      <c r="ABQ7" s="31" t="s">
        <v>36</v>
      </c>
      <c r="ABR7" s="31" t="s">
        <v>213</v>
      </c>
      <c r="ABS7" s="31" t="s">
        <v>257</v>
      </c>
      <c r="ABT7" s="31" t="s">
        <v>66</v>
      </c>
      <c r="ABU7" s="31" t="s">
        <v>36</v>
      </c>
      <c r="ABV7" s="31" t="s">
        <v>834</v>
      </c>
      <c r="ABW7" s="31" t="s">
        <v>66</v>
      </c>
      <c r="ABX7" s="31" t="s">
        <v>130</v>
      </c>
      <c r="ABY7" s="31" t="s">
        <v>1069</v>
      </c>
      <c r="ABZ7" s="31" t="s">
        <v>1142</v>
      </c>
      <c r="ACA7" s="31" t="s">
        <v>66</v>
      </c>
      <c r="ACB7" s="31" t="s">
        <v>834</v>
      </c>
      <c r="ACC7" s="31" t="s">
        <v>834</v>
      </c>
      <c r="ACD7" s="31" t="s">
        <v>384</v>
      </c>
      <c r="ACE7" s="31" t="s">
        <v>257</v>
      </c>
      <c r="ACF7" s="31" t="s">
        <v>130</v>
      </c>
      <c r="ACG7" s="31" t="s">
        <v>1155</v>
      </c>
      <c r="ACH7" s="31" t="s">
        <v>36</v>
      </c>
      <c r="ACI7" s="31" t="s">
        <v>1106</v>
      </c>
      <c r="ACJ7" s="31" t="s">
        <v>834</v>
      </c>
      <c r="ACK7" s="31" t="s">
        <v>66</v>
      </c>
      <c r="ACL7" s="31" t="s">
        <v>834</v>
      </c>
      <c r="ACM7" s="31" t="s">
        <v>103</v>
      </c>
      <c r="ACN7" s="31" t="s">
        <v>103</v>
      </c>
      <c r="ACO7" s="31" t="s">
        <v>103</v>
      </c>
      <c r="ACP7" s="31" t="s">
        <v>1155</v>
      </c>
      <c r="ACQ7" s="31" t="s">
        <v>140</v>
      </c>
      <c r="ACR7" s="31" t="s">
        <v>17</v>
      </c>
      <c r="ACS7" s="31" t="s">
        <v>97</v>
      </c>
      <c r="ACT7" s="31" t="s">
        <v>24</v>
      </c>
      <c r="ACU7" s="31" t="s">
        <v>557</v>
      </c>
      <c r="ACV7" s="31" t="s">
        <v>143</v>
      </c>
      <c r="ACW7" s="31" t="s">
        <v>133</v>
      </c>
      <c r="ACX7" s="31" t="s">
        <v>544</v>
      </c>
      <c r="ACY7" s="31" t="s">
        <v>161</v>
      </c>
      <c r="ACZ7" s="31" t="s">
        <v>24</v>
      </c>
      <c r="ADA7" s="31" t="s">
        <v>143</v>
      </c>
      <c r="ADB7" s="31" t="s">
        <v>66</v>
      </c>
      <c r="ADC7" s="31" t="s">
        <v>66</v>
      </c>
      <c r="ADD7" s="31" t="s">
        <v>1190</v>
      </c>
      <c r="ADE7" s="31" t="s">
        <v>557</v>
      </c>
      <c r="ADF7" s="31" t="s">
        <v>24</v>
      </c>
      <c r="ADG7" s="31" t="s">
        <v>1190</v>
      </c>
      <c r="ADH7" s="31" t="s">
        <v>24</v>
      </c>
      <c r="ADI7" s="31" t="s">
        <v>24</v>
      </c>
      <c r="ADJ7" s="31" t="s">
        <v>66</v>
      </c>
      <c r="ADK7" s="31" t="s">
        <v>1209</v>
      </c>
      <c r="ADL7" s="31" t="s">
        <v>130</v>
      </c>
      <c r="ADM7" s="31" t="s">
        <v>130</v>
      </c>
      <c r="ADN7" s="31" t="s">
        <v>834</v>
      </c>
      <c r="ADO7" s="31" t="s">
        <v>1214</v>
      </c>
      <c r="ADP7" s="31" t="s">
        <v>1219</v>
      </c>
      <c r="ADQ7" s="31" t="s">
        <v>130</v>
      </c>
      <c r="ADR7" s="31" t="s">
        <v>1226</v>
      </c>
      <c r="ADS7" s="31" t="s">
        <v>213</v>
      </c>
      <c r="ADT7" s="31" t="s">
        <v>36</v>
      </c>
      <c r="ADU7" s="31" t="s">
        <v>1238</v>
      </c>
      <c r="ADV7" s="31" t="s">
        <v>834</v>
      </c>
      <c r="ADW7" s="31" t="s">
        <v>478</v>
      </c>
      <c r="ADX7" s="31" t="s">
        <v>89</v>
      </c>
      <c r="ADY7" s="31" t="s">
        <v>192</v>
      </c>
      <c r="ADZ7" s="31" t="s">
        <v>89</v>
      </c>
      <c r="AEA7" s="31" t="s">
        <v>634</v>
      </c>
      <c r="AEB7" s="31" t="s">
        <v>634</v>
      </c>
      <c r="AEC7" s="31" t="s">
        <v>278</v>
      </c>
      <c r="AED7" s="31" t="s">
        <v>278</v>
      </c>
      <c r="AEE7" s="31" t="s">
        <v>278</v>
      </c>
      <c r="AEF7" s="31" t="s">
        <v>24</v>
      </c>
      <c r="AEG7" s="31" t="s">
        <v>497</v>
      </c>
      <c r="AEH7" s="31" t="s">
        <v>32</v>
      </c>
      <c r="AEI7" s="31" t="s">
        <v>681</v>
      </c>
      <c r="AEJ7" s="31" t="s">
        <v>36</v>
      </c>
      <c r="AEK7" s="31" t="s">
        <v>257</v>
      </c>
      <c r="AEL7" s="31" t="s">
        <v>137</v>
      </c>
      <c r="AEM7" s="31" t="s">
        <v>1199</v>
      </c>
      <c r="AEN7" s="31" t="s">
        <v>1326</v>
      </c>
      <c r="AEO7" s="31" t="s">
        <v>24</v>
      </c>
      <c r="AEP7" s="31" t="s">
        <v>1334</v>
      </c>
      <c r="AEQ7" s="31" t="s">
        <v>634</v>
      </c>
      <c r="AER7" s="31" t="s">
        <v>288</v>
      </c>
      <c r="AES7" s="31" t="s">
        <v>50</v>
      </c>
      <c r="AET7" s="31" t="s">
        <v>634</v>
      </c>
      <c r="AEU7" s="31" t="s">
        <v>89</v>
      </c>
      <c r="AEV7" s="31" t="s">
        <v>1359</v>
      </c>
      <c r="AEW7" s="31" t="s">
        <v>764</v>
      </c>
      <c r="AEX7" s="31" t="s">
        <v>213</v>
      </c>
      <c r="AEY7" s="31" t="s">
        <v>66</v>
      </c>
      <c r="AEZ7" s="31" t="s">
        <v>213</v>
      </c>
      <c r="AFA7" s="31" t="s">
        <v>32</v>
      </c>
      <c r="AFB7" s="31" t="s">
        <v>269</v>
      </c>
      <c r="AFC7" s="31" t="s">
        <v>257</v>
      </c>
      <c r="AFD7" s="31" t="s">
        <v>1408</v>
      </c>
      <c r="AFE7" s="31" t="s">
        <v>1410</v>
      </c>
      <c r="AFF7" s="31" t="s">
        <v>497</v>
      </c>
      <c r="AFG7" s="31" t="s">
        <v>50</v>
      </c>
      <c r="AFH7" s="31" t="s">
        <v>213</v>
      </c>
      <c r="AFI7" s="31" t="s">
        <v>130</v>
      </c>
      <c r="AFJ7" s="31" t="s">
        <v>213</v>
      </c>
      <c r="AFK7" s="31" t="s">
        <v>1421</v>
      </c>
      <c r="AFL7" s="31" t="s">
        <v>484</v>
      </c>
      <c r="AFM7" s="31" t="s">
        <v>36</v>
      </c>
      <c r="AFN7" s="31" t="s">
        <v>103</v>
      </c>
      <c r="AFO7" s="31" t="s">
        <v>634</v>
      </c>
      <c r="AFP7" s="31" t="s">
        <v>257</v>
      </c>
      <c r="AFQ7" s="31" t="s">
        <v>179</v>
      </c>
      <c r="AFR7" s="31" t="s">
        <v>89</v>
      </c>
      <c r="AFS7" s="31" t="s">
        <v>399</v>
      </c>
      <c r="AFT7" s="31" t="s">
        <v>89</v>
      </c>
      <c r="AFU7" s="31" t="s">
        <v>24</v>
      </c>
      <c r="AFV7" s="31" t="s">
        <v>399</v>
      </c>
      <c r="AFW7" s="31" t="s">
        <v>399</v>
      </c>
      <c r="AFX7" s="31" t="s">
        <v>278</v>
      </c>
      <c r="AFY7" s="31" t="s">
        <v>1440</v>
      </c>
      <c r="AFZ7" s="31" t="s">
        <v>415</v>
      </c>
      <c r="AGA7" s="31" t="s">
        <v>32</v>
      </c>
      <c r="AGB7" s="31" t="s">
        <v>24</v>
      </c>
      <c r="AGC7" s="31" t="s">
        <v>213</v>
      </c>
      <c r="AGD7" s="31" t="s">
        <v>213</v>
      </c>
      <c r="AGE7" s="31" t="s">
        <v>376</v>
      </c>
      <c r="AGF7" s="31" t="s">
        <v>365</v>
      </c>
      <c r="AGG7" s="31" t="s">
        <v>365</v>
      </c>
      <c r="AGH7" s="31" t="s">
        <v>1264</v>
      </c>
      <c r="AGI7" s="31" t="s">
        <v>164</v>
      </c>
      <c r="AGJ7" s="31" t="s">
        <v>62</v>
      </c>
      <c r="AGK7" s="31" t="s">
        <v>103</v>
      </c>
      <c r="AGL7" s="31" t="s">
        <v>17</v>
      </c>
      <c r="AGM7" s="31" t="s">
        <v>62</v>
      </c>
      <c r="AGN7" s="31" t="s">
        <v>17</v>
      </c>
      <c r="AGO7" s="31" t="s">
        <v>17</v>
      </c>
      <c r="AGP7" s="31" t="s">
        <v>17</v>
      </c>
      <c r="AGQ7" s="31" t="s">
        <v>17</v>
      </c>
      <c r="AGR7" s="31" t="s">
        <v>1474</v>
      </c>
      <c r="AGS7" s="31" t="s">
        <v>66</v>
      </c>
      <c r="AGT7" s="31" t="s">
        <v>32</v>
      </c>
      <c r="AGU7" s="31" t="s">
        <v>1264</v>
      </c>
      <c r="AGV7" s="31" t="s">
        <v>47</v>
      </c>
      <c r="AGW7" s="31" t="s">
        <v>484</v>
      </c>
      <c r="AGX7" s="31" t="s">
        <v>36</v>
      </c>
      <c r="AGY7" s="31" t="s">
        <v>362</v>
      </c>
      <c r="AGZ7" s="31" t="s">
        <v>745</v>
      </c>
      <c r="AHA7" s="31" t="s">
        <v>62</v>
      </c>
      <c r="AHB7" s="31" t="s">
        <v>179</v>
      </c>
      <c r="AHC7" s="31" t="s">
        <v>213</v>
      </c>
      <c r="AHD7" s="31" t="s">
        <v>1083</v>
      </c>
      <c r="AHE7" s="31" t="s">
        <v>1497</v>
      </c>
      <c r="AHF7" s="31" t="s">
        <v>1500</v>
      </c>
      <c r="AHG7" s="31" t="s">
        <v>1500</v>
      </c>
      <c r="AHH7" s="31" t="s">
        <v>278</v>
      </c>
      <c r="AHI7" s="31" t="s">
        <v>1086</v>
      </c>
      <c r="AHJ7" s="31" t="s">
        <v>130</v>
      </c>
      <c r="AHK7" s="31" t="s">
        <v>417</v>
      </c>
      <c r="AHL7" s="31" t="s">
        <v>429</v>
      </c>
      <c r="AHM7" s="31" t="s">
        <v>429</v>
      </c>
      <c r="AHN7" s="31" t="s">
        <v>429</v>
      </c>
      <c r="AHO7" s="31" t="s">
        <v>834</v>
      </c>
      <c r="AHP7" s="31" t="s">
        <v>429</v>
      </c>
      <c r="AHQ7" s="31" t="s">
        <v>429</v>
      </c>
      <c r="AHR7" s="31" t="s">
        <v>429</v>
      </c>
      <c r="AHS7" s="31" t="s">
        <v>429</v>
      </c>
      <c r="AHT7" s="31" t="s">
        <v>429</v>
      </c>
      <c r="AHU7" s="31" t="s">
        <v>429</v>
      </c>
      <c r="AHV7" s="31" t="s">
        <v>70</v>
      </c>
      <c r="AHW7" s="31" t="s">
        <v>70</v>
      </c>
      <c r="AHX7" s="31" t="s">
        <v>119</v>
      </c>
      <c r="AHY7" s="31" t="s">
        <v>119</v>
      </c>
      <c r="AHZ7" s="31" t="s">
        <v>24</v>
      </c>
      <c r="AIA7" s="31" t="s">
        <v>732</v>
      </c>
      <c r="AIB7" s="31" t="s">
        <v>257</v>
      </c>
      <c r="AIC7" s="31" t="s">
        <v>89</v>
      </c>
      <c r="AID7" s="31" t="s">
        <v>130</v>
      </c>
      <c r="AIE7" s="31" t="s">
        <v>1540</v>
      </c>
      <c r="AIF7" s="31" t="s">
        <v>417</v>
      </c>
      <c r="AIG7" s="31" t="s">
        <v>1214</v>
      </c>
      <c r="AIH7" s="31" t="s">
        <v>204</v>
      </c>
      <c r="AII7" s="31" t="s">
        <v>944</v>
      </c>
      <c r="AIJ7" s="31" t="s">
        <v>1549</v>
      </c>
      <c r="AIK7" s="31" t="s">
        <v>1551</v>
      </c>
      <c r="AIL7" s="31" t="s">
        <v>417</v>
      </c>
      <c r="AIM7" s="31" t="s">
        <v>1002</v>
      </c>
      <c r="AIN7" s="31" t="s">
        <v>590</v>
      </c>
      <c r="AIO7" s="31" t="s">
        <v>590</v>
      </c>
      <c r="AIP7" s="31" t="s">
        <v>590</v>
      </c>
      <c r="AIQ7" s="31" t="s">
        <v>793</v>
      </c>
      <c r="AIR7" s="31" t="s">
        <v>834</v>
      </c>
      <c r="AIS7" s="31" t="s">
        <v>1565</v>
      </c>
      <c r="AIT7" s="31" t="s">
        <v>1565</v>
      </c>
      <c r="AIU7" s="31" t="s">
        <v>1565</v>
      </c>
      <c r="AIV7" s="31" t="s">
        <v>1565</v>
      </c>
      <c r="AIW7" s="31" t="s">
        <v>1573</v>
      </c>
      <c r="AIX7" s="31" t="s">
        <v>213</v>
      </c>
      <c r="AIY7" s="31" t="s">
        <v>130</v>
      </c>
      <c r="AIZ7" s="31" t="s">
        <v>417</v>
      </c>
      <c r="AJA7" s="31" t="s">
        <v>1580</v>
      </c>
      <c r="AJB7" s="31" t="s">
        <v>47</v>
      </c>
      <c r="AJC7" s="31" t="s">
        <v>103</v>
      </c>
      <c r="AJD7" s="31" t="s">
        <v>213</v>
      </c>
      <c r="AJE7" s="31" t="s">
        <v>257</v>
      </c>
      <c r="AJF7" s="31" t="s">
        <v>257</v>
      </c>
      <c r="AJG7" s="31" t="s">
        <v>257</v>
      </c>
      <c r="AJH7" s="31" t="s">
        <v>70</v>
      </c>
      <c r="AJI7" s="31" t="s">
        <v>140</v>
      </c>
      <c r="AJJ7" s="31" t="s">
        <v>70</v>
      </c>
      <c r="AJK7" s="31" t="s">
        <v>257</v>
      </c>
      <c r="AJL7" s="31" t="s">
        <v>399</v>
      </c>
      <c r="AJM7" s="31" t="s">
        <v>89</v>
      </c>
      <c r="AJN7" s="31" t="s">
        <v>89</v>
      </c>
      <c r="AJO7" s="31" t="s">
        <v>124</v>
      </c>
      <c r="AJP7" s="31" t="s">
        <v>70</v>
      </c>
      <c r="AJQ7" s="31" t="s">
        <v>111</v>
      </c>
      <c r="AJR7" s="31" t="s">
        <v>213</v>
      </c>
      <c r="AJS7" s="31" t="s">
        <v>303</v>
      </c>
      <c r="AJT7" s="31" t="s">
        <v>303</v>
      </c>
      <c r="AJU7" s="31" t="s">
        <v>213</v>
      </c>
      <c r="AJV7" s="31" t="s">
        <v>1613</v>
      </c>
      <c r="AJW7" s="31" t="s">
        <v>741</v>
      </c>
      <c r="AJX7" s="31" t="s">
        <v>741</v>
      </c>
      <c r="AJY7" s="31" t="s">
        <v>1002</v>
      </c>
      <c r="AJZ7" s="31" t="s">
        <v>70</v>
      </c>
      <c r="AKA7" s="31" t="s">
        <v>213</v>
      </c>
      <c r="AKB7" s="31" t="s">
        <v>70</v>
      </c>
      <c r="AKC7" s="31" t="s">
        <v>192</v>
      </c>
      <c r="AKD7" s="31" t="s">
        <v>47</v>
      </c>
      <c r="AKE7" s="31" t="s">
        <v>50</v>
      </c>
      <c r="AKF7" s="31" t="s">
        <v>278</v>
      </c>
      <c r="AKG7" s="31" t="s">
        <v>70</v>
      </c>
      <c r="AKH7" s="31" t="s">
        <v>1626</v>
      </c>
      <c r="AKI7" s="31" t="s">
        <v>1474</v>
      </c>
      <c r="AKJ7" s="31" t="s">
        <v>1474</v>
      </c>
      <c r="AKK7" s="31" t="s">
        <v>225</v>
      </c>
      <c r="AKL7" s="31" t="s">
        <v>225</v>
      </c>
      <c r="AKM7" s="31" t="s">
        <v>70</v>
      </c>
      <c r="AKN7" s="31" t="s">
        <v>32</v>
      </c>
      <c r="AKO7" s="31" t="s">
        <v>32</v>
      </c>
      <c r="AKP7" s="31" t="s">
        <v>32</v>
      </c>
      <c r="AKQ7" s="31" t="s">
        <v>228</v>
      </c>
      <c r="AKR7" s="31" t="s">
        <v>257</v>
      </c>
      <c r="AKS7" s="31" t="s">
        <v>257</v>
      </c>
      <c r="AKT7" s="31" t="s">
        <v>1636</v>
      </c>
      <c r="AKU7" s="31" t="s">
        <v>66</v>
      </c>
      <c r="AKV7" s="31" t="s">
        <v>339</v>
      </c>
      <c r="AKW7" s="31" t="s">
        <v>1481</v>
      </c>
      <c r="AKX7" s="31" t="s">
        <v>140</v>
      </c>
      <c r="AKY7" s="31" t="s">
        <v>70</v>
      </c>
      <c r="AKZ7" s="31" t="s">
        <v>1648</v>
      </c>
      <c r="ALA7" s="31" t="s">
        <v>32</v>
      </c>
      <c r="ALB7" s="31" t="s">
        <v>399</v>
      </c>
      <c r="ALC7" s="31" t="s">
        <v>36</v>
      </c>
      <c r="ALD7" s="31" t="s">
        <v>497</v>
      </c>
      <c r="ALE7" s="31" t="s">
        <v>66</v>
      </c>
      <c r="ALF7" s="31" t="s">
        <v>188</v>
      </c>
      <c r="ALG7" s="31" t="s">
        <v>671</v>
      </c>
      <c r="ALH7" s="31" t="s">
        <v>497</v>
      </c>
      <c r="ALI7" s="31" t="s">
        <v>213</v>
      </c>
      <c r="ALJ7" s="31" t="s">
        <v>174</v>
      </c>
      <c r="ALK7" s="31" t="s">
        <v>161</v>
      </c>
      <c r="ALL7" s="31" t="s">
        <v>1580</v>
      </c>
      <c r="ALM7" s="31" t="s">
        <v>257</v>
      </c>
      <c r="ALN7" s="31" t="s">
        <v>1083</v>
      </c>
      <c r="ALO7" s="31" t="s">
        <v>257</v>
      </c>
      <c r="ALP7" s="31" t="s">
        <v>161</v>
      </c>
      <c r="ALQ7" s="31" t="s">
        <v>161</v>
      </c>
      <c r="ALR7" s="31" t="s">
        <v>161</v>
      </c>
      <c r="ALS7" s="31" t="s">
        <v>161</v>
      </c>
      <c r="ALT7" s="31" t="s">
        <v>161</v>
      </c>
      <c r="ALU7" s="31" t="s">
        <v>588</v>
      </c>
      <c r="ALV7" s="31" t="s">
        <v>97</v>
      </c>
      <c r="ALW7" s="31" t="s">
        <v>280</v>
      </c>
      <c r="ALX7" s="31" t="s">
        <v>497</v>
      </c>
      <c r="ALY7" s="31" t="s">
        <v>164</v>
      </c>
      <c r="ALZ7" s="31" t="s">
        <v>164</v>
      </c>
      <c r="AMA7" s="31" t="s">
        <v>1699</v>
      </c>
      <c r="AMB7" s="31" t="s">
        <v>103</v>
      </c>
      <c r="AMC7" s="31" t="s">
        <v>103</v>
      </c>
      <c r="AMD7" s="31" t="s">
        <v>103</v>
      </c>
      <c r="AME7" s="31" t="s">
        <v>257</v>
      </c>
      <c r="AMF7" s="31" t="s">
        <v>1481</v>
      </c>
      <c r="AMG7" s="31" t="s">
        <v>204</v>
      </c>
      <c r="AMH7" s="31" t="s">
        <v>1709</v>
      </c>
      <c r="AMI7" s="31" t="s">
        <v>130</v>
      </c>
      <c r="AMJ7" s="31" t="s">
        <v>204</v>
      </c>
      <c r="AMK7" s="31" t="s">
        <v>17</v>
      </c>
      <c r="AML7" s="31" t="s">
        <v>24</v>
      </c>
      <c r="AMM7" s="31" t="s">
        <v>764</v>
      </c>
      <c r="AMN7" s="31" t="s">
        <v>497</v>
      </c>
      <c r="AMO7" s="31" t="s">
        <v>130</v>
      </c>
      <c r="AMP7" s="31" t="s">
        <v>62</v>
      </c>
      <c r="AMQ7" s="31" t="s">
        <v>164</v>
      </c>
      <c r="AMR7" s="31" t="s">
        <v>70</v>
      </c>
      <c r="AMS7" s="31" t="s">
        <v>1408</v>
      </c>
      <c r="AMT7" s="31" t="s">
        <v>70</v>
      </c>
      <c r="AMU7" s="31" t="s">
        <v>103</v>
      </c>
      <c r="AMV7" s="31" t="s">
        <v>634</v>
      </c>
      <c r="AMW7" s="31" t="s">
        <v>634</v>
      </c>
      <c r="AMX7" s="31" t="s">
        <v>339</v>
      </c>
      <c r="AMY7" s="31" t="s">
        <v>24</v>
      </c>
      <c r="AMZ7" s="31" t="s">
        <v>634</v>
      </c>
      <c r="ANA7" s="31" t="s">
        <v>24</v>
      </c>
      <c r="ANB7" s="31" t="s">
        <v>188</v>
      </c>
      <c r="ANC7" s="31" t="s">
        <v>130</v>
      </c>
      <c r="AND7" s="31" t="s">
        <v>66</v>
      </c>
      <c r="ANE7" s="31" t="s">
        <v>484</v>
      </c>
      <c r="ANF7" s="31" t="s">
        <v>66</v>
      </c>
      <c r="ANG7" s="31" t="s">
        <v>314</v>
      </c>
      <c r="ANH7" s="31" t="s">
        <v>314</v>
      </c>
      <c r="ANI7" s="31" t="s">
        <v>130</v>
      </c>
      <c r="ANJ7" s="31" t="s">
        <v>213</v>
      </c>
      <c r="ANK7" s="31" t="s">
        <v>634</v>
      </c>
      <c r="ANL7" s="31" t="s">
        <v>597</v>
      </c>
      <c r="ANM7" s="31" t="s">
        <v>36</v>
      </c>
      <c r="ANN7" s="31" t="s">
        <v>257</v>
      </c>
      <c r="ANO7" s="31" t="s">
        <v>597</v>
      </c>
      <c r="ANP7" s="31" t="s">
        <v>70</v>
      </c>
      <c r="ANQ7" s="31" t="s">
        <v>648</v>
      </c>
      <c r="ANR7" s="31" t="s">
        <v>97</v>
      </c>
      <c r="ANS7" s="31" t="s">
        <v>36</v>
      </c>
      <c r="ANT7" s="31" t="s">
        <v>66</v>
      </c>
      <c r="ANU7" s="31" t="s">
        <v>66</v>
      </c>
      <c r="ANV7" s="31" t="s">
        <v>36</v>
      </c>
      <c r="ANW7" s="31" t="s">
        <v>834</v>
      </c>
      <c r="ANX7" s="31" t="s">
        <v>1787</v>
      </c>
      <c r="ANY7" s="31" t="s">
        <v>130</v>
      </c>
      <c r="ANZ7" s="31" t="s">
        <v>130</v>
      </c>
      <c r="AOA7" s="31" t="s">
        <v>36</v>
      </c>
      <c r="AOB7" s="31" t="s">
        <v>36</v>
      </c>
      <c r="AOC7" s="31" t="s">
        <v>1069</v>
      </c>
      <c r="AOD7" s="31" t="s">
        <v>36</v>
      </c>
      <c r="AOE7" s="31" t="s">
        <v>417</v>
      </c>
      <c r="AOF7" s="31" t="s">
        <v>257</v>
      </c>
      <c r="AOG7" s="31" t="s">
        <v>213</v>
      </c>
      <c r="AOH7" s="31" t="s">
        <v>257</v>
      </c>
      <c r="AOI7" s="31" t="s">
        <v>1497</v>
      </c>
      <c r="AOJ7" s="31" t="s">
        <v>779</v>
      </c>
    </row>
    <row r="8" spans="1:1076" x14ac:dyDescent="0.3">
      <c r="A8" s="47" t="s">
        <v>7</v>
      </c>
      <c r="B8" s="44" t="s">
        <v>656</v>
      </c>
      <c r="C8" s="31" t="s">
        <v>656</v>
      </c>
      <c r="D8" s="31" t="s">
        <v>656</v>
      </c>
      <c r="E8" s="31" t="s">
        <v>656</v>
      </c>
      <c r="F8" s="31" t="s">
        <v>656</v>
      </c>
      <c r="G8" s="31" t="s">
        <v>656</v>
      </c>
      <c r="H8" s="31" t="s">
        <v>656</v>
      </c>
      <c r="I8" s="31" t="s">
        <v>1206</v>
      </c>
      <c r="J8" s="31" t="s">
        <v>678</v>
      </c>
      <c r="K8" s="31" t="s">
        <v>678</v>
      </c>
      <c r="L8" s="31" t="s">
        <v>422</v>
      </c>
      <c r="M8" s="31" t="s">
        <v>422</v>
      </c>
      <c r="N8" s="31" t="s">
        <v>422</v>
      </c>
      <c r="O8" s="31" t="s">
        <v>422</v>
      </c>
      <c r="P8" s="31" t="s">
        <v>422</v>
      </c>
      <c r="Q8" s="31" t="s">
        <v>422</v>
      </c>
      <c r="R8" s="31" t="s">
        <v>422</v>
      </c>
      <c r="S8" s="31" t="s">
        <v>422</v>
      </c>
      <c r="T8" s="31" t="s">
        <v>1575</v>
      </c>
      <c r="U8" s="31" t="s">
        <v>196</v>
      </c>
      <c r="V8" s="31" t="s">
        <v>196</v>
      </c>
      <c r="W8" s="31" t="s">
        <v>196</v>
      </c>
      <c r="X8" s="31" t="s">
        <v>196</v>
      </c>
      <c r="Y8" s="31" t="s">
        <v>196</v>
      </c>
      <c r="Z8" s="31" t="s">
        <v>196</v>
      </c>
      <c r="AA8" s="31" t="s">
        <v>196</v>
      </c>
      <c r="AB8" s="31" t="s">
        <v>196</v>
      </c>
      <c r="AC8" s="31" t="s">
        <v>196</v>
      </c>
      <c r="AD8" s="31" t="s">
        <v>196</v>
      </c>
      <c r="AE8" s="31" t="s">
        <v>196</v>
      </c>
      <c r="AF8" s="31" t="s">
        <v>196</v>
      </c>
      <c r="AG8" s="31" t="s">
        <v>196</v>
      </c>
      <c r="AH8" s="31" t="s">
        <v>196</v>
      </c>
      <c r="AI8" s="31" t="s">
        <v>454</v>
      </c>
      <c r="AJ8" s="31" t="s">
        <v>454</v>
      </c>
      <c r="AK8" s="31" t="s">
        <v>454</v>
      </c>
      <c r="AL8" s="31" t="s">
        <v>454</v>
      </c>
      <c r="AM8" s="31" t="s">
        <v>454</v>
      </c>
      <c r="AN8" s="31" t="s">
        <v>479</v>
      </c>
      <c r="AO8" s="31" t="s">
        <v>479</v>
      </c>
      <c r="AP8" s="31" t="s">
        <v>479</v>
      </c>
      <c r="AQ8" s="31" t="s">
        <v>479</v>
      </c>
      <c r="AR8" s="31" t="s">
        <v>479</v>
      </c>
      <c r="AS8" s="31" t="s">
        <v>479</v>
      </c>
      <c r="AT8" s="31" t="s">
        <v>479</v>
      </c>
      <c r="AU8" s="31" t="s">
        <v>479</v>
      </c>
      <c r="AV8" s="31" t="s">
        <v>479</v>
      </c>
      <c r="AW8" s="31" t="s">
        <v>479</v>
      </c>
      <c r="AX8" s="31" t="s">
        <v>479</v>
      </c>
      <c r="AY8" s="31" t="s">
        <v>479</v>
      </c>
      <c r="AZ8" s="31" t="s">
        <v>479</v>
      </c>
      <c r="BA8" s="31" t="s">
        <v>479</v>
      </c>
      <c r="BB8" s="31" t="s">
        <v>479</v>
      </c>
      <c r="BC8" s="31" t="s">
        <v>479</v>
      </c>
      <c r="BD8" s="31" t="s">
        <v>479</v>
      </c>
      <c r="BE8" s="31" t="s">
        <v>1302</v>
      </c>
      <c r="BF8" s="31" t="s">
        <v>1302</v>
      </c>
      <c r="BG8" s="31" t="s">
        <v>1046</v>
      </c>
      <c r="BH8" s="31" t="s">
        <v>1046</v>
      </c>
      <c r="BI8" s="31" t="s">
        <v>1046</v>
      </c>
      <c r="BJ8" s="31" t="s">
        <v>1046</v>
      </c>
      <c r="BK8" s="31" t="s">
        <v>518</v>
      </c>
      <c r="BL8" s="31" t="s">
        <v>518</v>
      </c>
      <c r="BM8" s="31" t="s">
        <v>518</v>
      </c>
      <c r="BN8" s="31" t="s">
        <v>518</v>
      </c>
      <c r="BO8" s="31" t="s">
        <v>518</v>
      </c>
      <c r="BP8" s="31" t="s">
        <v>518</v>
      </c>
      <c r="BQ8" s="31" t="s">
        <v>518</v>
      </c>
      <c r="BR8" s="31" t="s">
        <v>518</v>
      </c>
      <c r="BS8" s="31" t="s">
        <v>518</v>
      </c>
      <c r="BT8" s="31" t="s">
        <v>518</v>
      </c>
      <c r="BU8" s="31" t="s">
        <v>518</v>
      </c>
      <c r="BV8" s="31" t="s">
        <v>518</v>
      </c>
      <c r="BW8" s="31" t="s">
        <v>1433</v>
      </c>
      <c r="BX8" s="31" t="s">
        <v>29</v>
      </c>
      <c r="BY8" s="31" t="s">
        <v>29</v>
      </c>
      <c r="BZ8" s="31" t="s">
        <v>29</v>
      </c>
      <c r="CA8" s="31" t="s">
        <v>29</v>
      </c>
      <c r="CB8" s="31" t="s">
        <v>29</v>
      </c>
      <c r="CC8" s="31" t="s">
        <v>29</v>
      </c>
      <c r="CD8" s="31" t="s">
        <v>29</v>
      </c>
      <c r="CE8" s="31" t="s">
        <v>29</v>
      </c>
      <c r="CF8" s="31" t="s">
        <v>990</v>
      </c>
      <c r="CG8" s="31" t="s">
        <v>503</v>
      </c>
      <c r="CH8" s="31" t="s">
        <v>503</v>
      </c>
      <c r="CI8" s="31" t="s">
        <v>1380</v>
      </c>
      <c r="CJ8" s="31" t="s">
        <v>1380</v>
      </c>
      <c r="CK8" s="31" t="s">
        <v>1685</v>
      </c>
      <c r="CL8" s="31" t="s">
        <v>1685</v>
      </c>
      <c r="CM8" s="31" t="s">
        <v>1685</v>
      </c>
      <c r="CN8" s="31" t="s">
        <v>1308</v>
      </c>
      <c r="CO8" s="31" t="s">
        <v>1308</v>
      </c>
      <c r="CP8" s="31" t="s">
        <v>1308</v>
      </c>
      <c r="CQ8" s="31" t="s">
        <v>1308</v>
      </c>
      <c r="CR8" s="31" t="s">
        <v>55</v>
      </c>
      <c r="CS8" s="31" t="s">
        <v>55</v>
      </c>
      <c r="CT8" s="31" t="s">
        <v>55</v>
      </c>
      <c r="CU8" s="31" t="s">
        <v>55</v>
      </c>
      <c r="CV8" s="31" t="s">
        <v>55</v>
      </c>
      <c r="CW8" s="31" t="s">
        <v>55</v>
      </c>
      <c r="CX8" s="31" t="s">
        <v>55</v>
      </c>
      <c r="CY8" s="31" t="s">
        <v>55</v>
      </c>
      <c r="CZ8" s="31" t="s">
        <v>55</v>
      </c>
      <c r="DA8" s="31" t="s">
        <v>55</v>
      </c>
      <c r="DB8" s="31" t="s">
        <v>55</v>
      </c>
      <c r="DC8" s="31" t="s">
        <v>55</v>
      </c>
      <c r="DD8" s="31" t="s">
        <v>55</v>
      </c>
      <c r="DE8" s="31" t="s">
        <v>55</v>
      </c>
      <c r="DF8" s="31" t="s">
        <v>55</v>
      </c>
      <c r="DG8" s="31" t="s">
        <v>55</v>
      </c>
      <c r="DH8" s="31" t="s">
        <v>55</v>
      </c>
      <c r="DI8" s="31" t="s">
        <v>55</v>
      </c>
      <c r="DJ8" s="31" t="s">
        <v>55</v>
      </c>
      <c r="DK8" s="31" t="s">
        <v>55</v>
      </c>
      <c r="DL8" s="31" t="s">
        <v>55</v>
      </c>
      <c r="DM8" s="31" t="s">
        <v>55</v>
      </c>
      <c r="DN8" s="31" t="s">
        <v>55</v>
      </c>
      <c r="DO8" s="31" t="s">
        <v>55</v>
      </c>
      <c r="DP8" s="31" t="s">
        <v>55</v>
      </c>
      <c r="DQ8" s="31" t="s">
        <v>55</v>
      </c>
      <c r="DR8" s="31" t="s">
        <v>55</v>
      </c>
      <c r="DS8" s="31" t="s">
        <v>55</v>
      </c>
      <c r="DT8" s="31" t="s">
        <v>55</v>
      </c>
      <c r="DU8" s="31" t="s">
        <v>55</v>
      </c>
      <c r="DV8" s="31" t="s">
        <v>55</v>
      </c>
      <c r="DW8" s="31" t="s">
        <v>55</v>
      </c>
      <c r="DX8" s="31" t="s">
        <v>55</v>
      </c>
      <c r="DY8" s="31" t="s">
        <v>55</v>
      </c>
      <c r="DZ8" s="31" t="s">
        <v>55</v>
      </c>
      <c r="EA8" s="31" t="s">
        <v>55</v>
      </c>
      <c r="EB8" s="31" t="s">
        <v>55</v>
      </c>
      <c r="EC8" s="31" t="s">
        <v>55</v>
      </c>
      <c r="ED8" s="31" t="s">
        <v>55</v>
      </c>
      <c r="EE8" s="31" t="s">
        <v>55</v>
      </c>
      <c r="EF8" s="31" t="s">
        <v>55</v>
      </c>
      <c r="EG8" s="31" t="s">
        <v>55</v>
      </c>
      <c r="EH8" s="31" t="s">
        <v>55</v>
      </c>
      <c r="EI8" s="31" t="s">
        <v>55</v>
      </c>
      <c r="EJ8" s="31" t="s">
        <v>55</v>
      </c>
      <c r="EK8" s="31" t="s">
        <v>55</v>
      </c>
      <c r="EL8" s="31" t="s">
        <v>55</v>
      </c>
      <c r="EM8" s="31" t="s">
        <v>55</v>
      </c>
      <c r="EN8" s="31" t="s">
        <v>55</v>
      </c>
      <c r="EO8" s="31" t="s">
        <v>55</v>
      </c>
      <c r="EP8" s="31" t="s">
        <v>55</v>
      </c>
      <c r="EQ8" s="31" t="s">
        <v>55</v>
      </c>
      <c r="ER8" s="31" t="s">
        <v>55</v>
      </c>
      <c r="ES8" s="31" t="s">
        <v>55</v>
      </c>
      <c r="ET8" s="31" t="s">
        <v>55</v>
      </c>
      <c r="EU8" s="31" t="s">
        <v>55</v>
      </c>
      <c r="EV8" s="31" t="s">
        <v>55</v>
      </c>
      <c r="EW8" s="31" t="s">
        <v>55</v>
      </c>
      <c r="EX8" s="31" t="s">
        <v>55</v>
      </c>
      <c r="EY8" s="31" t="s">
        <v>55</v>
      </c>
      <c r="EZ8" s="31" t="s">
        <v>55</v>
      </c>
      <c r="FA8" s="31" t="s">
        <v>55</v>
      </c>
      <c r="FB8" s="31" t="s">
        <v>55</v>
      </c>
      <c r="FC8" s="31" t="s">
        <v>55</v>
      </c>
      <c r="FD8" s="31" t="s">
        <v>55</v>
      </c>
      <c r="FE8" s="31" t="s">
        <v>55</v>
      </c>
      <c r="FF8" s="31" t="s">
        <v>55</v>
      </c>
      <c r="FG8" s="31" t="s">
        <v>55</v>
      </c>
      <c r="FH8" s="31" t="s">
        <v>55</v>
      </c>
      <c r="FI8" s="31" t="s">
        <v>55</v>
      </c>
      <c r="FJ8" s="31" t="s">
        <v>55</v>
      </c>
      <c r="FK8" s="31" t="s">
        <v>55</v>
      </c>
      <c r="FL8" s="31" t="s">
        <v>55</v>
      </c>
      <c r="FM8" s="31" t="s">
        <v>55</v>
      </c>
      <c r="FN8" s="31" t="s">
        <v>55</v>
      </c>
      <c r="FO8" s="31" t="s">
        <v>55</v>
      </c>
      <c r="FP8" s="31" t="s">
        <v>55</v>
      </c>
      <c r="FQ8" s="31" t="s">
        <v>55</v>
      </c>
      <c r="FR8" s="31" t="s">
        <v>55</v>
      </c>
      <c r="FS8" s="31" t="s">
        <v>55</v>
      </c>
      <c r="FT8" s="31" t="s">
        <v>55</v>
      </c>
      <c r="FU8" s="31" t="s">
        <v>55</v>
      </c>
      <c r="FV8" s="31" t="s">
        <v>55</v>
      </c>
      <c r="FW8" s="31" t="s">
        <v>55</v>
      </c>
      <c r="FX8" s="31" t="s">
        <v>55</v>
      </c>
      <c r="FY8" s="31" t="s">
        <v>55</v>
      </c>
      <c r="FZ8" s="31" t="s">
        <v>55</v>
      </c>
      <c r="GA8" s="31" t="s">
        <v>55</v>
      </c>
      <c r="GB8" s="31" t="s">
        <v>55</v>
      </c>
      <c r="GC8" s="31" t="s">
        <v>55</v>
      </c>
      <c r="GD8" s="31" t="s">
        <v>55</v>
      </c>
      <c r="GE8" s="31" t="s">
        <v>55</v>
      </c>
      <c r="GF8" s="31" t="s">
        <v>55</v>
      </c>
      <c r="GG8" s="31" t="s">
        <v>55</v>
      </c>
      <c r="GH8" s="31" t="s">
        <v>55</v>
      </c>
      <c r="GI8" s="31" t="s">
        <v>55</v>
      </c>
      <c r="GJ8" s="31" t="s">
        <v>55</v>
      </c>
      <c r="GK8" s="31" t="s">
        <v>55</v>
      </c>
      <c r="GL8" s="31" t="s">
        <v>55</v>
      </c>
      <c r="GM8" s="31" t="s">
        <v>55</v>
      </c>
      <c r="GN8" s="31" t="s">
        <v>55</v>
      </c>
      <c r="GO8" s="31" t="s">
        <v>55</v>
      </c>
      <c r="GP8" s="31" t="s">
        <v>55</v>
      </c>
      <c r="GQ8" s="31" t="s">
        <v>55</v>
      </c>
      <c r="GR8" s="31" t="s">
        <v>55</v>
      </c>
      <c r="GS8" s="31" t="s">
        <v>55</v>
      </c>
      <c r="GT8" s="31" t="s">
        <v>55</v>
      </c>
      <c r="GU8" s="31" t="s">
        <v>55</v>
      </c>
      <c r="GV8" s="31" t="s">
        <v>55</v>
      </c>
      <c r="GW8" s="31" t="s">
        <v>55</v>
      </c>
      <c r="GX8" s="31" t="s">
        <v>55</v>
      </c>
      <c r="GY8" s="31" t="s">
        <v>55</v>
      </c>
      <c r="GZ8" s="31" t="s">
        <v>55</v>
      </c>
      <c r="HA8" s="31" t="s">
        <v>55</v>
      </c>
      <c r="HB8" s="31" t="s">
        <v>55</v>
      </c>
      <c r="HC8" s="31" t="s">
        <v>55</v>
      </c>
      <c r="HD8" s="31" t="s">
        <v>55</v>
      </c>
      <c r="HE8" s="31" t="s">
        <v>55</v>
      </c>
      <c r="HF8" s="31" t="s">
        <v>55</v>
      </c>
      <c r="HG8" s="31" t="s">
        <v>55</v>
      </c>
      <c r="HH8" s="31" t="s">
        <v>55</v>
      </c>
      <c r="HI8" s="31" t="s">
        <v>55</v>
      </c>
      <c r="HJ8" s="31" t="s">
        <v>55</v>
      </c>
      <c r="HK8" s="31" t="s">
        <v>55</v>
      </c>
      <c r="HL8" s="31" t="s">
        <v>55</v>
      </c>
      <c r="HM8" s="31" t="s">
        <v>55</v>
      </c>
      <c r="HN8" s="31" t="s">
        <v>55</v>
      </c>
      <c r="HO8" s="31" t="s">
        <v>55</v>
      </c>
      <c r="HP8" s="31" t="s">
        <v>55</v>
      </c>
      <c r="HQ8" s="31" t="s">
        <v>55</v>
      </c>
      <c r="HR8" s="31" t="s">
        <v>55</v>
      </c>
      <c r="HS8" s="31" t="s">
        <v>55</v>
      </c>
      <c r="HT8" s="31" t="s">
        <v>55</v>
      </c>
      <c r="HU8" s="31" t="s">
        <v>55</v>
      </c>
      <c r="HV8" s="31" t="s">
        <v>55</v>
      </c>
      <c r="HW8" s="31" t="s">
        <v>55</v>
      </c>
      <c r="HX8" s="31" t="s">
        <v>55</v>
      </c>
      <c r="HY8" s="31" t="s">
        <v>55</v>
      </c>
      <c r="HZ8" s="31" t="s">
        <v>55</v>
      </c>
      <c r="IA8" s="31" t="s">
        <v>18</v>
      </c>
      <c r="IB8" s="31" t="s">
        <v>18</v>
      </c>
      <c r="IC8" s="31" t="s">
        <v>18</v>
      </c>
      <c r="ID8" s="31" t="s">
        <v>18</v>
      </c>
      <c r="IE8" s="31" t="s">
        <v>18</v>
      </c>
      <c r="IF8" s="31" t="s">
        <v>18</v>
      </c>
      <c r="IG8" s="31" t="s">
        <v>18</v>
      </c>
      <c r="IH8" s="31" t="s">
        <v>18</v>
      </c>
      <c r="II8" s="31" t="s">
        <v>18</v>
      </c>
      <c r="IJ8" s="31" t="s">
        <v>18</v>
      </c>
      <c r="IK8" s="31" t="s">
        <v>18</v>
      </c>
      <c r="IL8" s="31" t="s">
        <v>18</v>
      </c>
      <c r="IM8" s="31" t="s">
        <v>18</v>
      </c>
      <c r="IN8" s="31" t="s">
        <v>18</v>
      </c>
      <c r="IO8" s="31" t="s">
        <v>18</v>
      </c>
      <c r="IP8" s="31" t="s">
        <v>18</v>
      </c>
      <c r="IQ8" s="31" t="s">
        <v>18</v>
      </c>
      <c r="IR8" s="31" t="s">
        <v>18</v>
      </c>
      <c r="IS8" s="31" t="s">
        <v>18</v>
      </c>
      <c r="IT8" s="31" t="s">
        <v>18</v>
      </c>
      <c r="IU8" s="31" t="s">
        <v>18</v>
      </c>
      <c r="IV8" s="31" t="s">
        <v>18</v>
      </c>
      <c r="IW8" s="31" t="s">
        <v>18</v>
      </c>
      <c r="IX8" s="31" t="s">
        <v>18</v>
      </c>
      <c r="IY8" s="31" t="s">
        <v>18</v>
      </c>
      <c r="IZ8" s="31" t="s">
        <v>18</v>
      </c>
      <c r="JA8" s="31" t="s">
        <v>18</v>
      </c>
      <c r="JB8" s="31" t="s">
        <v>18</v>
      </c>
      <c r="JC8" s="31" t="s">
        <v>18</v>
      </c>
      <c r="JD8" s="31" t="s">
        <v>18</v>
      </c>
      <c r="JE8" s="31" t="s">
        <v>18</v>
      </c>
      <c r="JF8" s="31" t="s">
        <v>18</v>
      </c>
      <c r="JG8" s="31" t="s">
        <v>18</v>
      </c>
      <c r="JH8" s="31" t="s">
        <v>18</v>
      </c>
      <c r="JI8" s="31" t="s">
        <v>18</v>
      </c>
      <c r="JJ8" s="31" t="s">
        <v>18</v>
      </c>
      <c r="JK8" s="31" t="s">
        <v>18</v>
      </c>
      <c r="JL8" s="31" t="s">
        <v>18</v>
      </c>
      <c r="JM8" s="31" t="s">
        <v>18</v>
      </c>
      <c r="JN8" s="31" t="s">
        <v>18</v>
      </c>
      <c r="JO8" s="31" t="s">
        <v>18</v>
      </c>
      <c r="JP8" s="31" t="s">
        <v>18</v>
      </c>
      <c r="JQ8" s="31" t="s">
        <v>18</v>
      </c>
      <c r="JR8" s="31" t="s">
        <v>18</v>
      </c>
      <c r="JS8" s="31" t="s">
        <v>18</v>
      </c>
      <c r="JT8" s="31" t="s">
        <v>18</v>
      </c>
      <c r="JU8" s="31" t="s">
        <v>18</v>
      </c>
      <c r="JV8" s="31" t="s">
        <v>18</v>
      </c>
      <c r="JW8" s="31" t="s">
        <v>18</v>
      </c>
      <c r="JX8" s="31" t="s">
        <v>18</v>
      </c>
      <c r="JY8" s="31" t="s">
        <v>18</v>
      </c>
      <c r="JZ8" s="31" t="s">
        <v>18</v>
      </c>
      <c r="KA8" s="31" t="s">
        <v>18</v>
      </c>
      <c r="KB8" s="31" t="s">
        <v>18</v>
      </c>
      <c r="KC8" s="31" t="s">
        <v>18</v>
      </c>
      <c r="KD8" s="31" t="s">
        <v>18</v>
      </c>
      <c r="KE8" s="31" t="s">
        <v>18</v>
      </c>
      <c r="KF8" s="31" t="s">
        <v>18</v>
      </c>
      <c r="KG8" s="31" t="s">
        <v>18</v>
      </c>
      <c r="KH8" s="31" t="s">
        <v>18</v>
      </c>
      <c r="KI8" s="31" t="s">
        <v>18</v>
      </c>
      <c r="KJ8" s="31" t="s">
        <v>18</v>
      </c>
      <c r="KK8" s="31" t="s">
        <v>18</v>
      </c>
      <c r="KL8" s="31" t="s">
        <v>18</v>
      </c>
      <c r="KM8" s="31" t="s">
        <v>18</v>
      </c>
      <c r="KN8" s="31" t="s">
        <v>18</v>
      </c>
      <c r="KO8" s="31" t="s">
        <v>18</v>
      </c>
      <c r="KP8" s="31" t="s">
        <v>18</v>
      </c>
      <c r="KQ8" s="31" t="s">
        <v>18</v>
      </c>
      <c r="KR8" s="31" t="s">
        <v>18</v>
      </c>
      <c r="KS8" s="31" t="s">
        <v>18</v>
      </c>
      <c r="KT8" s="31" t="s">
        <v>18</v>
      </c>
      <c r="KU8" s="31" t="s">
        <v>18</v>
      </c>
      <c r="KV8" s="31" t="s">
        <v>18</v>
      </c>
      <c r="KW8" s="31" t="s">
        <v>18</v>
      </c>
      <c r="KX8" s="31" t="s">
        <v>18</v>
      </c>
      <c r="KY8" s="31" t="s">
        <v>18</v>
      </c>
      <c r="KZ8" s="31" t="s">
        <v>18</v>
      </c>
      <c r="LA8" s="31" t="s">
        <v>18</v>
      </c>
      <c r="LB8" s="31" t="s">
        <v>18</v>
      </c>
      <c r="LC8" s="31" t="s">
        <v>18</v>
      </c>
      <c r="LD8" s="31" t="s">
        <v>18</v>
      </c>
      <c r="LE8" s="31" t="s">
        <v>18</v>
      </c>
      <c r="LF8" s="31" t="s">
        <v>18</v>
      </c>
      <c r="LG8" s="31" t="s">
        <v>18</v>
      </c>
      <c r="LH8" s="31" t="s">
        <v>18</v>
      </c>
      <c r="LI8" s="31" t="s">
        <v>18</v>
      </c>
      <c r="LJ8" s="31" t="s">
        <v>18</v>
      </c>
      <c r="LK8" s="31" t="s">
        <v>18</v>
      </c>
      <c r="LL8" s="31" t="s">
        <v>18</v>
      </c>
      <c r="LM8" s="31" t="s">
        <v>18</v>
      </c>
      <c r="LN8" s="31" t="s">
        <v>18</v>
      </c>
      <c r="LO8" s="31" t="s">
        <v>18</v>
      </c>
      <c r="LP8" s="31" t="s">
        <v>18</v>
      </c>
      <c r="LQ8" s="31" t="s">
        <v>18</v>
      </c>
      <c r="LR8" s="31" t="s">
        <v>18</v>
      </c>
      <c r="LS8" s="31" t="s">
        <v>18</v>
      </c>
      <c r="LT8" s="31" t="s">
        <v>18</v>
      </c>
      <c r="LU8" s="31" t="s">
        <v>18</v>
      </c>
      <c r="LV8" s="31" t="s">
        <v>18</v>
      </c>
      <c r="LW8" s="31" t="s">
        <v>18</v>
      </c>
      <c r="LX8" s="31" t="s">
        <v>18</v>
      </c>
      <c r="LY8" s="31" t="s">
        <v>18</v>
      </c>
      <c r="LZ8" s="31" t="s">
        <v>18</v>
      </c>
      <c r="MA8" s="31" t="s">
        <v>18</v>
      </c>
      <c r="MB8" s="31" t="s">
        <v>18</v>
      </c>
      <c r="MC8" s="31" t="s">
        <v>18</v>
      </c>
      <c r="MD8" s="31" t="s">
        <v>18</v>
      </c>
      <c r="ME8" s="31" t="s">
        <v>18</v>
      </c>
      <c r="MF8" s="31" t="s">
        <v>18</v>
      </c>
      <c r="MG8" s="31" t="s">
        <v>18</v>
      </c>
      <c r="MH8" s="31" t="s">
        <v>18</v>
      </c>
      <c r="MI8" s="31" t="s">
        <v>18</v>
      </c>
      <c r="MJ8" s="31" t="s">
        <v>18</v>
      </c>
      <c r="MK8" s="31" t="s">
        <v>18</v>
      </c>
      <c r="ML8" s="31" t="s">
        <v>18</v>
      </c>
      <c r="MM8" s="31" t="s">
        <v>18</v>
      </c>
      <c r="MN8" s="31" t="s">
        <v>18</v>
      </c>
      <c r="MO8" s="31" t="s">
        <v>18</v>
      </c>
      <c r="MP8" s="31" t="s">
        <v>18</v>
      </c>
      <c r="MQ8" s="31" t="s">
        <v>18</v>
      </c>
      <c r="MR8" s="31" t="s">
        <v>18</v>
      </c>
      <c r="MS8" s="31" t="s">
        <v>18</v>
      </c>
      <c r="MT8" s="31" t="s">
        <v>18</v>
      </c>
      <c r="MU8" s="31" t="s">
        <v>18</v>
      </c>
      <c r="MV8" s="31" t="s">
        <v>18</v>
      </c>
      <c r="MW8" s="31" t="s">
        <v>18</v>
      </c>
      <c r="MX8" s="31" t="s">
        <v>18</v>
      </c>
      <c r="MY8" s="31" t="s">
        <v>18</v>
      </c>
      <c r="MZ8" s="31" t="s">
        <v>18</v>
      </c>
      <c r="NA8" s="31" t="s">
        <v>18</v>
      </c>
      <c r="NB8" s="31" t="s">
        <v>18</v>
      </c>
      <c r="NC8" s="31" t="s">
        <v>18</v>
      </c>
      <c r="ND8" s="31" t="s">
        <v>18</v>
      </c>
      <c r="NE8" s="31" t="s">
        <v>18</v>
      </c>
      <c r="NF8" s="31" t="s">
        <v>18</v>
      </c>
      <c r="NG8" s="31" t="s">
        <v>18</v>
      </c>
      <c r="NH8" s="31" t="s">
        <v>18</v>
      </c>
      <c r="NI8" s="31" t="s">
        <v>18</v>
      </c>
      <c r="NJ8" s="31" t="s">
        <v>18</v>
      </c>
      <c r="NK8" s="31" t="s">
        <v>18</v>
      </c>
      <c r="NL8" s="31" t="s">
        <v>18</v>
      </c>
      <c r="NM8" s="31" t="s">
        <v>18</v>
      </c>
      <c r="NN8" s="31" t="s">
        <v>18</v>
      </c>
      <c r="NO8" s="31" t="s">
        <v>18</v>
      </c>
      <c r="NP8" s="31" t="s">
        <v>18</v>
      </c>
      <c r="NQ8" s="31" t="s">
        <v>18</v>
      </c>
      <c r="NR8" s="31" t="s">
        <v>18</v>
      </c>
      <c r="NS8" s="31" t="s">
        <v>18</v>
      </c>
      <c r="NT8" s="31" t="s">
        <v>18</v>
      </c>
      <c r="NU8" s="31" t="s">
        <v>18</v>
      </c>
      <c r="NV8" s="31" t="s">
        <v>18</v>
      </c>
      <c r="NW8" s="31" t="s">
        <v>18</v>
      </c>
      <c r="NX8" s="31" t="s">
        <v>18</v>
      </c>
      <c r="NY8" s="31" t="s">
        <v>18</v>
      </c>
      <c r="NZ8" s="31" t="s">
        <v>18</v>
      </c>
      <c r="OA8" s="31" t="s">
        <v>18</v>
      </c>
      <c r="OB8" s="31" t="s">
        <v>18</v>
      </c>
      <c r="OC8" s="31" t="s">
        <v>18</v>
      </c>
      <c r="OD8" s="31" t="s">
        <v>18</v>
      </c>
      <c r="OE8" s="31" t="s">
        <v>18</v>
      </c>
      <c r="OF8" s="31" t="s">
        <v>18</v>
      </c>
      <c r="OG8" s="31" t="s">
        <v>18</v>
      </c>
      <c r="OH8" s="31" t="s">
        <v>18</v>
      </c>
      <c r="OI8" s="31" t="s">
        <v>18</v>
      </c>
      <c r="OJ8" s="31" t="s">
        <v>18</v>
      </c>
      <c r="OK8" s="31" t="s">
        <v>18</v>
      </c>
      <c r="OL8" s="31" t="s">
        <v>18</v>
      </c>
      <c r="OM8" s="31" t="s">
        <v>18</v>
      </c>
      <c r="ON8" s="31" t="s">
        <v>18</v>
      </c>
      <c r="OO8" s="31" t="s">
        <v>18</v>
      </c>
      <c r="OP8" s="31" t="s">
        <v>18</v>
      </c>
      <c r="OQ8" s="31" t="s">
        <v>18</v>
      </c>
      <c r="OR8" s="31" t="s">
        <v>18</v>
      </c>
      <c r="OS8" s="31" t="s">
        <v>18</v>
      </c>
      <c r="OT8" s="31" t="s">
        <v>18</v>
      </c>
      <c r="OU8" s="31" t="s">
        <v>18</v>
      </c>
      <c r="OV8" s="31" t="s">
        <v>18</v>
      </c>
      <c r="OW8" s="31" t="s">
        <v>18</v>
      </c>
      <c r="OX8" s="31" t="s">
        <v>18</v>
      </c>
      <c r="OY8" s="31" t="s">
        <v>18</v>
      </c>
      <c r="OZ8" s="31" t="s">
        <v>18</v>
      </c>
      <c r="PA8" s="31" t="s">
        <v>18</v>
      </c>
      <c r="PB8" s="31" t="s">
        <v>18</v>
      </c>
      <c r="PC8" s="31" t="s">
        <v>18</v>
      </c>
      <c r="PD8" s="31" t="s">
        <v>18</v>
      </c>
      <c r="PE8" s="31" t="s">
        <v>18</v>
      </c>
      <c r="PF8" s="31" t="s">
        <v>18</v>
      </c>
      <c r="PG8" s="31" t="s">
        <v>18</v>
      </c>
      <c r="PH8" s="31" t="s">
        <v>18</v>
      </c>
      <c r="PI8" s="31" t="s">
        <v>18</v>
      </c>
      <c r="PJ8" s="31" t="s">
        <v>18</v>
      </c>
      <c r="PK8" s="31" t="s">
        <v>18</v>
      </c>
      <c r="PL8" s="31" t="s">
        <v>18</v>
      </c>
      <c r="PM8" s="31" t="s">
        <v>18</v>
      </c>
      <c r="PN8" s="31" t="s">
        <v>18</v>
      </c>
      <c r="PO8" s="31" t="s">
        <v>18</v>
      </c>
      <c r="PP8" s="31" t="s">
        <v>18</v>
      </c>
      <c r="PQ8" s="31" t="s">
        <v>18</v>
      </c>
      <c r="PR8" s="31" t="s">
        <v>18</v>
      </c>
      <c r="PS8" s="31" t="s">
        <v>18</v>
      </c>
      <c r="PT8" s="31" t="s">
        <v>18</v>
      </c>
      <c r="PU8" s="31" t="s">
        <v>18</v>
      </c>
      <c r="PV8" s="31" t="s">
        <v>18</v>
      </c>
      <c r="PW8" s="31" t="s">
        <v>18</v>
      </c>
      <c r="PX8" s="31" t="s">
        <v>18</v>
      </c>
      <c r="PY8" s="31" t="s">
        <v>18</v>
      </c>
      <c r="PZ8" s="31" t="s">
        <v>18</v>
      </c>
      <c r="QA8" s="31" t="s">
        <v>18</v>
      </c>
      <c r="QB8" s="31" t="s">
        <v>18</v>
      </c>
      <c r="QC8" s="31" t="s">
        <v>18</v>
      </c>
      <c r="QD8" s="31" t="s">
        <v>18</v>
      </c>
      <c r="QE8" s="31" t="s">
        <v>18</v>
      </c>
      <c r="QF8" s="31" t="s">
        <v>18</v>
      </c>
      <c r="QG8" s="31" t="s">
        <v>18</v>
      </c>
      <c r="QH8" s="31" t="s">
        <v>18</v>
      </c>
      <c r="QI8" s="31" t="s">
        <v>18</v>
      </c>
      <c r="QJ8" s="31" t="s">
        <v>18</v>
      </c>
      <c r="QK8" s="31" t="s">
        <v>18</v>
      </c>
      <c r="QL8" s="31" t="s">
        <v>18</v>
      </c>
      <c r="QM8" s="31" t="s">
        <v>18</v>
      </c>
      <c r="QN8" s="31" t="s">
        <v>18</v>
      </c>
      <c r="QO8" s="31" t="s">
        <v>18</v>
      </c>
      <c r="QP8" s="31" t="s">
        <v>18</v>
      </c>
      <c r="QQ8" s="31" t="s">
        <v>18</v>
      </c>
      <c r="QR8" s="31" t="s">
        <v>18</v>
      </c>
      <c r="QS8" s="31" t="s">
        <v>18</v>
      </c>
      <c r="QT8" s="31" t="s">
        <v>18</v>
      </c>
      <c r="QU8" s="31" t="s">
        <v>18</v>
      </c>
      <c r="QV8" s="31" t="s">
        <v>18</v>
      </c>
      <c r="QW8" s="31" t="s">
        <v>18</v>
      </c>
      <c r="QX8" s="31" t="s">
        <v>18</v>
      </c>
      <c r="QY8" s="31" t="s">
        <v>18</v>
      </c>
      <c r="QZ8" s="31" t="s">
        <v>18</v>
      </c>
      <c r="RA8" s="31" t="s">
        <v>18</v>
      </c>
      <c r="RB8" s="31" t="s">
        <v>18</v>
      </c>
      <c r="RC8" s="31" t="s">
        <v>18</v>
      </c>
      <c r="RD8" s="31" t="s">
        <v>18</v>
      </c>
      <c r="RE8" s="31" t="s">
        <v>18</v>
      </c>
      <c r="RF8" s="31" t="s">
        <v>18</v>
      </c>
      <c r="RG8" s="31" t="s">
        <v>18</v>
      </c>
      <c r="RH8" s="31" t="s">
        <v>18</v>
      </c>
      <c r="RI8" s="31" t="s">
        <v>18</v>
      </c>
      <c r="RJ8" s="31" t="s">
        <v>18</v>
      </c>
      <c r="RK8" s="31" t="s">
        <v>18</v>
      </c>
      <c r="RL8" s="31" t="s">
        <v>18</v>
      </c>
      <c r="RM8" s="31" t="s">
        <v>18</v>
      </c>
      <c r="RN8" s="31" t="s">
        <v>18</v>
      </c>
      <c r="RO8" s="31" t="s">
        <v>18</v>
      </c>
      <c r="RP8" s="31" t="s">
        <v>18</v>
      </c>
      <c r="RQ8" s="31" t="s">
        <v>18</v>
      </c>
      <c r="RR8" s="31" t="s">
        <v>18</v>
      </c>
      <c r="RS8" s="31" t="s">
        <v>18</v>
      </c>
      <c r="RT8" s="31" t="s">
        <v>18</v>
      </c>
      <c r="RU8" s="31" t="s">
        <v>18</v>
      </c>
      <c r="RV8" s="31" t="s">
        <v>18</v>
      </c>
      <c r="RW8" s="31" t="s">
        <v>18</v>
      </c>
      <c r="RX8" s="31" t="s">
        <v>18</v>
      </c>
      <c r="RY8" s="31" t="s">
        <v>18</v>
      </c>
      <c r="RZ8" s="31" t="s">
        <v>18</v>
      </c>
      <c r="SA8" s="31" t="s">
        <v>18</v>
      </c>
      <c r="SB8" s="31" t="s">
        <v>18</v>
      </c>
      <c r="SC8" s="31" t="s">
        <v>18</v>
      </c>
      <c r="SD8" s="31" t="s">
        <v>18</v>
      </c>
      <c r="SE8" s="31" t="s">
        <v>18</v>
      </c>
      <c r="SF8" s="31" t="s">
        <v>18</v>
      </c>
      <c r="SG8" s="31" t="s">
        <v>18</v>
      </c>
      <c r="SH8" s="31" t="s">
        <v>18</v>
      </c>
      <c r="SI8" s="31" t="s">
        <v>18</v>
      </c>
      <c r="SJ8" s="31" t="s">
        <v>18</v>
      </c>
      <c r="SK8" s="31" t="s">
        <v>18</v>
      </c>
      <c r="SL8" s="31" t="s">
        <v>18</v>
      </c>
      <c r="SM8" s="31" t="s">
        <v>18</v>
      </c>
      <c r="SN8" s="31" t="s">
        <v>18</v>
      </c>
      <c r="SO8" s="31" t="s">
        <v>18</v>
      </c>
      <c r="SP8" s="31" t="s">
        <v>18</v>
      </c>
      <c r="SQ8" s="31" t="s">
        <v>18</v>
      </c>
      <c r="SR8" s="31" t="s">
        <v>18</v>
      </c>
      <c r="SS8" s="31" t="s">
        <v>18</v>
      </c>
      <c r="ST8" s="31" t="s">
        <v>18</v>
      </c>
      <c r="SU8" s="31" t="s">
        <v>18</v>
      </c>
      <c r="SV8" s="31" t="s">
        <v>18</v>
      </c>
      <c r="SW8" s="31" t="s">
        <v>18</v>
      </c>
      <c r="SX8" s="31" t="s">
        <v>18</v>
      </c>
      <c r="SY8" s="31" t="s">
        <v>18</v>
      </c>
      <c r="SZ8" s="31" t="s">
        <v>18</v>
      </c>
      <c r="TA8" s="31" t="s">
        <v>18</v>
      </c>
      <c r="TB8" s="31" t="s">
        <v>18</v>
      </c>
      <c r="TC8" s="31" t="s">
        <v>18</v>
      </c>
      <c r="TD8" s="31" t="s">
        <v>18</v>
      </c>
      <c r="TE8" s="31" t="s">
        <v>18</v>
      </c>
      <c r="TF8" s="31" t="s">
        <v>18</v>
      </c>
      <c r="TG8" s="31" t="s">
        <v>18</v>
      </c>
      <c r="TH8" s="31" t="s">
        <v>18</v>
      </c>
      <c r="TI8" s="31" t="s">
        <v>18</v>
      </c>
      <c r="TJ8" s="31" t="s">
        <v>18</v>
      </c>
      <c r="TK8" s="31" t="s">
        <v>18</v>
      </c>
      <c r="TL8" s="31" t="s">
        <v>18</v>
      </c>
      <c r="TM8" s="31" t="s">
        <v>18</v>
      </c>
      <c r="TN8" s="31" t="s">
        <v>18</v>
      </c>
      <c r="TO8" s="31" t="s">
        <v>18</v>
      </c>
      <c r="TP8" s="31" t="s">
        <v>18</v>
      </c>
      <c r="TQ8" s="31" t="s">
        <v>18</v>
      </c>
      <c r="TR8" s="31" t="s">
        <v>18</v>
      </c>
      <c r="TS8" s="31" t="s">
        <v>18</v>
      </c>
      <c r="TT8" s="31" t="s">
        <v>18</v>
      </c>
      <c r="TU8" s="31" t="s">
        <v>18</v>
      </c>
      <c r="TV8" s="31" t="s">
        <v>18</v>
      </c>
      <c r="TW8" s="31" t="s">
        <v>18</v>
      </c>
      <c r="TX8" s="31" t="s">
        <v>18</v>
      </c>
      <c r="TY8" s="31" t="s">
        <v>18</v>
      </c>
      <c r="TZ8" s="31" t="s">
        <v>18</v>
      </c>
      <c r="UA8" s="31" t="s">
        <v>18</v>
      </c>
      <c r="UB8" s="31" t="s">
        <v>18</v>
      </c>
      <c r="UC8" s="31" t="s">
        <v>18</v>
      </c>
      <c r="UD8" s="31" t="s">
        <v>18</v>
      </c>
      <c r="UE8" s="31" t="s">
        <v>18</v>
      </c>
      <c r="UF8" s="31" t="s">
        <v>18</v>
      </c>
      <c r="UG8" s="31" t="s">
        <v>18</v>
      </c>
      <c r="UH8" s="31" t="s">
        <v>18</v>
      </c>
      <c r="UI8" s="31" t="s">
        <v>18</v>
      </c>
      <c r="UJ8" s="31" t="s">
        <v>18</v>
      </c>
      <c r="UK8" s="31" t="s">
        <v>18</v>
      </c>
      <c r="UL8" s="31" t="s">
        <v>18</v>
      </c>
      <c r="UM8" s="31" t="s">
        <v>18</v>
      </c>
      <c r="UN8" s="31" t="s">
        <v>18</v>
      </c>
      <c r="UO8" s="31" t="s">
        <v>18</v>
      </c>
      <c r="UP8" s="31" t="s">
        <v>18</v>
      </c>
      <c r="UQ8" s="31" t="s">
        <v>18</v>
      </c>
      <c r="UR8" s="31" t="s">
        <v>18</v>
      </c>
      <c r="US8" s="31" t="s">
        <v>18</v>
      </c>
      <c r="UT8" s="31" t="s">
        <v>18</v>
      </c>
      <c r="UU8" s="31" t="s">
        <v>18</v>
      </c>
      <c r="UV8" s="31" t="s">
        <v>18</v>
      </c>
      <c r="UW8" s="31" t="s">
        <v>18</v>
      </c>
      <c r="UX8" s="31" t="s">
        <v>18</v>
      </c>
      <c r="UY8" s="31" t="s">
        <v>18</v>
      </c>
      <c r="UZ8" s="31" t="s">
        <v>18</v>
      </c>
      <c r="VA8" s="31" t="s">
        <v>18</v>
      </c>
      <c r="VB8" s="31" t="s">
        <v>18</v>
      </c>
      <c r="VC8" s="31" t="s">
        <v>18</v>
      </c>
      <c r="VD8" s="31" t="s">
        <v>18</v>
      </c>
      <c r="VE8" s="31" t="s">
        <v>18</v>
      </c>
      <c r="VF8" s="31" t="s">
        <v>18</v>
      </c>
      <c r="VG8" s="31" t="s">
        <v>18</v>
      </c>
      <c r="VH8" s="31" t="s">
        <v>18</v>
      </c>
      <c r="VI8" s="31" t="s">
        <v>18</v>
      </c>
      <c r="VJ8" s="31" t="s">
        <v>18</v>
      </c>
      <c r="VK8" s="31" t="s">
        <v>18</v>
      </c>
      <c r="VL8" s="31" t="s">
        <v>18</v>
      </c>
      <c r="VM8" s="31" t="s">
        <v>18</v>
      </c>
      <c r="VN8" s="31" t="s">
        <v>18</v>
      </c>
      <c r="VO8" s="31" t="s">
        <v>18</v>
      </c>
      <c r="VP8" s="31" t="s">
        <v>18</v>
      </c>
      <c r="VQ8" s="31" t="s">
        <v>18</v>
      </c>
      <c r="VR8" s="31" t="s">
        <v>18</v>
      </c>
      <c r="VS8" s="31" t="s">
        <v>18</v>
      </c>
      <c r="VT8" s="31" t="s">
        <v>18</v>
      </c>
      <c r="VU8" s="31" t="s">
        <v>18</v>
      </c>
      <c r="VV8" s="31" t="s">
        <v>18</v>
      </c>
      <c r="VW8" s="31" t="s">
        <v>18</v>
      </c>
      <c r="VX8" s="31" t="s">
        <v>18</v>
      </c>
      <c r="VY8" s="31" t="s">
        <v>18</v>
      </c>
      <c r="VZ8" s="31" t="s">
        <v>18</v>
      </c>
      <c r="WA8" s="31" t="s">
        <v>18</v>
      </c>
      <c r="WB8" s="31" t="s">
        <v>18</v>
      </c>
      <c r="WC8" s="31" t="s">
        <v>18</v>
      </c>
      <c r="WD8" s="31" t="s">
        <v>18</v>
      </c>
      <c r="WE8" s="31" t="s">
        <v>18</v>
      </c>
      <c r="WF8" s="31" t="s">
        <v>18</v>
      </c>
      <c r="WG8" s="31" t="s">
        <v>18</v>
      </c>
      <c r="WH8" s="31" t="s">
        <v>18</v>
      </c>
      <c r="WI8" s="31" t="s">
        <v>18</v>
      </c>
      <c r="WJ8" s="31" t="s">
        <v>18</v>
      </c>
      <c r="WK8" s="31" t="s">
        <v>18</v>
      </c>
      <c r="WL8" s="31" t="s">
        <v>18</v>
      </c>
      <c r="WM8" s="31" t="s">
        <v>18</v>
      </c>
      <c r="WN8" s="31" t="s">
        <v>18</v>
      </c>
      <c r="WO8" s="31" t="s">
        <v>18</v>
      </c>
      <c r="WP8" s="31" t="s">
        <v>18</v>
      </c>
      <c r="WQ8" s="31" t="s">
        <v>18</v>
      </c>
      <c r="WR8" s="31" t="s">
        <v>18</v>
      </c>
      <c r="WS8" s="31" t="s">
        <v>18</v>
      </c>
      <c r="WT8" s="31" t="s">
        <v>18</v>
      </c>
      <c r="WU8" s="31" t="s">
        <v>18</v>
      </c>
      <c r="WV8" s="31" t="s">
        <v>18</v>
      </c>
      <c r="WW8" s="31" t="s">
        <v>18</v>
      </c>
      <c r="WX8" s="31" t="s">
        <v>18</v>
      </c>
      <c r="WY8" s="31" t="s">
        <v>18</v>
      </c>
      <c r="WZ8" s="31" t="s">
        <v>18</v>
      </c>
      <c r="XA8" s="31" t="s">
        <v>18</v>
      </c>
      <c r="XB8" s="31" t="s">
        <v>18</v>
      </c>
      <c r="XC8" s="31" t="s">
        <v>18</v>
      </c>
      <c r="XD8" s="31" t="s">
        <v>18</v>
      </c>
      <c r="XE8" s="31" t="s">
        <v>18</v>
      </c>
      <c r="XF8" s="31" t="s">
        <v>18</v>
      </c>
      <c r="XG8" s="31" t="s">
        <v>18</v>
      </c>
      <c r="XH8" s="31" t="s">
        <v>18</v>
      </c>
      <c r="XI8" s="31" t="s">
        <v>18</v>
      </c>
      <c r="XJ8" s="31" t="s">
        <v>18</v>
      </c>
      <c r="XK8" s="31" t="s">
        <v>18</v>
      </c>
      <c r="XL8" s="31" t="s">
        <v>18</v>
      </c>
      <c r="XM8" s="31" t="s">
        <v>18</v>
      </c>
      <c r="XN8" s="31" t="s">
        <v>18</v>
      </c>
      <c r="XO8" s="31" t="s">
        <v>18</v>
      </c>
      <c r="XP8" s="31" t="s">
        <v>18</v>
      </c>
      <c r="XQ8" s="31" t="s">
        <v>18</v>
      </c>
      <c r="XR8" s="31" t="s">
        <v>18</v>
      </c>
      <c r="XS8" s="31" t="s">
        <v>18</v>
      </c>
      <c r="XT8" s="31" t="s">
        <v>18</v>
      </c>
      <c r="XU8" s="31" t="s">
        <v>18</v>
      </c>
      <c r="XV8" s="31" t="s">
        <v>18</v>
      </c>
      <c r="XW8" s="31" t="s">
        <v>18</v>
      </c>
      <c r="XX8" s="31" t="s">
        <v>18</v>
      </c>
      <c r="XY8" s="31" t="s">
        <v>18</v>
      </c>
      <c r="XZ8" s="31" t="s">
        <v>18</v>
      </c>
      <c r="YA8" s="31" t="s">
        <v>18</v>
      </c>
      <c r="YB8" s="31" t="s">
        <v>18</v>
      </c>
      <c r="YC8" s="31" t="s">
        <v>18</v>
      </c>
      <c r="YD8" s="31" t="s">
        <v>18</v>
      </c>
      <c r="YE8" s="31" t="s">
        <v>18</v>
      </c>
      <c r="YF8" s="31" t="s">
        <v>18</v>
      </c>
      <c r="YG8" s="31" t="s">
        <v>18</v>
      </c>
      <c r="YH8" s="31" t="s">
        <v>18</v>
      </c>
      <c r="YI8" s="31" t="s">
        <v>18</v>
      </c>
      <c r="YJ8" s="31" t="s">
        <v>18</v>
      </c>
      <c r="YK8" s="31" t="s">
        <v>18</v>
      </c>
      <c r="YL8" s="31" t="s">
        <v>18</v>
      </c>
      <c r="YM8" s="31" t="s">
        <v>18</v>
      </c>
      <c r="YN8" s="31" t="s">
        <v>18</v>
      </c>
      <c r="YO8" s="31" t="s">
        <v>18</v>
      </c>
      <c r="YP8" s="31" t="s">
        <v>18</v>
      </c>
      <c r="YQ8" s="31" t="s">
        <v>18</v>
      </c>
      <c r="YR8" s="31" t="s">
        <v>18</v>
      </c>
      <c r="YS8" s="31" t="s">
        <v>18</v>
      </c>
      <c r="YT8" s="31" t="s">
        <v>18</v>
      </c>
      <c r="YU8" s="31" t="s">
        <v>18</v>
      </c>
      <c r="YV8" s="31" t="s">
        <v>18</v>
      </c>
      <c r="YW8" s="31" t="s">
        <v>18</v>
      </c>
      <c r="YX8" s="31" t="s">
        <v>18</v>
      </c>
      <c r="YY8" s="31" t="s">
        <v>18</v>
      </c>
      <c r="YZ8" s="31" t="s">
        <v>18</v>
      </c>
      <c r="ZA8" s="31" t="s">
        <v>18</v>
      </c>
      <c r="ZB8" s="31" t="s">
        <v>18</v>
      </c>
      <c r="ZC8" s="31" t="s">
        <v>18</v>
      </c>
      <c r="ZD8" s="31" t="s">
        <v>18</v>
      </c>
      <c r="ZE8" s="31" t="s">
        <v>18</v>
      </c>
      <c r="ZF8" s="31" t="s">
        <v>18</v>
      </c>
      <c r="ZG8" s="31" t="s">
        <v>18</v>
      </c>
      <c r="ZH8" s="31" t="s">
        <v>18</v>
      </c>
      <c r="ZI8" s="31" t="s">
        <v>18</v>
      </c>
      <c r="ZJ8" s="31" t="s">
        <v>18</v>
      </c>
      <c r="ZK8" s="31" t="s">
        <v>18</v>
      </c>
      <c r="ZL8" s="31" t="s">
        <v>18</v>
      </c>
      <c r="ZM8" s="31" t="s">
        <v>18</v>
      </c>
      <c r="ZN8" s="31" t="s">
        <v>18</v>
      </c>
      <c r="ZO8" s="31" t="s">
        <v>18</v>
      </c>
      <c r="ZP8" s="31" t="s">
        <v>18</v>
      </c>
      <c r="ZQ8" s="31" t="s">
        <v>18</v>
      </c>
      <c r="ZR8" s="31" t="s">
        <v>18</v>
      </c>
      <c r="ZS8" s="31" t="s">
        <v>18</v>
      </c>
      <c r="ZT8" s="31" t="s">
        <v>18</v>
      </c>
      <c r="ZU8" s="31" t="s">
        <v>18</v>
      </c>
      <c r="ZV8" s="31" t="s">
        <v>18</v>
      </c>
      <c r="ZW8" s="31" t="s">
        <v>18</v>
      </c>
      <c r="ZX8" s="31" t="s">
        <v>18</v>
      </c>
      <c r="ZY8" s="31" t="s">
        <v>18</v>
      </c>
      <c r="ZZ8" s="31" t="s">
        <v>18</v>
      </c>
      <c r="AAA8" s="31" t="s">
        <v>18</v>
      </c>
      <c r="AAB8" s="31" t="s">
        <v>18</v>
      </c>
      <c r="AAC8" s="31" t="s">
        <v>18</v>
      </c>
      <c r="AAD8" s="31" t="s">
        <v>18</v>
      </c>
      <c r="AAE8" s="31" t="s">
        <v>18</v>
      </c>
      <c r="AAF8" s="31" t="s">
        <v>18</v>
      </c>
      <c r="AAG8" s="31" t="s">
        <v>18</v>
      </c>
      <c r="AAH8" s="31" t="s">
        <v>18</v>
      </c>
      <c r="AAI8" s="31" t="s">
        <v>18</v>
      </c>
      <c r="AAJ8" s="31" t="s">
        <v>18</v>
      </c>
      <c r="AAK8" s="31" t="s">
        <v>18</v>
      </c>
      <c r="AAL8" s="31" t="s">
        <v>18</v>
      </c>
      <c r="AAM8" s="31" t="s">
        <v>18</v>
      </c>
      <c r="AAN8" s="31" t="s">
        <v>18</v>
      </c>
      <c r="AAO8" s="31" t="s">
        <v>18</v>
      </c>
      <c r="AAP8" s="31" t="s">
        <v>18</v>
      </c>
      <c r="AAQ8" s="31" t="s">
        <v>18</v>
      </c>
      <c r="AAR8" s="31" t="s">
        <v>18</v>
      </c>
      <c r="AAS8" s="31" t="s">
        <v>18</v>
      </c>
      <c r="AAT8" s="31" t="s">
        <v>18</v>
      </c>
      <c r="AAU8" s="31" t="s">
        <v>18</v>
      </c>
      <c r="AAV8" s="31" t="s">
        <v>18</v>
      </c>
      <c r="AAW8" s="31" t="s">
        <v>18</v>
      </c>
      <c r="AAX8" s="31" t="s">
        <v>18</v>
      </c>
      <c r="AAY8" s="31" t="s">
        <v>18</v>
      </c>
      <c r="AAZ8" s="31" t="s">
        <v>18</v>
      </c>
      <c r="ABA8" s="31" t="s">
        <v>18</v>
      </c>
      <c r="ABB8" s="31" t="s">
        <v>18</v>
      </c>
      <c r="ABC8" s="31" t="s">
        <v>18</v>
      </c>
      <c r="ABD8" s="31" t="s">
        <v>18</v>
      </c>
      <c r="ABE8" s="31" t="s">
        <v>18</v>
      </c>
      <c r="ABF8" s="31" t="s">
        <v>18</v>
      </c>
      <c r="ABG8" s="31" t="s">
        <v>18</v>
      </c>
      <c r="ABH8" s="31" t="s">
        <v>18</v>
      </c>
      <c r="ABI8" s="31" t="s">
        <v>18</v>
      </c>
      <c r="ABJ8" s="31" t="s">
        <v>18</v>
      </c>
      <c r="ABK8" s="31" t="s">
        <v>18</v>
      </c>
      <c r="ABL8" s="31" t="s">
        <v>18</v>
      </c>
      <c r="ABM8" s="31" t="s">
        <v>18</v>
      </c>
      <c r="ABN8" s="31" t="s">
        <v>18</v>
      </c>
      <c r="ABO8" s="31" t="s">
        <v>18</v>
      </c>
      <c r="ABP8" s="31" t="s">
        <v>18</v>
      </c>
      <c r="ABQ8" s="31" t="s">
        <v>18</v>
      </c>
      <c r="ABR8" s="31" t="s">
        <v>18</v>
      </c>
      <c r="ABS8" s="31" t="s">
        <v>18</v>
      </c>
      <c r="ABT8" s="31" t="s">
        <v>18</v>
      </c>
      <c r="ABU8" s="31" t="s">
        <v>18</v>
      </c>
      <c r="ABV8" s="31" t="s">
        <v>18</v>
      </c>
      <c r="ABW8" s="31" t="s">
        <v>18</v>
      </c>
      <c r="ABX8" s="31" t="s">
        <v>18</v>
      </c>
      <c r="ABY8" s="31" t="s">
        <v>18</v>
      </c>
      <c r="ABZ8" s="31" t="s">
        <v>18</v>
      </c>
      <c r="ACA8" s="31" t="s">
        <v>18</v>
      </c>
      <c r="ACB8" s="31" t="s">
        <v>18</v>
      </c>
      <c r="ACC8" s="31" t="s">
        <v>18</v>
      </c>
      <c r="ACD8" s="31" t="s">
        <v>18</v>
      </c>
      <c r="ACE8" s="31" t="s">
        <v>18</v>
      </c>
      <c r="ACF8" s="31" t="s">
        <v>18</v>
      </c>
      <c r="ACG8" s="31" t="s">
        <v>18</v>
      </c>
      <c r="ACH8" s="31" t="s">
        <v>18</v>
      </c>
      <c r="ACI8" s="31" t="s">
        <v>18</v>
      </c>
      <c r="ACJ8" s="31" t="s">
        <v>18</v>
      </c>
      <c r="ACK8" s="31" t="s">
        <v>18</v>
      </c>
      <c r="ACL8" s="31" t="s">
        <v>18</v>
      </c>
      <c r="ACM8" s="31" t="s">
        <v>18</v>
      </c>
      <c r="ACN8" s="31" t="s">
        <v>18</v>
      </c>
      <c r="ACO8" s="31" t="s">
        <v>18</v>
      </c>
      <c r="ACP8" s="31" t="s">
        <v>18</v>
      </c>
      <c r="ACQ8" s="31" t="s">
        <v>18</v>
      </c>
      <c r="ACR8" s="31" t="s">
        <v>18</v>
      </c>
      <c r="ACS8" s="31" t="s">
        <v>18</v>
      </c>
      <c r="ACT8" s="31" t="s">
        <v>18</v>
      </c>
      <c r="ACU8" s="31" t="s">
        <v>18</v>
      </c>
      <c r="ACV8" s="31" t="s">
        <v>18</v>
      </c>
      <c r="ACW8" s="31" t="s">
        <v>18</v>
      </c>
      <c r="ACX8" s="31" t="s">
        <v>18</v>
      </c>
      <c r="ACY8" s="31" t="s">
        <v>18</v>
      </c>
      <c r="ACZ8" s="31" t="s">
        <v>18</v>
      </c>
      <c r="ADA8" s="31" t="s">
        <v>18</v>
      </c>
      <c r="ADB8" s="31" t="s">
        <v>18</v>
      </c>
      <c r="ADC8" s="31" t="s">
        <v>18</v>
      </c>
      <c r="ADD8" s="31" t="s">
        <v>18</v>
      </c>
      <c r="ADE8" s="31" t="s">
        <v>18</v>
      </c>
      <c r="ADF8" s="31" t="s">
        <v>18</v>
      </c>
      <c r="ADG8" s="31" t="s">
        <v>18</v>
      </c>
      <c r="ADH8" s="31" t="s">
        <v>18</v>
      </c>
      <c r="ADI8" s="31" t="s">
        <v>18</v>
      </c>
      <c r="ADJ8" s="31" t="s">
        <v>18</v>
      </c>
      <c r="ADK8" s="31" t="s">
        <v>18</v>
      </c>
      <c r="ADL8" s="31" t="s">
        <v>18</v>
      </c>
      <c r="ADM8" s="31" t="s">
        <v>18</v>
      </c>
      <c r="ADN8" s="31" t="s">
        <v>18</v>
      </c>
      <c r="ADO8" s="31" t="s">
        <v>18</v>
      </c>
      <c r="ADP8" s="31" t="s">
        <v>18</v>
      </c>
      <c r="ADQ8" s="31" t="s">
        <v>18</v>
      </c>
      <c r="ADR8" s="31" t="s">
        <v>18</v>
      </c>
      <c r="ADS8" s="31" t="s">
        <v>18</v>
      </c>
      <c r="ADT8" s="31" t="s">
        <v>18</v>
      </c>
      <c r="ADU8" s="31" t="s">
        <v>18</v>
      </c>
      <c r="ADV8" s="31" t="s">
        <v>18</v>
      </c>
      <c r="ADW8" s="31" t="s">
        <v>18</v>
      </c>
      <c r="ADX8" s="31" t="s">
        <v>18</v>
      </c>
      <c r="ADY8" s="31" t="s">
        <v>18</v>
      </c>
      <c r="ADZ8" s="31" t="s">
        <v>18</v>
      </c>
      <c r="AEA8" s="31" t="s">
        <v>18</v>
      </c>
      <c r="AEB8" s="31" t="s">
        <v>18</v>
      </c>
      <c r="AEC8" s="31" t="s">
        <v>18</v>
      </c>
      <c r="AED8" s="31" t="s">
        <v>18</v>
      </c>
      <c r="AEE8" s="31" t="s">
        <v>18</v>
      </c>
      <c r="AEF8" s="31" t="s">
        <v>18</v>
      </c>
      <c r="AEG8" s="31" t="s">
        <v>18</v>
      </c>
      <c r="AEH8" s="31" t="s">
        <v>18</v>
      </c>
      <c r="AEI8" s="31" t="s">
        <v>18</v>
      </c>
      <c r="AEJ8" s="31" t="s">
        <v>18</v>
      </c>
      <c r="AEK8" s="31" t="s">
        <v>18</v>
      </c>
      <c r="AEL8" s="31" t="s">
        <v>18</v>
      </c>
      <c r="AEM8" s="31" t="s">
        <v>18</v>
      </c>
      <c r="AEN8" s="31" t="s">
        <v>18</v>
      </c>
      <c r="AEO8" s="31" t="s">
        <v>18</v>
      </c>
      <c r="AEP8" s="31" t="s">
        <v>18</v>
      </c>
      <c r="AEQ8" s="31" t="s">
        <v>18</v>
      </c>
      <c r="AER8" s="31" t="s">
        <v>18</v>
      </c>
      <c r="AES8" s="31" t="s">
        <v>18</v>
      </c>
      <c r="AET8" s="31" t="s">
        <v>18</v>
      </c>
      <c r="AEU8" s="31" t="s">
        <v>18</v>
      </c>
      <c r="AEV8" s="31" t="s">
        <v>18</v>
      </c>
      <c r="AEW8" s="31" t="s">
        <v>18</v>
      </c>
      <c r="AEX8" s="31" t="s">
        <v>18</v>
      </c>
      <c r="AEY8" s="31" t="s">
        <v>18</v>
      </c>
      <c r="AEZ8" s="31" t="s">
        <v>18</v>
      </c>
      <c r="AFA8" s="31" t="s">
        <v>18</v>
      </c>
      <c r="AFB8" s="31" t="s">
        <v>18</v>
      </c>
      <c r="AFC8" s="31" t="s">
        <v>18</v>
      </c>
      <c r="AFD8" s="31" t="s">
        <v>18</v>
      </c>
      <c r="AFE8" s="31" t="s">
        <v>18</v>
      </c>
      <c r="AFF8" s="31" t="s">
        <v>18</v>
      </c>
      <c r="AFG8" s="31" t="s">
        <v>18</v>
      </c>
      <c r="AFH8" s="31" t="s">
        <v>18</v>
      </c>
      <c r="AFI8" s="31" t="s">
        <v>18</v>
      </c>
      <c r="AFJ8" s="31" t="s">
        <v>18</v>
      </c>
      <c r="AFK8" s="31" t="s">
        <v>18</v>
      </c>
      <c r="AFL8" s="31" t="s">
        <v>18</v>
      </c>
      <c r="AFM8" s="31" t="s">
        <v>18</v>
      </c>
      <c r="AFN8" s="31" t="s">
        <v>18</v>
      </c>
      <c r="AFO8" s="31" t="s">
        <v>18</v>
      </c>
      <c r="AFP8" s="31" t="s">
        <v>18</v>
      </c>
      <c r="AFQ8" s="31" t="s">
        <v>18</v>
      </c>
      <c r="AFR8" s="31" t="s">
        <v>18</v>
      </c>
      <c r="AFS8" s="31" t="s">
        <v>18</v>
      </c>
      <c r="AFT8" s="31" t="s">
        <v>18</v>
      </c>
      <c r="AFU8" s="31" t="s">
        <v>18</v>
      </c>
      <c r="AFV8" s="31" t="s">
        <v>18</v>
      </c>
      <c r="AFW8" s="31" t="s">
        <v>18</v>
      </c>
      <c r="AFX8" s="31" t="s">
        <v>18</v>
      </c>
      <c r="AFY8" s="31" t="s">
        <v>18</v>
      </c>
      <c r="AFZ8" s="31" t="s">
        <v>18</v>
      </c>
      <c r="AGA8" s="31" t="s">
        <v>18</v>
      </c>
      <c r="AGB8" s="31" t="s">
        <v>18</v>
      </c>
      <c r="AGC8" s="31" t="s">
        <v>18</v>
      </c>
      <c r="AGD8" s="31" t="s">
        <v>18</v>
      </c>
      <c r="AGE8" s="31" t="s">
        <v>18</v>
      </c>
      <c r="AGF8" s="31" t="s">
        <v>18</v>
      </c>
      <c r="AGG8" s="31" t="s">
        <v>18</v>
      </c>
      <c r="AGH8" s="31" t="s">
        <v>18</v>
      </c>
      <c r="AGI8" s="31" t="s">
        <v>18</v>
      </c>
      <c r="AGJ8" s="31" t="s">
        <v>18</v>
      </c>
      <c r="AGK8" s="31" t="s">
        <v>18</v>
      </c>
      <c r="AGL8" s="31" t="s">
        <v>18</v>
      </c>
      <c r="AGM8" s="31" t="s">
        <v>18</v>
      </c>
      <c r="AGN8" s="31" t="s">
        <v>18</v>
      </c>
      <c r="AGO8" s="31" t="s">
        <v>18</v>
      </c>
      <c r="AGP8" s="31" t="s">
        <v>18</v>
      </c>
      <c r="AGQ8" s="31" t="s">
        <v>18</v>
      </c>
      <c r="AGR8" s="31" t="s">
        <v>18</v>
      </c>
      <c r="AGS8" s="31" t="s">
        <v>18</v>
      </c>
      <c r="AGT8" s="31" t="s">
        <v>18</v>
      </c>
      <c r="AGU8" s="31" t="s">
        <v>18</v>
      </c>
      <c r="AGV8" s="31" t="s">
        <v>18</v>
      </c>
      <c r="AGW8" s="31" t="s">
        <v>18</v>
      </c>
      <c r="AGX8" s="31" t="s">
        <v>18</v>
      </c>
      <c r="AGY8" s="31" t="s">
        <v>18</v>
      </c>
      <c r="AGZ8" s="31" t="s">
        <v>18</v>
      </c>
      <c r="AHA8" s="31" t="s">
        <v>18</v>
      </c>
      <c r="AHB8" s="31" t="s">
        <v>18</v>
      </c>
      <c r="AHC8" s="31" t="s">
        <v>18</v>
      </c>
      <c r="AHD8" s="31" t="s">
        <v>18</v>
      </c>
      <c r="AHE8" s="31" t="s">
        <v>18</v>
      </c>
      <c r="AHF8" s="31" t="s">
        <v>18</v>
      </c>
      <c r="AHG8" s="31" t="s">
        <v>18</v>
      </c>
      <c r="AHH8" s="31" t="s">
        <v>18</v>
      </c>
      <c r="AHI8" s="31" t="s">
        <v>18</v>
      </c>
      <c r="AHJ8" s="31" t="s">
        <v>18</v>
      </c>
      <c r="AHK8" s="31" t="s">
        <v>18</v>
      </c>
      <c r="AHL8" s="31" t="s">
        <v>18</v>
      </c>
      <c r="AHM8" s="31" t="s">
        <v>18</v>
      </c>
      <c r="AHN8" s="31" t="s">
        <v>18</v>
      </c>
      <c r="AHO8" s="31" t="s">
        <v>18</v>
      </c>
      <c r="AHP8" s="31" t="s">
        <v>18</v>
      </c>
      <c r="AHQ8" s="31" t="s">
        <v>18</v>
      </c>
      <c r="AHR8" s="31" t="s">
        <v>18</v>
      </c>
      <c r="AHS8" s="31" t="s">
        <v>18</v>
      </c>
      <c r="AHT8" s="31" t="s">
        <v>18</v>
      </c>
      <c r="AHU8" s="31" t="s">
        <v>18</v>
      </c>
      <c r="AHV8" s="31" t="s">
        <v>18</v>
      </c>
      <c r="AHW8" s="31" t="s">
        <v>18</v>
      </c>
      <c r="AHX8" s="31" t="s">
        <v>18</v>
      </c>
      <c r="AHY8" s="31" t="s">
        <v>18</v>
      </c>
      <c r="AHZ8" s="31" t="s">
        <v>18</v>
      </c>
      <c r="AIA8" s="31" t="s">
        <v>18</v>
      </c>
      <c r="AIB8" s="31" t="s">
        <v>18</v>
      </c>
      <c r="AIC8" s="31" t="s">
        <v>18</v>
      </c>
      <c r="AID8" s="31" t="s">
        <v>18</v>
      </c>
      <c r="AIE8" s="31" t="s">
        <v>18</v>
      </c>
      <c r="AIF8" s="31" t="s">
        <v>18</v>
      </c>
      <c r="AIG8" s="31" t="s">
        <v>18</v>
      </c>
      <c r="AIH8" s="31" t="s">
        <v>18</v>
      </c>
      <c r="AII8" s="31" t="s">
        <v>18</v>
      </c>
      <c r="AIJ8" s="31" t="s">
        <v>18</v>
      </c>
      <c r="AIK8" s="31" t="s">
        <v>18</v>
      </c>
      <c r="AIL8" s="31" t="s">
        <v>18</v>
      </c>
      <c r="AIM8" s="31" t="s">
        <v>18</v>
      </c>
      <c r="AIN8" s="31" t="s">
        <v>18</v>
      </c>
      <c r="AIO8" s="31" t="s">
        <v>18</v>
      </c>
      <c r="AIP8" s="31" t="s">
        <v>18</v>
      </c>
      <c r="AIQ8" s="31" t="s">
        <v>18</v>
      </c>
      <c r="AIR8" s="31" t="s">
        <v>18</v>
      </c>
      <c r="AIS8" s="31" t="s">
        <v>18</v>
      </c>
      <c r="AIT8" s="31" t="s">
        <v>18</v>
      </c>
      <c r="AIU8" s="31" t="s">
        <v>18</v>
      </c>
      <c r="AIV8" s="31" t="s">
        <v>18</v>
      </c>
      <c r="AIW8" s="31" t="s">
        <v>18</v>
      </c>
      <c r="AIX8" s="31" t="s">
        <v>18</v>
      </c>
      <c r="AIY8" s="31" t="s">
        <v>18</v>
      </c>
      <c r="AIZ8" s="31" t="s">
        <v>18</v>
      </c>
      <c r="AJA8" s="31" t="s">
        <v>18</v>
      </c>
      <c r="AJB8" s="31" t="s">
        <v>18</v>
      </c>
      <c r="AJC8" s="31" t="s">
        <v>18</v>
      </c>
      <c r="AJD8" s="31" t="s">
        <v>18</v>
      </c>
      <c r="AJE8" s="31" t="s">
        <v>18</v>
      </c>
      <c r="AJF8" s="31" t="s">
        <v>18</v>
      </c>
      <c r="AJG8" s="31" t="s">
        <v>18</v>
      </c>
      <c r="AJH8" s="31" t="s">
        <v>18</v>
      </c>
      <c r="AJI8" s="31" t="s">
        <v>18</v>
      </c>
      <c r="AJJ8" s="31" t="s">
        <v>18</v>
      </c>
      <c r="AJK8" s="31" t="s">
        <v>18</v>
      </c>
      <c r="AJL8" s="31" t="s">
        <v>18</v>
      </c>
      <c r="AJM8" s="31" t="s">
        <v>18</v>
      </c>
      <c r="AJN8" s="31" t="s">
        <v>18</v>
      </c>
      <c r="AJO8" s="31" t="s">
        <v>18</v>
      </c>
      <c r="AJP8" s="31" t="s">
        <v>18</v>
      </c>
      <c r="AJQ8" s="31" t="s">
        <v>18</v>
      </c>
      <c r="AJR8" s="31" t="s">
        <v>18</v>
      </c>
      <c r="AJS8" s="31" t="s">
        <v>18</v>
      </c>
      <c r="AJT8" s="31" t="s">
        <v>18</v>
      </c>
      <c r="AJU8" s="31" t="s">
        <v>18</v>
      </c>
      <c r="AJV8" s="31" t="s">
        <v>18</v>
      </c>
      <c r="AJW8" s="31" t="s">
        <v>18</v>
      </c>
      <c r="AJX8" s="31" t="s">
        <v>18</v>
      </c>
      <c r="AJY8" s="31" t="s">
        <v>18</v>
      </c>
      <c r="AJZ8" s="31" t="s">
        <v>18</v>
      </c>
      <c r="AKA8" s="31" t="s">
        <v>18</v>
      </c>
      <c r="AKB8" s="31" t="s">
        <v>18</v>
      </c>
      <c r="AKC8" s="31" t="s">
        <v>18</v>
      </c>
      <c r="AKD8" s="31" t="s">
        <v>18</v>
      </c>
      <c r="AKE8" s="31" t="s">
        <v>18</v>
      </c>
      <c r="AKF8" s="31" t="s">
        <v>18</v>
      </c>
      <c r="AKG8" s="31" t="s">
        <v>18</v>
      </c>
      <c r="AKH8" s="31" t="s">
        <v>18</v>
      </c>
      <c r="AKI8" s="31" t="s">
        <v>18</v>
      </c>
      <c r="AKJ8" s="31" t="s">
        <v>18</v>
      </c>
      <c r="AKK8" s="31" t="s">
        <v>18</v>
      </c>
      <c r="AKL8" s="31" t="s">
        <v>18</v>
      </c>
      <c r="AKM8" s="31" t="s">
        <v>18</v>
      </c>
      <c r="AKN8" s="31" t="s">
        <v>18</v>
      </c>
      <c r="AKO8" s="31" t="s">
        <v>18</v>
      </c>
      <c r="AKP8" s="31" t="s">
        <v>18</v>
      </c>
      <c r="AKQ8" s="31" t="s">
        <v>18</v>
      </c>
      <c r="AKR8" s="31" t="s">
        <v>18</v>
      </c>
      <c r="AKS8" s="31" t="s">
        <v>18</v>
      </c>
      <c r="AKT8" s="31" t="s">
        <v>18</v>
      </c>
      <c r="AKU8" s="31" t="s">
        <v>18</v>
      </c>
      <c r="AKV8" s="31" t="s">
        <v>18</v>
      </c>
      <c r="AKW8" s="31" t="s">
        <v>18</v>
      </c>
      <c r="AKX8" s="31" t="s">
        <v>18</v>
      </c>
      <c r="AKY8" s="31" t="s">
        <v>18</v>
      </c>
      <c r="AKZ8" s="31" t="s">
        <v>18</v>
      </c>
      <c r="ALA8" s="31" t="s">
        <v>18</v>
      </c>
      <c r="ALB8" s="31" t="s">
        <v>18</v>
      </c>
      <c r="ALC8" s="31" t="s">
        <v>18</v>
      </c>
      <c r="ALD8" s="31" t="s">
        <v>18</v>
      </c>
      <c r="ALE8" s="31" t="s">
        <v>18</v>
      </c>
      <c r="ALF8" s="31" t="s">
        <v>18</v>
      </c>
      <c r="ALG8" s="31" t="s">
        <v>18</v>
      </c>
      <c r="ALH8" s="31" t="s">
        <v>18</v>
      </c>
      <c r="ALI8" s="31" t="s">
        <v>18</v>
      </c>
      <c r="ALJ8" s="31" t="s">
        <v>18</v>
      </c>
      <c r="ALK8" s="31" t="s">
        <v>18</v>
      </c>
      <c r="ALL8" s="31" t="s">
        <v>18</v>
      </c>
      <c r="ALM8" s="31" t="s">
        <v>18</v>
      </c>
      <c r="ALN8" s="31" t="s">
        <v>18</v>
      </c>
      <c r="ALO8" s="31" t="s">
        <v>18</v>
      </c>
      <c r="ALP8" s="31" t="s">
        <v>18</v>
      </c>
      <c r="ALQ8" s="31" t="s">
        <v>18</v>
      </c>
      <c r="ALR8" s="31" t="s">
        <v>18</v>
      </c>
      <c r="ALS8" s="31" t="s">
        <v>18</v>
      </c>
      <c r="ALT8" s="31" t="s">
        <v>18</v>
      </c>
      <c r="ALU8" s="31" t="s">
        <v>18</v>
      </c>
      <c r="ALV8" s="31" t="s">
        <v>18</v>
      </c>
      <c r="ALW8" s="31" t="s">
        <v>18</v>
      </c>
      <c r="ALX8" s="31" t="s">
        <v>18</v>
      </c>
      <c r="ALY8" s="31" t="s">
        <v>18</v>
      </c>
      <c r="ALZ8" s="31" t="s">
        <v>18</v>
      </c>
      <c r="AMA8" s="31" t="s">
        <v>18</v>
      </c>
      <c r="AMB8" s="31" t="s">
        <v>18</v>
      </c>
      <c r="AMC8" s="31" t="s">
        <v>18</v>
      </c>
      <c r="AMD8" s="31" t="s">
        <v>18</v>
      </c>
      <c r="AME8" s="31" t="s">
        <v>18</v>
      </c>
      <c r="AMF8" s="31" t="s">
        <v>18</v>
      </c>
      <c r="AMG8" s="31" t="s">
        <v>18</v>
      </c>
      <c r="AMH8" s="31" t="s">
        <v>18</v>
      </c>
      <c r="AMI8" s="31" t="s">
        <v>18</v>
      </c>
      <c r="AMJ8" s="31" t="s">
        <v>18</v>
      </c>
      <c r="AMK8" s="31" t="s">
        <v>18</v>
      </c>
      <c r="AML8" s="31" t="s">
        <v>18</v>
      </c>
      <c r="AMM8" s="31" t="s">
        <v>18</v>
      </c>
      <c r="AMN8" s="31" t="s">
        <v>18</v>
      </c>
      <c r="AMO8" s="31" t="s">
        <v>18</v>
      </c>
      <c r="AMP8" s="31" t="s">
        <v>18</v>
      </c>
      <c r="AMQ8" s="31" t="s">
        <v>18</v>
      </c>
      <c r="AMR8" s="31" t="s">
        <v>18</v>
      </c>
      <c r="AMS8" s="31" t="s">
        <v>18</v>
      </c>
      <c r="AMT8" s="31" t="s">
        <v>18</v>
      </c>
      <c r="AMU8" s="31" t="s">
        <v>18</v>
      </c>
      <c r="AMV8" s="31" t="s">
        <v>18</v>
      </c>
      <c r="AMW8" s="31" t="s">
        <v>18</v>
      </c>
      <c r="AMX8" s="31" t="s">
        <v>18</v>
      </c>
      <c r="AMY8" s="31" t="s">
        <v>18</v>
      </c>
      <c r="AMZ8" s="31" t="s">
        <v>18</v>
      </c>
      <c r="ANA8" s="31" t="s">
        <v>18</v>
      </c>
      <c r="ANB8" s="31" t="s">
        <v>18</v>
      </c>
      <c r="ANC8" s="31" t="s">
        <v>18</v>
      </c>
      <c r="AND8" s="31" t="s">
        <v>18</v>
      </c>
      <c r="ANE8" s="31" t="s">
        <v>18</v>
      </c>
      <c r="ANF8" s="31" t="s">
        <v>18</v>
      </c>
      <c r="ANG8" s="31" t="s">
        <v>18</v>
      </c>
      <c r="ANH8" s="31" t="s">
        <v>18</v>
      </c>
      <c r="ANI8" s="31" t="s">
        <v>18</v>
      </c>
      <c r="ANJ8" s="31" t="s">
        <v>18</v>
      </c>
      <c r="ANK8" s="31" t="s">
        <v>18</v>
      </c>
      <c r="ANL8" s="31" t="s">
        <v>18</v>
      </c>
      <c r="ANM8" s="31" t="s">
        <v>18</v>
      </c>
      <c r="ANN8" s="31" t="s">
        <v>18</v>
      </c>
      <c r="ANO8" s="31" t="s">
        <v>18</v>
      </c>
      <c r="ANP8" s="31" t="s">
        <v>18</v>
      </c>
      <c r="ANQ8" s="31" t="s">
        <v>18</v>
      </c>
      <c r="ANR8" s="31" t="s">
        <v>18</v>
      </c>
      <c r="ANS8" s="31" t="s">
        <v>18</v>
      </c>
      <c r="ANT8" s="31" t="s">
        <v>18</v>
      </c>
      <c r="ANU8" s="31" t="s">
        <v>18</v>
      </c>
      <c r="ANV8" s="31" t="s">
        <v>18</v>
      </c>
      <c r="ANW8" s="31" t="s">
        <v>18</v>
      </c>
      <c r="ANX8" s="31" t="s">
        <v>18</v>
      </c>
      <c r="ANY8" s="31" t="s">
        <v>18</v>
      </c>
      <c r="ANZ8" s="31" t="s">
        <v>18</v>
      </c>
      <c r="AOA8" s="31" t="s">
        <v>18</v>
      </c>
      <c r="AOB8" s="31" t="s">
        <v>18</v>
      </c>
      <c r="AOC8" s="31" t="s">
        <v>18</v>
      </c>
      <c r="AOD8" s="31" t="s">
        <v>18</v>
      </c>
      <c r="AOE8" s="31" t="s">
        <v>18</v>
      </c>
      <c r="AOF8" s="31" t="s">
        <v>18</v>
      </c>
      <c r="AOG8" s="31" t="s">
        <v>18</v>
      </c>
      <c r="AOH8" s="31" t="s">
        <v>18</v>
      </c>
      <c r="AOI8" s="31" t="s">
        <v>18</v>
      </c>
      <c r="AOJ8" s="31" t="s">
        <v>18</v>
      </c>
    </row>
    <row r="9" spans="1:1076" x14ac:dyDescent="0.3">
      <c r="A9" s="47" t="s">
        <v>8</v>
      </c>
      <c r="B9" s="44" t="s">
        <v>19</v>
      </c>
      <c r="C9" s="31" t="s">
        <v>19</v>
      </c>
      <c r="D9" s="31" t="s">
        <v>19</v>
      </c>
      <c r="E9" s="31" t="s">
        <v>19</v>
      </c>
      <c r="F9" s="31" t="s">
        <v>19</v>
      </c>
      <c r="G9" s="31" t="s">
        <v>19</v>
      </c>
      <c r="H9" s="31" t="s">
        <v>19</v>
      </c>
      <c r="I9" s="31" t="s">
        <v>1207</v>
      </c>
      <c r="J9" s="31" t="s">
        <v>19</v>
      </c>
      <c r="K9" s="31" t="s">
        <v>19</v>
      </c>
      <c r="L9" s="31" t="s">
        <v>423</v>
      </c>
      <c r="M9" s="31" t="s">
        <v>423</v>
      </c>
      <c r="N9" s="31" t="s">
        <v>423</v>
      </c>
      <c r="O9" s="31" t="s">
        <v>423</v>
      </c>
      <c r="P9" s="31" t="s">
        <v>423</v>
      </c>
      <c r="Q9" s="31" t="s">
        <v>423</v>
      </c>
      <c r="R9" s="31" t="s">
        <v>423</v>
      </c>
      <c r="S9" s="31" t="s">
        <v>423</v>
      </c>
      <c r="T9" s="31" t="s">
        <v>19</v>
      </c>
      <c r="U9" s="31" t="s">
        <v>19</v>
      </c>
      <c r="V9" s="31" t="s">
        <v>19</v>
      </c>
      <c r="W9" s="31" t="s">
        <v>468</v>
      </c>
      <c r="X9" s="31" t="s">
        <v>19</v>
      </c>
      <c r="Y9" s="31" t="s">
        <v>19</v>
      </c>
      <c r="Z9" s="31" t="s">
        <v>19</v>
      </c>
      <c r="AA9" s="31" t="s">
        <v>19</v>
      </c>
      <c r="AB9" s="31" t="s">
        <v>468</v>
      </c>
      <c r="AC9" s="31" t="s">
        <v>468</v>
      </c>
      <c r="AD9" s="31" t="s">
        <v>19</v>
      </c>
      <c r="AE9" s="31" t="s">
        <v>19</v>
      </c>
      <c r="AF9" s="31" t="s">
        <v>468</v>
      </c>
      <c r="AG9" s="31" t="s">
        <v>19</v>
      </c>
      <c r="AH9" s="31" t="s">
        <v>19</v>
      </c>
      <c r="AI9" s="31" t="s">
        <v>455</v>
      </c>
      <c r="AJ9" s="31" t="s">
        <v>455</v>
      </c>
      <c r="AK9" s="31" t="s">
        <v>455</v>
      </c>
      <c r="AL9" s="31" t="s">
        <v>19</v>
      </c>
      <c r="AM9" s="31" t="s">
        <v>19</v>
      </c>
      <c r="AN9" s="31" t="s">
        <v>480</v>
      </c>
      <c r="AO9" s="31" t="s">
        <v>480</v>
      </c>
      <c r="AP9" s="31" t="s">
        <v>423</v>
      </c>
      <c r="AQ9" s="31" t="s">
        <v>423</v>
      </c>
      <c r="AR9" s="31" t="s">
        <v>480</v>
      </c>
      <c r="AS9" s="31" t="s">
        <v>19</v>
      </c>
      <c r="AT9" s="31" t="s">
        <v>480</v>
      </c>
      <c r="AU9" s="31" t="s">
        <v>480</v>
      </c>
      <c r="AV9" s="31" t="s">
        <v>423</v>
      </c>
      <c r="AW9" s="31" t="s">
        <v>423</v>
      </c>
      <c r="AX9" s="31" t="s">
        <v>423</v>
      </c>
      <c r="AY9" s="31" t="s">
        <v>480</v>
      </c>
      <c r="AZ9" s="31" t="s">
        <v>480</v>
      </c>
      <c r="BA9" s="31" t="s">
        <v>480</v>
      </c>
      <c r="BB9" s="31" t="s">
        <v>480</v>
      </c>
      <c r="BC9" s="31" t="s">
        <v>480</v>
      </c>
      <c r="BD9" s="31" t="s">
        <v>480</v>
      </c>
      <c r="BE9" s="31" t="s">
        <v>1303</v>
      </c>
      <c r="BF9" s="31" t="s">
        <v>1303</v>
      </c>
      <c r="BG9" s="31" t="s">
        <v>1047</v>
      </c>
      <c r="BH9" s="31" t="s">
        <v>1047</v>
      </c>
      <c r="BI9" s="31" t="s">
        <v>1047</v>
      </c>
      <c r="BJ9" s="31" t="s">
        <v>1047</v>
      </c>
      <c r="BK9" s="31" t="s">
        <v>457</v>
      </c>
      <c r="BL9" s="31" t="s">
        <v>457</v>
      </c>
      <c r="BM9" s="31" t="s">
        <v>457</v>
      </c>
      <c r="BN9" s="31" t="s">
        <v>19</v>
      </c>
      <c r="BO9" s="31" t="s">
        <v>457</v>
      </c>
      <c r="BP9" s="31" t="s">
        <v>457</v>
      </c>
      <c r="BQ9" s="31" t="s">
        <v>457</v>
      </c>
      <c r="BR9" s="31" t="s">
        <v>457</v>
      </c>
      <c r="BS9" s="31" t="s">
        <v>457</v>
      </c>
      <c r="BT9" s="31" t="s">
        <v>457</v>
      </c>
      <c r="BU9" s="31" t="s">
        <v>457</v>
      </c>
      <c r="BV9" s="31" t="s">
        <v>457</v>
      </c>
      <c r="BW9" s="31" t="s">
        <v>19</v>
      </c>
      <c r="BX9" s="31" t="s">
        <v>19</v>
      </c>
      <c r="BY9" s="31" t="s">
        <v>19</v>
      </c>
      <c r="BZ9" s="31" t="s">
        <v>19</v>
      </c>
      <c r="CA9" s="31" t="s">
        <v>19</v>
      </c>
      <c r="CB9" s="31" t="s">
        <v>19</v>
      </c>
      <c r="CC9" s="31" t="s">
        <v>19</v>
      </c>
      <c r="CD9" s="31" t="s">
        <v>19</v>
      </c>
      <c r="CE9" s="31" t="s">
        <v>19</v>
      </c>
      <c r="CF9" s="31" t="s">
        <v>19</v>
      </c>
      <c r="CG9" s="31" t="s">
        <v>504</v>
      </c>
      <c r="CH9" s="31" t="s">
        <v>504</v>
      </c>
      <c r="CI9" s="31" t="s">
        <v>19</v>
      </c>
      <c r="CJ9" s="31" t="s">
        <v>19</v>
      </c>
      <c r="CK9" s="31" t="s">
        <v>1686</v>
      </c>
      <c r="CL9" s="31" t="s">
        <v>1686</v>
      </c>
      <c r="CM9" s="31" t="s">
        <v>1686</v>
      </c>
      <c r="CN9" s="31" t="s">
        <v>1309</v>
      </c>
      <c r="CO9" s="31" t="s">
        <v>1309</v>
      </c>
      <c r="CP9" s="31" t="s">
        <v>1309</v>
      </c>
      <c r="CQ9" s="31" t="s">
        <v>1309</v>
      </c>
      <c r="CR9" s="31" t="s">
        <v>19</v>
      </c>
      <c r="CS9" s="31" t="s">
        <v>19</v>
      </c>
      <c r="CT9" s="31" t="s">
        <v>19</v>
      </c>
      <c r="CU9" s="31" t="s">
        <v>19</v>
      </c>
      <c r="CV9" s="31" t="s">
        <v>19</v>
      </c>
      <c r="CW9" s="31" t="s">
        <v>19</v>
      </c>
      <c r="CX9" s="31" t="s">
        <v>19</v>
      </c>
      <c r="CY9" s="31" t="s">
        <v>19</v>
      </c>
      <c r="CZ9" s="31" t="s">
        <v>19</v>
      </c>
      <c r="DA9" s="31" t="s">
        <v>19</v>
      </c>
      <c r="DB9" s="31" t="s">
        <v>19</v>
      </c>
      <c r="DC9" s="31" t="s">
        <v>19</v>
      </c>
      <c r="DD9" s="31" t="s">
        <v>19</v>
      </c>
      <c r="DE9" s="31" t="s">
        <v>19</v>
      </c>
      <c r="DF9" s="31" t="s">
        <v>19</v>
      </c>
      <c r="DG9" s="31" t="s">
        <v>19</v>
      </c>
      <c r="DH9" s="31" t="s">
        <v>19</v>
      </c>
      <c r="DI9" s="31" t="s">
        <v>19</v>
      </c>
      <c r="DJ9" s="31" t="s">
        <v>19</v>
      </c>
      <c r="DK9" s="31" t="s">
        <v>19</v>
      </c>
      <c r="DL9" s="31" t="s">
        <v>19</v>
      </c>
      <c r="DM9" s="31" t="s">
        <v>19</v>
      </c>
      <c r="DN9" s="31" t="s">
        <v>19</v>
      </c>
      <c r="DO9" s="31" t="s">
        <v>19</v>
      </c>
      <c r="DP9" s="31" t="s">
        <v>19</v>
      </c>
      <c r="DQ9" s="31" t="s">
        <v>19</v>
      </c>
      <c r="DR9" s="31" t="s">
        <v>19</v>
      </c>
      <c r="DS9" s="31" t="s">
        <v>19</v>
      </c>
      <c r="DT9" s="31" t="s">
        <v>19</v>
      </c>
      <c r="DU9" s="31" t="s">
        <v>19</v>
      </c>
      <c r="DV9" s="31" t="s">
        <v>19</v>
      </c>
      <c r="DW9" s="31" t="s">
        <v>19</v>
      </c>
      <c r="DX9" s="31" t="s">
        <v>19</v>
      </c>
      <c r="DY9" s="31" t="s">
        <v>19</v>
      </c>
      <c r="DZ9" s="31" t="s">
        <v>19</v>
      </c>
      <c r="EA9" s="31" t="s">
        <v>19</v>
      </c>
      <c r="EB9" s="31" t="s">
        <v>19</v>
      </c>
      <c r="EC9" s="31" t="s">
        <v>19</v>
      </c>
      <c r="ED9" s="31" t="s">
        <v>19</v>
      </c>
      <c r="EE9" s="31" t="s">
        <v>19</v>
      </c>
      <c r="EF9" s="31" t="s">
        <v>19</v>
      </c>
      <c r="EG9" s="31" t="s">
        <v>19</v>
      </c>
      <c r="EH9" s="31" t="s">
        <v>19</v>
      </c>
      <c r="EI9" s="31" t="s">
        <v>19</v>
      </c>
      <c r="EJ9" s="31" t="s">
        <v>19</v>
      </c>
      <c r="EK9" s="31" t="s">
        <v>19</v>
      </c>
      <c r="EL9" s="31" t="s">
        <v>19</v>
      </c>
      <c r="EM9" s="31" t="s">
        <v>19</v>
      </c>
      <c r="EN9" s="31" t="s">
        <v>19</v>
      </c>
      <c r="EO9" s="31" t="s">
        <v>19</v>
      </c>
      <c r="EP9" s="31" t="s">
        <v>19</v>
      </c>
      <c r="EQ9" s="31" t="s">
        <v>19</v>
      </c>
      <c r="ER9" s="31" t="s">
        <v>19</v>
      </c>
      <c r="ES9" s="31" t="s">
        <v>19</v>
      </c>
      <c r="ET9" s="31" t="s">
        <v>19</v>
      </c>
      <c r="EU9" s="31" t="s">
        <v>19</v>
      </c>
      <c r="EV9" s="31" t="s">
        <v>19</v>
      </c>
      <c r="EW9" s="31" t="s">
        <v>19</v>
      </c>
      <c r="EX9" s="31" t="s">
        <v>19</v>
      </c>
      <c r="EY9" s="31" t="s">
        <v>19</v>
      </c>
      <c r="EZ9" s="31" t="s">
        <v>19</v>
      </c>
      <c r="FA9" s="31" t="s">
        <v>19</v>
      </c>
      <c r="FB9" s="31" t="s">
        <v>19</v>
      </c>
      <c r="FC9" s="31" t="s">
        <v>19</v>
      </c>
      <c r="FD9" s="31" t="s">
        <v>19</v>
      </c>
      <c r="FE9" s="31" t="s">
        <v>19</v>
      </c>
      <c r="FF9" s="31" t="s">
        <v>19</v>
      </c>
      <c r="FG9" s="31" t="s">
        <v>19</v>
      </c>
      <c r="FH9" s="31" t="s">
        <v>19</v>
      </c>
      <c r="FI9" s="31" t="s">
        <v>19</v>
      </c>
      <c r="FJ9" s="31" t="s">
        <v>19</v>
      </c>
      <c r="FK9" s="31" t="s">
        <v>19</v>
      </c>
      <c r="FL9" s="31" t="s">
        <v>19</v>
      </c>
      <c r="FM9" s="31" t="s">
        <v>19</v>
      </c>
      <c r="FN9" s="31" t="s">
        <v>19</v>
      </c>
      <c r="FO9" s="31" t="s">
        <v>19</v>
      </c>
      <c r="FP9" s="31" t="s">
        <v>19</v>
      </c>
      <c r="FQ9" s="31" t="s">
        <v>19</v>
      </c>
      <c r="FR9" s="31" t="s">
        <v>19</v>
      </c>
      <c r="FS9" s="31" t="s">
        <v>19</v>
      </c>
      <c r="FT9" s="31" t="s">
        <v>19</v>
      </c>
      <c r="FU9" s="31" t="s">
        <v>19</v>
      </c>
      <c r="FV9" s="31" t="s">
        <v>19</v>
      </c>
      <c r="FW9" s="31" t="s">
        <v>19</v>
      </c>
      <c r="FX9" s="31" t="s">
        <v>19</v>
      </c>
      <c r="FY9" s="31" t="s">
        <v>19</v>
      </c>
      <c r="FZ9" s="31" t="s">
        <v>19</v>
      </c>
      <c r="GA9" s="31" t="s">
        <v>19</v>
      </c>
      <c r="GB9" s="31" t="s">
        <v>19</v>
      </c>
      <c r="GC9" s="31" t="s">
        <v>19</v>
      </c>
      <c r="GD9" s="31" t="s">
        <v>19</v>
      </c>
      <c r="GE9" s="31" t="s">
        <v>19</v>
      </c>
      <c r="GF9" s="31" t="s">
        <v>19</v>
      </c>
      <c r="GG9" s="31" t="s">
        <v>19</v>
      </c>
      <c r="GH9" s="31" t="s">
        <v>19</v>
      </c>
      <c r="GI9" s="31" t="s">
        <v>19</v>
      </c>
      <c r="GJ9" s="31" t="s">
        <v>19</v>
      </c>
      <c r="GK9" s="31" t="s">
        <v>19</v>
      </c>
      <c r="GL9" s="31" t="s">
        <v>19</v>
      </c>
      <c r="GM9" s="31" t="s">
        <v>19</v>
      </c>
      <c r="GN9" s="31" t="s">
        <v>19</v>
      </c>
      <c r="GO9" s="31" t="s">
        <v>19</v>
      </c>
      <c r="GP9" s="31" t="s">
        <v>19</v>
      </c>
      <c r="GQ9" s="31" t="s">
        <v>19</v>
      </c>
      <c r="GR9" s="31" t="s">
        <v>19</v>
      </c>
      <c r="GS9" s="31" t="s">
        <v>19</v>
      </c>
      <c r="GT9" s="31" t="s">
        <v>19</v>
      </c>
      <c r="GU9" s="31" t="s">
        <v>19</v>
      </c>
      <c r="GV9" s="31" t="s">
        <v>19</v>
      </c>
      <c r="GW9" s="31" t="s">
        <v>19</v>
      </c>
      <c r="GX9" s="31" t="s">
        <v>19</v>
      </c>
      <c r="GY9" s="31" t="s">
        <v>19</v>
      </c>
      <c r="GZ9" s="31" t="s">
        <v>19</v>
      </c>
      <c r="HA9" s="31" t="s">
        <v>19</v>
      </c>
      <c r="HB9" s="31" t="s">
        <v>19</v>
      </c>
      <c r="HC9" s="31" t="s">
        <v>19</v>
      </c>
      <c r="HD9" s="31" t="s">
        <v>19</v>
      </c>
      <c r="HE9" s="31" t="s">
        <v>19</v>
      </c>
      <c r="HF9" s="31" t="s">
        <v>19</v>
      </c>
      <c r="HG9" s="31" t="s">
        <v>19</v>
      </c>
      <c r="HH9" s="31" t="s">
        <v>19</v>
      </c>
      <c r="HI9" s="31" t="s">
        <v>19</v>
      </c>
      <c r="HJ9" s="31" t="s">
        <v>19</v>
      </c>
      <c r="HK9" s="31" t="s">
        <v>19</v>
      </c>
      <c r="HL9" s="31" t="s">
        <v>19</v>
      </c>
      <c r="HM9" s="31" t="s">
        <v>19</v>
      </c>
      <c r="HN9" s="31" t="s">
        <v>19</v>
      </c>
      <c r="HO9" s="31" t="s">
        <v>19</v>
      </c>
      <c r="HP9" s="31" t="s">
        <v>19</v>
      </c>
      <c r="HQ9" s="31" t="s">
        <v>19</v>
      </c>
      <c r="HR9" s="31" t="s">
        <v>19</v>
      </c>
      <c r="HS9" s="31" t="s">
        <v>19</v>
      </c>
      <c r="HT9" s="31" t="s">
        <v>19</v>
      </c>
      <c r="HU9" s="31" t="s">
        <v>19</v>
      </c>
      <c r="HV9" s="31" t="s">
        <v>19</v>
      </c>
      <c r="HW9" s="31" t="s">
        <v>19</v>
      </c>
      <c r="HX9" s="31" t="s">
        <v>19</v>
      </c>
      <c r="HY9" s="31" t="s">
        <v>19</v>
      </c>
      <c r="HZ9" s="31" t="s">
        <v>19</v>
      </c>
      <c r="IA9" s="31" t="s">
        <v>19</v>
      </c>
      <c r="IB9" s="31" t="s">
        <v>19</v>
      </c>
      <c r="IC9" s="31" t="s">
        <v>19</v>
      </c>
      <c r="ID9" s="31" t="s">
        <v>19</v>
      </c>
      <c r="IE9" s="31" t="s">
        <v>19</v>
      </c>
      <c r="IF9" s="31" t="s">
        <v>19</v>
      </c>
      <c r="IG9" s="31" t="s">
        <v>19</v>
      </c>
      <c r="IH9" s="31" t="s">
        <v>19</v>
      </c>
      <c r="II9" s="31" t="s">
        <v>19</v>
      </c>
      <c r="IJ9" s="31" t="s">
        <v>19</v>
      </c>
      <c r="IK9" s="31" t="s">
        <v>19</v>
      </c>
      <c r="IL9" s="31" t="s">
        <v>19</v>
      </c>
      <c r="IM9" s="31" t="s">
        <v>19</v>
      </c>
      <c r="IN9" s="31" t="s">
        <v>19</v>
      </c>
      <c r="IO9" s="31" t="s">
        <v>19</v>
      </c>
      <c r="IP9" s="31" t="s">
        <v>19</v>
      </c>
      <c r="IQ9" s="31" t="s">
        <v>19</v>
      </c>
      <c r="IR9" s="31" t="s">
        <v>19</v>
      </c>
      <c r="IS9" s="31" t="s">
        <v>19</v>
      </c>
      <c r="IT9" s="31" t="s">
        <v>19</v>
      </c>
      <c r="IU9" s="31" t="s">
        <v>19</v>
      </c>
      <c r="IV9" s="31" t="s">
        <v>19</v>
      </c>
      <c r="IW9" s="31" t="s">
        <v>19</v>
      </c>
      <c r="IX9" s="31" t="s">
        <v>19</v>
      </c>
      <c r="IY9" s="31" t="s">
        <v>19</v>
      </c>
      <c r="IZ9" s="31" t="s">
        <v>19</v>
      </c>
      <c r="JA9" s="31" t="s">
        <v>19</v>
      </c>
      <c r="JB9" s="31" t="s">
        <v>19</v>
      </c>
      <c r="JC9" s="31" t="s">
        <v>19</v>
      </c>
      <c r="JD9" s="31" t="s">
        <v>19</v>
      </c>
      <c r="JE9" s="31" t="s">
        <v>19</v>
      </c>
      <c r="JF9" s="31" t="s">
        <v>19</v>
      </c>
      <c r="JG9" s="31" t="s">
        <v>19</v>
      </c>
      <c r="JH9" s="31" t="s">
        <v>19</v>
      </c>
      <c r="JI9" s="31" t="s">
        <v>19</v>
      </c>
      <c r="JJ9" s="31" t="s">
        <v>19</v>
      </c>
      <c r="JK9" s="31" t="s">
        <v>19</v>
      </c>
      <c r="JL9" s="31" t="s">
        <v>19</v>
      </c>
      <c r="JM9" s="31" t="s">
        <v>19</v>
      </c>
      <c r="JN9" s="31" t="s">
        <v>19</v>
      </c>
      <c r="JO9" s="31" t="s">
        <v>19</v>
      </c>
      <c r="JP9" s="31" t="s">
        <v>19</v>
      </c>
      <c r="JQ9" s="31" t="s">
        <v>19</v>
      </c>
      <c r="JR9" s="31" t="s">
        <v>19</v>
      </c>
      <c r="JS9" s="31" t="s">
        <v>19</v>
      </c>
      <c r="JT9" s="31" t="s">
        <v>19</v>
      </c>
      <c r="JU9" s="31" t="s">
        <v>19</v>
      </c>
      <c r="JV9" s="31" t="s">
        <v>19</v>
      </c>
      <c r="JW9" s="31" t="s">
        <v>19</v>
      </c>
      <c r="JX9" s="31" t="s">
        <v>19</v>
      </c>
      <c r="JY9" s="31" t="s">
        <v>19</v>
      </c>
      <c r="JZ9" s="31" t="s">
        <v>19</v>
      </c>
      <c r="KA9" s="31" t="s">
        <v>19</v>
      </c>
      <c r="KB9" s="31" t="s">
        <v>19</v>
      </c>
      <c r="KC9" s="31" t="s">
        <v>19</v>
      </c>
      <c r="KD9" s="31" t="s">
        <v>19</v>
      </c>
      <c r="KE9" s="31" t="s">
        <v>19</v>
      </c>
      <c r="KF9" s="31" t="s">
        <v>19</v>
      </c>
      <c r="KG9" s="31" t="s">
        <v>19</v>
      </c>
      <c r="KH9" s="31" t="s">
        <v>19</v>
      </c>
      <c r="KI9" s="31" t="s">
        <v>19</v>
      </c>
      <c r="KJ9" s="31" t="s">
        <v>19</v>
      </c>
      <c r="KK9" s="31" t="s">
        <v>19</v>
      </c>
      <c r="KL9" s="31" t="s">
        <v>19</v>
      </c>
      <c r="KM9" s="31" t="s">
        <v>19</v>
      </c>
      <c r="KN9" s="31" t="s">
        <v>19</v>
      </c>
      <c r="KO9" s="31" t="s">
        <v>19</v>
      </c>
      <c r="KP9" s="31" t="s">
        <v>19</v>
      </c>
      <c r="KQ9" s="31" t="s">
        <v>19</v>
      </c>
      <c r="KR9" s="31" t="s">
        <v>19</v>
      </c>
      <c r="KS9" s="31" t="s">
        <v>19</v>
      </c>
      <c r="KT9" s="31" t="s">
        <v>19</v>
      </c>
      <c r="KU9" s="31" t="s">
        <v>19</v>
      </c>
      <c r="KV9" s="31" t="s">
        <v>19</v>
      </c>
      <c r="KW9" s="31" t="s">
        <v>19</v>
      </c>
      <c r="KX9" s="31" t="s">
        <v>19</v>
      </c>
      <c r="KY9" s="31" t="s">
        <v>19</v>
      </c>
      <c r="KZ9" s="31" t="s">
        <v>19</v>
      </c>
      <c r="LA9" s="31" t="s">
        <v>19</v>
      </c>
      <c r="LB9" s="31" t="s">
        <v>19</v>
      </c>
      <c r="LC9" s="31" t="s">
        <v>19</v>
      </c>
      <c r="LD9" s="31" t="s">
        <v>19</v>
      </c>
      <c r="LE9" s="31" t="s">
        <v>19</v>
      </c>
      <c r="LF9" s="31" t="s">
        <v>19</v>
      </c>
      <c r="LG9" s="31" t="s">
        <v>19</v>
      </c>
      <c r="LH9" s="31" t="s">
        <v>19</v>
      </c>
      <c r="LI9" s="31" t="s">
        <v>19</v>
      </c>
      <c r="LJ9" s="31" t="s">
        <v>19</v>
      </c>
      <c r="LK9" s="31" t="s">
        <v>19</v>
      </c>
      <c r="LL9" s="31" t="s">
        <v>19</v>
      </c>
      <c r="LM9" s="31" t="s">
        <v>19</v>
      </c>
      <c r="LN9" s="31" t="s">
        <v>19</v>
      </c>
      <c r="LO9" s="31" t="s">
        <v>19</v>
      </c>
      <c r="LP9" s="31" t="s">
        <v>19</v>
      </c>
      <c r="LQ9" s="31" t="s">
        <v>19</v>
      </c>
      <c r="LR9" s="31" t="s">
        <v>19</v>
      </c>
      <c r="LS9" s="31" t="s">
        <v>19</v>
      </c>
      <c r="LT9" s="31" t="s">
        <v>19</v>
      </c>
      <c r="LU9" s="31" t="s">
        <v>19</v>
      </c>
      <c r="LV9" s="31" t="s">
        <v>19</v>
      </c>
      <c r="LW9" s="31" t="s">
        <v>19</v>
      </c>
      <c r="LX9" s="31" t="s">
        <v>19</v>
      </c>
      <c r="LY9" s="31" t="s">
        <v>19</v>
      </c>
      <c r="LZ9" s="31" t="s">
        <v>19</v>
      </c>
      <c r="MA9" s="31" t="s">
        <v>19</v>
      </c>
      <c r="MB9" s="31" t="s">
        <v>19</v>
      </c>
      <c r="MC9" s="31" t="s">
        <v>19</v>
      </c>
      <c r="MD9" s="31" t="s">
        <v>19</v>
      </c>
      <c r="ME9" s="31" t="s">
        <v>19</v>
      </c>
      <c r="MF9" s="31" t="s">
        <v>19</v>
      </c>
      <c r="MG9" s="31" t="s">
        <v>19</v>
      </c>
      <c r="MH9" s="31" t="s">
        <v>19</v>
      </c>
      <c r="MI9" s="31" t="s">
        <v>19</v>
      </c>
      <c r="MJ9" s="31" t="s">
        <v>19</v>
      </c>
      <c r="MK9" s="31" t="s">
        <v>19</v>
      </c>
      <c r="ML9" s="31" t="s">
        <v>19</v>
      </c>
      <c r="MM9" s="31" t="s">
        <v>19</v>
      </c>
      <c r="MN9" s="31" t="s">
        <v>19</v>
      </c>
      <c r="MO9" s="31" t="s">
        <v>19</v>
      </c>
      <c r="MP9" s="31" t="s">
        <v>19</v>
      </c>
      <c r="MQ9" s="31" t="s">
        <v>19</v>
      </c>
      <c r="MR9" s="31" t="s">
        <v>19</v>
      </c>
      <c r="MS9" s="31" t="s">
        <v>19</v>
      </c>
      <c r="MT9" s="31" t="s">
        <v>19</v>
      </c>
      <c r="MU9" s="31" t="s">
        <v>19</v>
      </c>
      <c r="MV9" s="31" t="s">
        <v>19</v>
      </c>
      <c r="MW9" s="31" t="s">
        <v>19</v>
      </c>
      <c r="MX9" s="31" t="s">
        <v>19</v>
      </c>
      <c r="MY9" s="31" t="s">
        <v>19</v>
      </c>
      <c r="MZ9" s="31" t="s">
        <v>19</v>
      </c>
      <c r="NA9" s="31" t="s">
        <v>19</v>
      </c>
      <c r="NB9" s="31" t="s">
        <v>19</v>
      </c>
      <c r="NC9" s="31" t="s">
        <v>19</v>
      </c>
      <c r="ND9" s="31" t="s">
        <v>19</v>
      </c>
      <c r="NE9" s="31" t="s">
        <v>19</v>
      </c>
      <c r="NF9" s="31" t="s">
        <v>329</v>
      </c>
      <c r="NG9" s="31" t="s">
        <v>19</v>
      </c>
      <c r="NH9" s="31" t="s">
        <v>19</v>
      </c>
      <c r="NI9" s="31" t="s">
        <v>19</v>
      </c>
      <c r="NJ9" s="31" t="s">
        <v>19</v>
      </c>
      <c r="NK9" s="31" t="s">
        <v>19</v>
      </c>
      <c r="NL9" s="31" t="s">
        <v>19</v>
      </c>
      <c r="NM9" s="31" t="s">
        <v>19</v>
      </c>
      <c r="NN9" s="31" t="s">
        <v>19</v>
      </c>
      <c r="NO9" s="31" t="s">
        <v>19</v>
      </c>
      <c r="NP9" s="31" t="s">
        <v>19</v>
      </c>
      <c r="NQ9" s="31" t="s">
        <v>19</v>
      </c>
      <c r="NR9" s="31" t="s">
        <v>19</v>
      </c>
      <c r="NS9" s="31" t="s">
        <v>19</v>
      </c>
      <c r="NT9" s="31" t="s">
        <v>19</v>
      </c>
      <c r="NU9" s="31" t="s">
        <v>19</v>
      </c>
      <c r="NV9" s="31" t="s">
        <v>19</v>
      </c>
      <c r="NW9" s="31" t="s">
        <v>19</v>
      </c>
      <c r="NX9" s="31" t="s">
        <v>19</v>
      </c>
      <c r="NY9" s="31" t="s">
        <v>19</v>
      </c>
      <c r="NZ9" s="31" t="s">
        <v>19</v>
      </c>
      <c r="OA9" s="31" t="s">
        <v>19</v>
      </c>
      <c r="OB9" s="31" t="s">
        <v>19</v>
      </c>
      <c r="OC9" s="31" t="s">
        <v>19</v>
      </c>
      <c r="OD9" s="31" t="s">
        <v>19</v>
      </c>
      <c r="OE9" s="31" t="s">
        <v>19</v>
      </c>
      <c r="OF9" s="31" t="s">
        <v>19</v>
      </c>
      <c r="OG9" s="31" t="s">
        <v>19</v>
      </c>
      <c r="OH9" s="31" t="s">
        <v>19</v>
      </c>
      <c r="OI9" s="31" t="s">
        <v>19</v>
      </c>
      <c r="OJ9" s="31" t="s">
        <v>391</v>
      </c>
      <c r="OK9" s="31" t="s">
        <v>19</v>
      </c>
      <c r="OL9" s="31" t="s">
        <v>19</v>
      </c>
      <c r="OM9" s="31" t="s">
        <v>19</v>
      </c>
      <c r="ON9" s="31" t="s">
        <v>19</v>
      </c>
      <c r="OO9" s="31" t="s">
        <v>19</v>
      </c>
      <c r="OP9" s="31" t="s">
        <v>19</v>
      </c>
      <c r="OQ9" s="31" t="s">
        <v>19</v>
      </c>
      <c r="OR9" s="31" t="s">
        <v>19</v>
      </c>
      <c r="OS9" s="31" t="s">
        <v>19</v>
      </c>
      <c r="OT9" s="31" t="s">
        <v>19</v>
      </c>
      <c r="OU9" s="31" t="s">
        <v>19</v>
      </c>
      <c r="OV9" s="31" t="s">
        <v>19</v>
      </c>
      <c r="OW9" s="31" t="s">
        <v>19</v>
      </c>
      <c r="OX9" s="31" t="s">
        <v>19</v>
      </c>
      <c r="OY9" s="31" t="s">
        <v>19</v>
      </c>
      <c r="OZ9" s="31" t="s">
        <v>19</v>
      </c>
      <c r="PA9" s="31" t="s">
        <v>19</v>
      </c>
      <c r="PB9" s="31" t="s">
        <v>19</v>
      </c>
      <c r="PC9" s="31" t="s">
        <v>19</v>
      </c>
      <c r="PD9" s="31" t="s">
        <v>19</v>
      </c>
      <c r="PE9" s="31" t="s">
        <v>19</v>
      </c>
      <c r="PF9" s="31" t="s">
        <v>19</v>
      </c>
      <c r="PG9" s="31" t="s">
        <v>19</v>
      </c>
      <c r="PH9" s="31" t="s">
        <v>19</v>
      </c>
      <c r="PI9" s="31" t="s">
        <v>457</v>
      </c>
      <c r="PJ9" s="31" t="s">
        <v>19</v>
      </c>
      <c r="PK9" s="31" t="s">
        <v>19</v>
      </c>
      <c r="PL9" s="31" t="s">
        <v>19</v>
      </c>
      <c r="PM9" s="31" t="s">
        <v>19</v>
      </c>
      <c r="PN9" s="31" t="s">
        <v>19</v>
      </c>
      <c r="PO9" s="31" t="s">
        <v>19</v>
      </c>
      <c r="PP9" s="31" t="s">
        <v>19</v>
      </c>
      <c r="PQ9" s="31" t="s">
        <v>19</v>
      </c>
      <c r="PR9" s="31" t="s">
        <v>19</v>
      </c>
      <c r="PS9" s="31" t="s">
        <v>19</v>
      </c>
      <c r="PT9" s="31" t="s">
        <v>19</v>
      </c>
      <c r="PU9" s="31" t="s">
        <v>19</v>
      </c>
      <c r="PV9" s="31" t="s">
        <v>19</v>
      </c>
      <c r="PW9" s="31" t="s">
        <v>19</v>
      </c>
      <c r="PX9" s="31" t="s">
        <v>19</v>
      </c>
      <c r="PY9" s="31" t="s">
        <v>19</v>
      </c>
      <c r="PZ9" s="31" t="s">
        <v>19</v>
      </c>
      <c r="QA9" s="31" t="s">
        <v>19</v>
      </c>
      <c r="QB9" s="31" t="s">
        <v>19</v>
      </c>
      <c r="QC9" s="31" t="s">
        <v>19</v>
      </c>
      <c r="QD9" s="31" t="s">
        <v>19</v>
      </c>
      <c r="QE9" s="31" t="s">
        <v>19</v>
      </c>
      <c r="QF9" s="31" t="s">
        <v>19</v>
      </c>
      <c r="QG9" s="31" t="s">
        <v>19</v>
      </c>
      <c r="QH9" s="31" t="s">
        <v>19</v>
      </c>
      <c r="QI9" s="31" t="s">
        <v>19</v>
      </c>
      <c r="QJ9" s="31" t="s">
        <v>19</v>
      </c>
      <c r="QK9" s="31" t="s">
        <v>19</v>
      </c>
      <c r="QL9" s="31" t="s">
        <v>19</v>
      </c>
      <c r="QM9" s="31" t="s">
        <v>19</v>
      </c>
      <c r="QN9" s="31" t="s">
        <v>19</v>
      </c>
      <c r="QO9" s="31" t="s">
        <v>19</v>
      </c>
      <c r="QP9" s="31" t="s">
        <v>19</v>
      </c>
      <c r="QQ9" s="31" t="s">
        <v>19</v>
      </c>
      <c r="QR9" s="31" t="s">
        <v>19</v>
      </c>
      <c r="QS9" s="31" t="s">
        <v>19</v>
      </c>
      <c r="QT9" s="31" t="s">
        <v>19</v>
      </c>
      <c r="QU9" s="31" t="s">
        <v>19</v>
      </c>
      <c r="QV9" s="31" t="s">
        <v>19</v>
      </c>
      <c r="QW9" s="31" t="s">
        <v>19</v>
      </c>
      <c r="QX9" s="31" t="s">
        <v>19</v>
      </c>
      <c r="QY9" s="31" t="s">
        <v>19</v>
      </c>
      <c r="QZ9" s="31" t="s">
        <v>19</v>
      </c>
      <c r="RA9" s="31" t="s">
        <v>19</v>
      </c>
      <c r="RB9" s="31" t="s">
        <v>19</v>
      </c>
      <c r="RC9" s="31" t="s">
        <v>19</v>
      </c>
      <c r="RD9" s="31" t="s">
        <v>19</v>
      </c>
      <c r="RE9" s="31" t="s">
        <v>19</v>
      </c>
      <c r="RF9" s="31" t="s">
        <v>19</v>
      </c>
      <c r="RG9" s="31" t="s">
        <v>19</v>
      </c>
      <c r="RH9" s="31" t="s">
        <v>19</v>
      </c>
      <c r="RI9" s="31" t="s">
        <v>19</v>
      </c>
      <c r="RJ9" s="31" t="s">
        <v>19</v>
      </c>
      <c r="RK9" s="31" t="s">
        <v>19</v>
      </c>
      <c r="RL9" s="31" t="s">
        <v>19</v>
      </c>
      <c r="RM9" s="31" t="s">
        <v>19</v>
      </c>
      <c r="RN9" s="31" t="s">
        <v>19</v>
      </c>
      <c r="RO9" s="31" t="s">
        <v>19</v>
      </c>
      <c r="RP9" s="31" t="s">
        <v>19</v>
      </c>
      <c r="RQ9" s="31" t="s">
        <v>19</v>
      </c>
      <c r="RR9" s="31" t="s">
        <v>19</v>
      </c>
      <c r="RS9" s="31" t="s">
        <v>19</v>
      </c>
      <c r="RT9" s="31" t="s">
        <v>19</v>
      </c>
      <c r="RU9" s="31" t="s">
        <v>19</v>
      </c>
      <c r="RV9" s="31" t="s">
        <v>19</v>
      </c>
      <c r="RW9" s="31" t="s">
        <v>19</v>
      </c>
      <c r="RX9" s="31" t="s">
        <v>19</v>
      </c>
      <c r="RY9" s="31" t="s">
        <v>19</v>
      </c>
      <c r="RZ9" s="31" t="s">
        <v>19</v>
      </c>
      <c r="SA9" s="31" t="s">
        <v>19</v>
      </c>
      <c r="SB9" s="31" t="s">
        <v>19</v>
      </c>
      <c r="SC9" s="31" t="s">
        <v>19</v>
      </c>
      <c r="SD9" s="31" t="s">
        <v>19</v>
      </c>
      <c r="SE9" s="31" t="s">
        <v>19</v>
      </c>
      <c r="SF9" s="31" t="s">
        <v>19</v>
      </c>
      <c r="SG9" s="31" t="s">
        <v>19</v>
      </c>
      <c r="SH9" s="31" t="s">
        <v>19</v>
      </c>
      <c r="SI9" s="31" t="s">
        <v>19</v>
      </c>
      <c r="SJ9" s="31" t="s">
        <v>19</v>
      </c>
      <c r="SK9" s="31" t="s">
        <v>19</v>
      </c>
      <c r="SL9" s="31" t="s">
        <v>19</v>
      </c>
      <c r="SM9" s="31" t="s">
        <v>19</v>
      </c>
      <c r="SN9" s="31" t="s">
        <v>19</v>
      </c>
      <c r="SO9" s="31" t="s">
        <v>19</v>
      </c>
      <c r="SP9" s="31" t="s">
        <v>19</v>
      </c>
      <c r="SQ9" s="31" t="s">
        <v>19</v>
      </c>
      <c r="SR9" s="31" t="s">
        <v>19</v>
      </c>
      <c r="SS9" s="31" t="s">
        <v>19</v>
      </c>
      <c r="ST9" s="31" t="s">
        <v>19</v>
      </c>
      <c r="SU9" s="31" t="s">
        <v>19</v>
      </c>
      <c r="SV9" s="31" t="s">
        <v>19</v>
      </c>
      <c r="SW9" s="31" t="s">
        <v>19</v>
      </c>
      <c r="SX9" s="31" t="s">
        <v>19</v>
      </c>
      <c r="SY9" s="31" t="s">
        <v>19</v>
      </c>
      <c r="SZ9" s="31" t="s">
        <v>19</v>
      </c>
      <c r="TA9" s="31" t="s">
        <v>19</v>
      </c>
      <c r="TB9" s="31" t="s">
        <v>19</v>
      </c>
      <c r="TC9" s="31" t="s">
        <v>19</v>
      </c>
      <c r="TD9" s="31" t="s">
        <v>19</v>
      </c>
      <c r="TE9" s="31" t="s">
        <v>19</v>
      </c>
      <c r="TF9" s="31" t="s">
        <v>19</v>
      </c>
      <c r="TG9" s="31" t="s">
        <v>19</v>
      </c>
      <c r="TH9" s="31" t="s">
        <v>19</v>
      </c>
      <c r="TI9" s="31" t="s">
        <v>19</v>
      </c>
      <c r="TJ9" s="31" t="s">
        <v>19</v>
      </c>
      <c r="TK9" s="31" t="s">
        <v>19</v>
      </c>
      <c r="TL9" s="31" t="s">
        <v>19</v>
      </c>
      <c r="TM9" s="31" t="s">
        <v>19</v>
      </c>
      <c r="TN9" s="31" t="s">
        <v>19</v>
      </c>
      <c r="TO9" s="31" t="s">
        <v>19</v>
      </c>
      <c r="TP9" s="31" t="s">
        <v>19</v>
      </c>
      <c r="TQ9" s="31" t="s">
        <v>19</v>
      </c>
      <c r="TR9" s="31" t="s">
        <v>19</v>
      </c>
      <c r="TS9" s="31" t="s">
        <v>19</v>
      </c>
      <c r="TT9" s="31" t="s">
        <v>19</v>
      </c>
      <c r="TU9" s="31" t="s">
        <v>19</v>
      </c>
      <c r="TV9" s="31" t="s">
        <v>19</v>
      </c>
      <c r="TW9" s="31" t="s">
        <v>19</v>
      </c>
      <c r="TX9" s="31" t="s">
        <v>19</v>
      </c>
      <c r="TY9" s="31" t="s">
        <v>19</v>
      </c>
      <c r="TZ9" s="31" t="s">
        <v>19</v>
      </c>
      <c r="UA9" s="31" t="s">
        <v>19</v>
      </c>
      <c r="UB9" s="31" t="s">
        <v>19</v>
      </c>
      <c r="UC9" s="31" t="s">
        <v>19</v>
      </c>
      <c r="UD9" s="31" t="s">
        <v>19</v>
      </c>
      <c r="UE9" s="31" t="s">
        <v>19</v>
      </c>
      <c r="UF9" s="31" t="s">
        <v>19</v>
      </c>
      <c r="UG9" s="31" t="s">
        <v>19</v>
      </c>
      <c r="UH9" s="31" t="s">
        <v>19</v>
      </c>
      <c r="UI9" s="31" t="s">
        <v>19</v>
      </c>
      <c r="UJ9" s="31" t="s">
        <v>19</v>
      </c>
      <c r="UK9" s="31" t="s">
        <v>19</v>
      </c>
      <c r="UL9" s="31" t="s">
        <v>19</v>
      </c>
      <c r="UM9" s="31" t="s">
        <v>19</v>
      </c>
      <c r="UN9" s="31" t="s">
        <v>19</v>
      </c>
      <c r="UO9" s="31" t="s">
        <v>19</v>
      </c>
      <c r="UP9" s="31" t="s">
        <v>19</v>
      </c>
      <c r="UQ9" s="31" t="s">
        <v>19</v>
      </c>
      <c r="UR9" s="31" t="s">
        <v>19</v>
      </c>
      <c r="US9" s="31" t="s">
        <v>19</v>
      </c>
      <c r="UT9" s="31" t="s">
        <v>19</v>
      </c>
      <c r="UU9" s="31" t="s">
        <v>19</v>
      </c>
      <c r="UV9" s="31" t="s">
        <v>19</v>
      </c>
      <c r="UW9" s="31" t="s">
        <v>19</v>
      </c>
      <c r="UX9" s="31" t="s">
        <v>19</v>
      </c>
      <c r="UY9" s="31" t="s">
        <v>19</v>
      </c>
      <c r="UZ9" s="31" t="s">
        <v>19</v>
      </c>
      <c r="VA9" s="31" t="s">
        <v>19</v>
      </c>
      <c r="VB9" s="31" t="s">
        <v>19</v>
      </c>
      <c r="VC9" s="31" t="s">
        <v>19</v>
      </c>
      <c r="VD9" s="31" t="s">
        <v>19</v>
      </c>
      <c r="VE9" s="31" t="s">
        <v>19</v>
      </c>
      <c r="VF9" s="31" t="s">
        <v>19</v>
      </c>
      <c r="VG9" s="31" t="s">
        <v>19</v>
      </c>
      <c r="VH9" s="31" t="s">
        <v>19</v>
      </c>
      <c r="VI9" s="31" t="s">
        <v>19</v>
      </c>
      <c r="VJ9" s="31" t="s">
        <v>19</v>
      </c>
      <c r="VK9" s="31" t="s">
        <v>19</v>
      </c>
      <c r="VL9" s="31" t="s">
        <v>19</v>
      </c>
      <c r="VM9" s="31" t="s">
        <v>19</v>
      </c>
      <c r="VN9" s="31" t="s">
        <v>19</v>
      </c>
      <c r="VO9" s="31" t="s">
        <v>19</v>
      </c>
      <c r="VP9" s="31" t="s">
        <v>19</v>
      </c>
      <c r="VQ9" s="31" t="s">
        <v>19</v>
      </c>
      <c r="VR9" s="31" t="s">
        <v>19</v>
      </c>
      <c r="VS9" s="31" t="s">
        <v>19</v>
      </c>
      <c r="VT9" s="31" t="s">
        <v>19</v>
      </c>
      <c r="VU9" s="31" t="s">
        <v>19</v>
      </c>
      <c r="VV9" s="31" t="s">
        <v>19</v>
      </c>
      <c r="VW9" s="31" t="s">
        <v>19</v>
      </c>
      <c r="VX9" s="31" t="s">
        <v>19</v>
      </c>
      <c r="VY9" s="31" t="s">
        <v>19</v>
      </c>
      <c r="VZ9" s="31" t="s">
        <v>19</v>
      </c>
      <c r="WA9" s="31" t="s">
        <v>19</v>
      </c>
      <c r="WB9" s="31" t="s">
        <v>19</v>
      </c>
      <c r="WC9" s="31" t="s">
        <v>19</v>
      </c>
      <c r="WD9" s="31" t="s">
        <v>19</v>
      </c>
      <c r="WE9" s="31" t="s">
        <v>19</v>
      </c>
      <c r="WF9" s="31" t="s">
        <v>19</v>
      </c>
      <c r="WG9" s="31" t="s">
        <v>19</v>
      </c>
      <c r="WH9" s="31" t="s">
        <v>19</v>
      </c>
      <c r="WI9" s="31" t="s">
        <v>19</v>
      </c>
      <c r="WJ9" s="31" t="s">
        <v>19</v>
      </c>
      <c r="WK9" s="31" t="s">
        <v>19</v>
      </c>
      <c r="WL9" s="31" t="s">
        <v>19</v>
      </c>
      <c r="WM9" s="31" t="s">
        <v>19</v>
      </c>
      <c r="WN9" s="31" t="s">
        <v>19</v>
      </c>
      <c r="WO9" s="31" t="s">
        <v>19</v>
      </c>
      <c r="WP9" s="31" t="s">
        <v>19</v>
      </c>
      <c r="WQ9" s="31" t="s">
        <v>19</v>
      </c>
      <c r="WR9" s="31" t="s">
        <v>19</v>
      </c>
      <c r="WS9" s="31" t="s">
        <v>19</v>
      </c>
      <c r="WT9" s="31" t="s">
        <v>19</v>
      </c>
      <c r="WU9" s="31" t="s">
        <v>19</v>
      </c>
      <c r="WV9" s="31" t="s">
        <v>19</v>
      </c>
      <c r="WW9" s="31" t="s">
        <v>19</v>
      </c>
      <c r="WX9" s="31" t="s">
        <v>19</v>
      </c>
      <c r="WY9" s="31" t="s">
        <v>19</v>
      </c>
      <c r="WZ9" s="31" t="s">
        <v>19</v>
      </c>
      <c r="XA9" s="31" t="s">
        <v>19</v>
      </c>
      <c r="XB9" s="31" t="s">
        <v>19</v>
      </c>
      <c r="XC9" s="31" t="s">
        <v>19</v>
      </c>
      <c r="XD9" s="31" t="s">
        <v>19</v>
      </c>
      <c r="XE9" s="31" t="s">
        <v>19</v>
      </c>
      <c r="XF9" s="31" t="s">
        <v>19</v>
      </c>
      <c r="XG9" s="31" t="s">
        <v>19</v>
      </c>
      <c r="XH9" s="31" t="s">
        <v>19</v>
      </c>
      <c r="XI9" s="31" t="s">
        <v>19</v>
      </c>
      <c r="XJ9" s="31" t="s">
        <v>19</v>
      </c>
      <c r="XK9" s="31" t="s">
        <v>19</v>
      </c>
      <c r="XL9" s="31" t="s">
        <v>19</v>
      </c>
      <c r="XM9" s="31" t="s">
        <v>19</v>
      </c>
      <c r="XN9" s="31" t="s">
        <v>19</v>
      </c>
      <c r="XO9" s="31" t="s">
        <v>19</v>
      </c>
      <c r="XP9" s="31" t="s">
        <v>19</v>
      </c>
      <c r="XQ9" s="31" t="s">
        <v>19</v>
      </c>
      <c r="XR9" s="31" t="s">
        <v>19</v>
      </c>
      <c r="XS9" s="31" t="s">
        <v>19</v>
      </c>
      <c r="XT9" s="31" t="s">
        <v>19</v>
      </c>
      <c r="XU9" s="31" t="s">
        <v>19</v>
      </c>
      <c r="XV9" s="31" t="s">
        <v>19</v>
      </c>
      <c r="XW9" s="31" t="s">
        <v>19</v>
      </c>
      <c r="XX9" s="31" t="s">
        <v>19</v>
      </c>
      <c r="XY9" s="31" t="s">
        <v>19</v>
      </c>
      <c r="XZ9" s="31" t="s">
        <v>19</v>
      </c>
      <c r="YA9" s="31" t="s">
        <v>19</v>
      </c>
      <c r="YB9" s="31" t="s">
        <v>19</v>
      </c>
      <c r="YC9" s="31" t="s">
        <v>19</v>
      </c>
      <c r="YD9" s="31" t="s">
        <v>19</v>
      </c>
      <c r="YE9" s="31" t="s">
        <v>19</v>
      </c>
      <c r="YF9" s="31" t="s">
        <v>19</v>
      </c>
      <c r="YG9" s="31" t="s">
        <v>19</v>
      </c>
      <c r="YH9" s="31" t="s">
        <v>19</v>
      </c>
      <c r="YI9" s="31" t="s">
        <v>19</v>
      </c>
      <c r="YJ9" s="31" t="s">
        <v>19</v>
      </c>
      <c r="YK9" s="31" t="s">
        <v>19</v>
      </c>
      <c r="YL9" s="31" t="s">
        <v>19</v>
      </c>
      <c r="YM9" s="31" t="s">
        <v>19</v>
      </c>
      <c r="YN9" s="31" t="s">
        <v>19</v>
      </c>
      <c r="YO9" s="31" t="s">
        <v>19</v>
      </c>
      <c r="YP9" s="31" t="s">
        <v>19</v>
      </c>
      <c r="YQ9" s="31" t="s">
        <v>19</v>
      </c>
      <c r="YR9" s="31" t="s">
        <v>19</v>
      </c>
      <c r="YS9" s="31" t="s">
        <v>19</v>
      </c>
      <c r="YT9" s="31" t="s">
        <v>19</v>
      </c>
      <c r="YU9" s="31" t="s">
        <v>19</v>
      </c>
      <c r="YV9" s="31" t="s">
        <v>19</v>
      </c>
      <c r="YW9" s="31" t="s">
        <v>19</v>
      </c>
      <c r="YX9" s="31" t="s">
        <v>19</v>
      </c>
      <c r="YY9" s="31" t="s">
        <v>19</v>
      </c>
      <c r="YZ9" s="31" t="s">
        <v>19</v>
      </c>
      <c r="ZA9" s="31" t="s">
        <v>19</v>
      </c>
      <c r="ZB9" s="31" t="s">
        <v>19</v>
      </c>
      <c r="ZC9" s="31" t="s">
        <v>19</v>
      </c>
      <c r="ZD9" s="31" t="s">
        <v>19</v>
      </c>
      <c r="ZE9" s="31" t="s">
        <v>19</v>
      </c>
      <c r="ZF9" s="31" t="s">
        <v>19</v>
      </c>
      <c r="ZG9" s="31" t="s">
        <v>19</v>
      </c>
      <c r="ZH9" s="31" t="s">
        <v>19</v>
      </c>
      <c r="ZI9" s="31" t="s">
        <v>19</v>
      </c>
      <c r="ZJ9" s="31" t="s">
        <v>19</v>
      </c>
      <c r="ZK9" s="31" t="s">
        <v>19</v>
      </c>
      <c r="ZL9" s="31" t="s">
        <v>19</v>
      </c>
      <c r="ZM9" s="31" t="s">
        <v>19</v>
      </c>
      <c r="ZN9" s="31" t="s">
        <v>19</v>
      </c>
      <c r="ZO9" s="31" t="s">
        <v>19</v>
      </c>
      <c r="ZP9" s="31" t="s">
        <v>19</v>
      </c>
      <c r="ZQ9" s="31" t="s">
        <v>19</v>
      </c>
      <c r="ZR9" s="31" t="s">
        <v>19</v>
      </c>
      <c r="ZS9" s="31" t="s">
        <v>19</v>
      </c>
      <c r="ZT9" s="31" t="s">
        <v>19</v>
      </c>
      <c r="ZU9" s="31" t="s">
        <v>19</v>
      </c>
      <c r="ZV9" s="31" t="s">
        <v>19</v>
      </c>
      <c r="ZW9" s="31" t="s">
        <v>19</v>
      </c>
      <c r="ZX9" s="31" t="s">
        <v>19</v>
      </c>
      <c r="ZY9" s="31" t="s">
        <v>19</v>
      </c>
      <c r="ZZ9" s="31" t="s">
        <v>19</v>
      </c>
      <c r="AAA9" s="31" t="s">
        <v>19</v>
      </c>
      <c r="AAB9" s="31" t="s">
        <v>19</v>
      </c>
      <c r="AAC9" s="31" t="s">
        <v>19</v>
      </c>
      <c r="AAD9" s="31" t="s">
        <v>19</v>
      </c>
      <c r="AAE9" s="31" t="s">
        <v>19</v>
      </c>
      <c r="AAF9" s="31" t="s">
        <v>19</v>
      </c>
      <c r="AAG9" s="31" t="s">
        <v>19</v>
      </c>
      <c r="AAH9" s="31" t="s">
        <v>19</v>
      </c>
      <c r="AAI9" s="31" t="s">
        <v>19</v>
      </c>
      <c r="AAJ9" s="31" t="s">
        <v>19</v>
      </c>
      <c r="AAK9" s="31" t="s">
        <v>19</v>
      </c>
      <c r="AAL9" s="31" t="s">
        <v>19</v>
      </c>
      <c r="AAM9" s="31" t="s">
        <v>19</v>
      </c>
      <c r="AAN9" s="31" t="s">
        <v>19</v>
      </c>
      <c r="AAO9" s="31" t="s">
        <v>19</v>
      </c>
      <c r="AAP9" s="31" t="s">
        <v>19</v>
      </c>
      <c r="AAQ9" s="31" t="s">
        <v>19</v>
      </c>
      <c r="AAR9" s="31" t="s">
        <v>19</v>
      </c>
      <c r="AAS9" s="31" t="s">
        <v>19</v>
      </c>
      <c r="AAT9" s="31" t="s">
        <v>19</v>
      </c>
      <c r="AAU9" s="31" t="s">
        <v>19</v>
      </c>
      <c r="AAV9" s="31" t="s">
        <v>19</v>
      </c>
      <c r="AAW9" s="31" t="s">
        <v>19</v>
      </c>
      <c r="AAX9" s="31" t="s">
        <v>19</v>
      </c>
      <c r="AAY9" s="31" t="s">
        <v>19</v>
      </c>
      <c r="AAZ9" s="31" t="s">
        <v>19</v>
      </c>
      <c r="ABA9" s="31" t="s">
        <v>19</v>
      </c>
      <c r="ABB9" s="31" t="s">
        <v>19</v>
      </c>
      <c r="ABC9" s="31" t="s">
        <v>19</v>
      </c>
      <c r="ABD9" s="31" t="s">
        <v>19</v>
      </c>
      <c r="ABE9" s="31" t="s">
        <v>19</v>
      </c>
      <c r="ABF9" s="31" t="s">
        <v>19</v>
      </c>
      <c r="ABG9" s="31" t="s">
        <v>19</v>
      </c>
      <c r="ABH9" s="31" t="s">
        <v>19</v>
      </c>
      <c r="ABI9" s="31" t="s">
        <v>19</v>
      </c>
      <c r="ABJ9" s="31" t="s">
        <v>19</v>
      </c>
      <c r="ABK9" s="31" t="s">
        <v>19</v>
      </c>
      <c r="ABL9" s="31" t="s">
        <v>19</v>
      </c>
      <c r="ABM9" s="31" t="s">
        <v>19</v>
      </c>
      <c r="ABN9" s="31" t="s">
        <v>19</v>
      </c>
      <c r="ABO9" s="31" t="s">
        <v>19</v>
      </c>
      <c r="ABP9" s="31" t="s">
        <v>19</v>
      </c>
      <c r="ABQ9" s="31" t="s">
        <v>19</v>
      </c>
      <c r="ABR9" s="31" t="s">
        <v>19</v>
      </c>
      <c r="ABS9" s="31" t="s">
        <v>19</v>
      </c>
      <c r="ABT9" s="31" t="s">
        <v>19</v>
      </c>
      <c r="ABU9" s="31" t="s">
        <v>19</v>
      </c>
      <c r="ABV9" s="31" t="s">
        <v>19</v>
      </c>
      <c r="ABW9" s="31" t="s">
        <v>19</v>
      </c>
      <c r="ABX9" s="31" t="s">
        <v>19</v>
      </c>
      <c r="ABY9" s="31" t="s">
        <v>19</v>
      </c>
      <c r="ABZ9" s="31" t="s">
        <v>19</v>
      </c>
      <c r="ACA9" s="31" t="s">
        <v>19</v>
      </c>
      <c r="ACB9" s="31" t="s">
        <v>19</v>
      </c>
      <c r="ACC9" s="31" t="s">
        <v>19</v>
      </c>
      <c r="ACD9" s="31" t="s">
        <v>19</v>
      </c>
      <c r="ACE9" s="31" t="s">
        <v>19</v>
      </c>
      <c r="ACF9" s="31" t="s">
        <v>19</v>
      </c>
      <c r="ACG9" s="31" t="s">
        <v>19</v>
      </c>
      <c r="ACH9" s="31" t="s">
        <v>19</v>
      </c>
      <c r="ACI9" s="31" t="s">
        <v>19</v>
      </c>
      <c r="ACJ9" s="31" t="s">
        <v>19</v>
      </c>
      <c r="ACK9" s="31" t="s">
        <v>19</v>
      </c>
      <c r="ACL9" s="31" t="s">
        <v>19</v>
      </c>
      <c r="ACM9" s="31" t="s">
        <v>19</v>
      </c>
      <c r="ACN9" s="31" t="s">
        <v>19</v>
      </c>
      <c r="ACO9" s="31" t="s">
        <v>19</v>
      </c>
      <c r="ACP9" s="31" t="s">
        <v>1171</v>
      </c>
      <c r="ACQ9" s="31" t="s">
        <v>19</v>
      </c>
      <c r="ACR9" s="31" t="s">
        <v>19</v>
      </c>
      <c r="ACS9" s="31" t="s">
        <v>19</v>
      </c>
      <c r="ACT9" s="31" t="s">
        <v>19</v>
      </c>
      <c r="ACU9" s="31" t="s">
        <v>19</v>
      </c>
      <c r="ACV9" s="31" t="s">
        <v>19</v>
      </c>
      <c r="ACW9" s="31" t="s">
        <v>19</v>
      </c>
      <c r="ACX9" s="31" t="s">
        <v>19</v>
      </c>
      <c r="ACY9" s="31" t="s">
        <v>19</v>
      </c>
      <c r="ACZ9" s="31" t="s">
        <v>19</v>
      </c>
      <c r="ADA9" s="31" t="s">
        <v>19</v>
      </c>
      <c r="ADB9" s="31" t="s">
        <v>19</v>
      </c>
      <c r="ADC9" s="31" t="s">
        <v>19</v>
      </c>
      <c r="ADD9" s="31" t="s">
        <v>19</v>
      </c>
      <c r="ADE9" s="31" t="s">
        <v>19</v>
      </c>
      <c r="ADF9" s="31" t="s">
        <v>19</v>
      </c>
      <c r="ADG9" s="31" t="s">
        <v>19</v>
      </c>
      <c r="ADH9" s="31" t="s">
        <v>19</v>
      </c>
      <c r="ADI9" s="31" t="s">
        <v>19</v>
      </c>
      <c r="ADJ9" s="31" t="s">
        <v>19</v>
      </c>
      <c r="ADK9" s="31" t="s">
        <v>19</v>
      </c>
      <c r="ADL9" s="31" t="s">
        <v>19</v>
      </c>
      <c r="ADM9" s="31" t="s">
        <v>19</v>
      </c>
      <c r="ADN9" s="31" t="s">
        <v>19</v>
      </c>
      <c r="ADO9" s="31" t="s">
        <v>19</v>
      </c>
      <c r="ADP9" s="31" t="s">
        <v>19</v>
      </c>
      <c r="ADQ9" s="31" t="s">
        <v>19</v>
      </c>
      <c r="ADR9" s="31" t="s">
        <v>19</v>
      </c>
      <c r="ADS9" s="31" t="s">
        <v>19</v>
      </c>
      <c r="ADT9" s="31" t="s">
        <v>19</v>
      </c>
      <c r="ADU9" s="31" t="s">
        <v>19</v>
      </c>
      <c r="ADV9" s="31" t="s">
        <v>19</v>
      </c>
      <c r="ADW9" s="31" t="s">
        <v>19</v>
      </c>
      <c r="ADX9" s="31" t="s">
        <v>19</v>
      </c>
      <c r="ADY9" s="31" t="s">
        <v>19</v>
      </c>
      <c r="ADZ9" s="31" t="s">
        <v>19</v>
      </c>
      <c r="AEA9" s="31" t="s">
        <v>19</v>
      </c>
      <c r="AEB9" s="31" t="s">
        <v>19</v>
      </c>
      <c r="AEC9" s="31" t="s">
        <v>19</v>
      </c>
      <c r="AED9" s="31" t="s">
        <v>19</v>
      </c>
      <c r="AEE9" s="31" t="s">
        <v>19</v>
      </c>
      <c r="AEF9" s="31" t="s">
        <v>19</v>
      </c>
      <c r="AEG9" s="31" t="s">
        <v>19</v>
      </c>
      <c r="AEH9" s="31" t="s">
        <v>19</v>
      </c>
      <c r="AEI9" s="31" t="s">
        <v>19</v>
      </c>
      <c r="AEJ9" s="31" t="s">
        <v>19</v>
      </c>
      <c r="AEK9" s="31" t="s">
        <v>19</v>
      </c>
      <c r="AEL9" s="31" t="s">
        <v>19</v>
      </c>
      <c r="AEM9" s="31" t="s">
        <v>19</v>
      </c>
      <c r="AEN9" s="31" t="s">
        <v>19</v>
      </c>
      <c r="AEO9" s="31" t="s">
        <v>19</v>
      </c>
      <c r="AEP9" s="31" t="s">
        <v>19</v>
      </c>
      <c r="AEQ9" s="31" t="s">
        <v>19</v>
      </c>
      <c r="AER9" s="31" t="s">
        <v>19</v>
      </c>
      <c r="AES9" s="31" t="s">
        <v>19</v>
      </c>
      <c r="AET9" s="31" t="s">
        <v>19</v>
      </c>
      <c r="AEU9" s="31" t="s">
        <v>19</v>
      </c>
      <c r="AEV9" s="31" t="s">
        <v>19</v>
      </c>
      <c r="AEW9" s="31" t="s">
        <v>19</v>
      </c>
      <c r="AEX9" s="31" t="s">
        <v>19</v>
      </c>
      <c r="AEY9" s="31" t="s">
        <v>19</v>
      </c>
      <c r="AEZ9" s="31" t="s">
        <v>19</v>
      </c>
      <c r="AFA9" s="31" t="s">
        <v>19</v>
      </c>
      <c r="AFB9" s="31" t="s">
        <v>19</v>
      </c>
      <c r="AFC9" s="31" t="s">
        <v>19</v>
      </c>
      <c r="AFD9" s="31" t="s">
        <v>19</v>
      </c>
      <c r="AFE9" s="31" t="s">
        <v>19</v>
      </c>
      <c r="AFF9" s="31" t="s">
        <v>19</v>
      </c>
      <c r="AFG9" s="31" t="s">
        <v>19</v>
      </c>
      <c r="AFH9" s="31" t="s">
        <v>19</v>
      </c>
      <c r="AFI9" s="31" t="s">
        <v>19</v>
      </c>
      <c r="AFJ9" s="31" t="s">
        <v>19</v>
      </c>
      <c r="AFK9" s="31" t="s">
        <v>19</v>
      </c>
      <c r="AFL9" s="31" t="s">
        <v>19</v>
      </c>
      <c r="AFM9" s="31" t="s">
        <v>19</v>
      </c>
      <c r="AFN9" s="31" t="s">
        <v>19</v>
      </c>
      <c r="AFO9" s="31" t="s">
        <v>19</v>
      </c>
      <c r="AFP9" s="31" t="s">
        <v>19</v>
      </c>
      <c r="AFQ9" s="31" t="s">
        <v>19</v>
      </c>
      <c r="AFR9" s="31" t="s">
        <v>19</v>
      </c>
      <c r="AFS9" s="31" t="s">
        <v>19</v>
      </c>
      <c r="AFT9" s="31" t="s">
        <v>19</v>
      </c>
      <c r="AFU9" s="31" t="s">
        <v>19</v>
      </c>
      <c r="AFV9" s="31" t="s">
        <v>19</v>
      </c>
      <c r="AFW9" s="31" t="s">
        <v>19</v>
      </c>
      <c r="AFX9" s="31" t="s">
        <v>19</v>
      </c>
      <c r="AFY9" s="31" t="s">
        <v>19</v>
      </c>
      <c r="AFZ9" s="31" t="s">
        <v>19</v>
      </c>
      <c r="AGA9" s="31" t="s">
        <v>19</v>
      </c>
      <c r="AGB9" s="31" t="s">
        <v>19</v>
      </c>
      <c r="AGC9" s="31" t="s">
        <v>19</v>
      </c>
      <c r="AGD9" s="31" t="s">
        <v>19</v>
      </c>
      <c r="AGE9" s="31" t="s">
        <v>19</v>
      </c>
      <c r="AGF9" s="31" t="s">
        <v>19</v>
      </c>
      <c r="AGG9" s="31" t="s">
        <v>19</v>
      </c>
      <c r="AGH9" s="31" t="s">
        <v>19</v>
      </c>
      <c r="AGI9" s="31" t="s">
        <v>19</v>
      </c>
      <c r="AGJ9" s="31" t="s">
        <v>19</v>
      </c>
      <c r="AGK9" s="31" t="s">
        <v>19</v>
      </c>
      <c r="AGL9" s="31" t="s">
        <v>19</v>
      </c>
      <c r="AGM9" s="31" t="s">
        <v>19</v>
      </c>
      <c r="AGN9" s="31" t="s">
        <v>19</v>
      </c>
      <c r="AGO9" s="31" t="s">
        <v>19</v>
      </c>
      <c r="AGP9" s="31" t="s">
        <v>19</v>
      </c>
      <c r="AGQ9" s="31" t="s">
        <v>19</v>
      </c>
      <c r="AGR9" s="31" t="s">
        <v>19</v>
      </c>
      <c r="AGS9" s="31" t="s">
        <v>19</v>
      </c>
      <c r="AGT9" s="31" t="s">
        <v>19</v>
      </c>
      <c r="AGU9" s="31" t="s">
        <v>19</v>
      </c>
      <c r="AGV9" s="31" t="s">
        <v>19</v>
      </c>
      <c r="AGW9" s="31" t="s">
        <v>19</v>
      </c>
      <c r="AGX9" s="31" t="s">
        <v>19</v>
      </c>
      <c r="AGY9" s="31" t="s">
        <v>19</v>
      </c>
      <c r="AGZ9" s="31" t="s">
        <v>19</v>
      </c>
      <c r="AHA9" s="31" t="s">
        <v>19</v>
      </c>
      <c r="AHB9" s="31" t="s">
        <v>19</v>
      </c>
      <c r="AHC9" s="31" t="s">
        <v>19</v>
      </c>
      <c r="AHD9" s="31" t="s">
        <v>19</v>
      </c>
      <c r="AHE9" s="31" t="s">
        <v>19</v>
      </c>
      <c r="AHF9" s="31" t="s">
        <v>19</v>
      </c>
      <c r="AHG9" s="31" t="s">
        <v>19</v>
      </c>
      <c r="AHH9" s="31" t="s">
        <v>19</v>
      </c>
      <c r="AHI9" s="31" t="s">
        <v>19</v>
      </c>
      <c r="AHJ9" s="31" t="s">
        <v>19</v>
      </c>
      <c r="AHK9" s="31" t="s">
        <v>19</v>
      </c>
      <c r="AHL9" s="31" t="s">
        <v>19</v>
      </c>
      <c r="AHM9" s="31" t="s">
        <v>19</v>
      </c>
      <c r="AHN9" s="31" t="s">
        <v>19</v>
      </c>
      <c r="AHO9" s="31" t="s">
        <v>19</v>
      </c>
      <c r="AHP9" s="31" t="s">
        <v>19</v>
      </c>
      <c r="AHQ9" s="31" t="s">
        <v>19</v>
      </c>
      <c r="AHR9" s="31" t="s">
        <v>19</v>
      </c>
      <c r="AHS9" s="31" t="s">
        <v>19</v>
      </c>
      <c r="AHT9" s="31" t="s">
        <v>19</v>
      </c>
      <c r="AHU9" s="31" t="s">
        <v>19</v>
      </c>
      <c r="AHV9" s="31" t="s">
        <v>19</v>
      </c>
      <c r="AHW9" s="31" t="s">
        <v>19</v>
      </c>
      <c r="AHX9" s="31" t="s">
        <v>19</v>
      </c>
      <c r="AHY9" s="31" t="s">
        <v>19</v>
      </c>
      <c r="AHZ9" s="31" t="s">
        <v>19</v>
      </c>
      <c r="AIA9" s="31" t="s">
        <v>19</v>
      </c>
      <c r="AIB9" s="31" t="s">
        <v>19</v>
      </c>
      <c r="AIC9" s="31" t="s">
        <v>19</v>
      </c>
      <c r="AID9" s="31" t="s">
        <v>19</v>
      </c>
      <c r="AIE9" s="31" t="s">
        <v>19</v>
      </c>
      <c r="AIF9" s="31" t="s">
        <v>19</v>
      </c>
      <c r="AIG9" s="31" t="s">
        <v>19</v>
      </c>
      <c r="AIH9" s="31" t="s">
        <v>19</v>
      </c>
      <c r="AII9" s="31" t="s">
        <v>19</v>
      </c>
      <c r="AIJ9" s="31" t="s">
        <v>19</v>
      </c>
      <c r="AIK9" s="31" t="s">
        <v>19</v>
      </c>
      <c r="AIL9" s="31" t="s">
        <v>19</v>
      </c>
      <c r="AIM9" s="31" t="s">
        <v>19</v>
      </c>
      <c r="AIN9" s="31" t="s">
        <v>19</v>
      </c>
      <c r="AIO9" s="31" t="s">
        <v>19</v>
      </c>
      <c r="AIP9" s="31" t="s">
        <v>19</v>
      </c>
      <c r="AIQ9" s="31" t="s">
        <v>19</v>
      </c>
      <c r="AIR9" s="31" t="s">
        <v>19</v>
      </c>
      <c r="AIS9" s="31" t="s">
        <v>19</v>
      </c>
      <c r="AIT9" s="31" t="s">
        <v>19</v>
      </c>
      <c r="AIU9" s="31" t="s">
        <v>19</v>
      </c>
      <c r="AIV9" s="31" t="s">
        <v>19</v>
      </c>
      <c r="AIW9" s="31" t="s">
        <v>19</v>
      </c>
      <c r="AIX9" s="31" t="s">
        <v>19</v>
      </c>
      <c r="AIY9" s="31" t="s">
        <v>19</v>
      </c>
      <c r="AIZ9" s="31" t="s">
        <v>19</v>
      </c>
      <c r="AJA9" s="31" t="s">
        <v>19</v>
      </c>
      <c r="AJB9" s="31" t="s">
        <v>19</v>
      </c>
      <c r="AJC9" s="31" t="s">
        <v>19</v>
      </c>
      <c r="AJD9" s="31" t="s">
        <v>19</v>
      </c>
      <c r="AJE9" s="31" t="s">
        <v>19</v>
      </c>
      <c r="AJF9" s="31" t="s">
        <v>19</v>
      </c>
      <c r="AJG9" s="31" t="s">
        <v>19</v>
      </c>
      <c r="AJH9" s="31" t="s">
        <v>19</v>
      </c>
      <c r="AJI9" s="31" t="s">
        <v>19</v>
      </c>
      <c r="AJJ9" s="31" t="s">
        <v>19</v>
      </c>
      <c r="AJK9" s="31" t="s">
        <v>19</v>
      </c>
      <c r="AJL9" s="31" t="s">
        <v>19</v>
      </c>
      <c r="AJM9" s="31" t="s">
        <v>19</v>
      </c>
      <c r="AJN9" s="31" t="s">
        <v>19</v>
      </c>
      <c r="AJO9" s="31" t="s">
        <v>19</v>
      </c>
      <c r="AJP9" s="31" t="s">
        <v>19</v>
      </c>
      <c r="AJQ9" s="31" t="s">
        <v>19</v>
      </c>
      <c r="AJR9" s="31" t="s">
        <v>19</v>
      </c>
      <c r="AJS9" s="31" t="s">
        <v>19</v>
      </c>
      <c r="AJT9" s="31" t="s">
        <v>19</v>
      </c>
      <c r="AJU9" s="31" t="s">
        <v>19</v>
      </c>
      <c r="AJV9" s="31" t="s">
        <v>19</v>
      </c>
      <c r="AJW9" s="31" t="s">
        <v>19</v>
      </c>
      <c r="AJX9" s="31" t="s">
        <v>19</v>
      </c>
      <c r="AJY9" s="31" t="s">
        <v>19</v>
      </c>
      <c r="AJZ9" s="31" t="s">
        <v>19</v>
      </c>
      <c r="AKA9" s="31" t="s">
        <v>19</v>
      </c>
      <c r="AKB9" s="31" t="s">
        <v>19</v>
      </c>
      <c r="AKC9" s="31" t="s">
        <v>19</v>
      </c>
      <c r="AKD9" s="31" t="s">
        <v>19</v>
      </c>
      <c r="AKE9" s="31" t="s">
        <v>19</v>
      </c>
      <c r="AKF9" s="31" t="s">
        <v>19</v>
      </c>
      <c r="AKG9" s="31" t="s">
        <v>19</v>
      </c>
      <c r="AKH9" s="31" t="s">
        <v>19</v>
      </c>
      <c r="AKI9" s="31" t="s">
        <v>19</v>
      </c>
      <c r="AKJ9" s="31" t="s">
        <v>19</v>
      </c>
      <c r="AKK9" s="31" t="s">
        <v>19</v>
      </c>
      <c r="AKL9" s="31" t="s">
        <v>19</v>
      </c>
      <c r="AKM9" s="31" t="s">
        <v>19</v>
      </c>
      <c r="AKN9" s="31" t="s">
        <v>19</v>
      </c>
      <c r="AKO9" s="31" t="s">
        <v>19</v>
      </c>
      <c r="AKP9" s="31" t="s">
        <v>19</v>
      </c>
      <c r="AKQ9" s="31" t="s">
        <v>19</v>
      </c>
      <c r="AKR9" s="31" t="s">
        <v>19</v>
      </c>
      <c r="AKS9" s="31" t="s">
        <v>19</v>
      </c>
      <c r="AKT9" s="31" t="s">
        <v>19</v>
      </c>
      <c r="AKU9" s="31" t="s">
        <v>19</v>
      </c>
      <c r="AKV9" s="31" t="s">
        <v>19</v>
      </c>
      <c r="AKW9" s="31" t="s">
        <v>19</v>
      </c>
      <c r="AKX9" s="31" t="s">
        <v>19</v>
      </c>
      <c r="AKY9" s="31" t="s">
        <v>19</v>
      </c>
      <c r="AKZ9" s="31" t="s">
        <v>19</v>
      </c>
      <c r="ALA9" s="31" t="s">
        <v>19</v>
      </c>
      <c r="ALB9" s="31" t="s">
        <v>19</v>
      </c>
      <c r="ALC9" s="31" t="s">
        <v>19</v>
      </c>
      <c r="ALD9" s="31" t="s">
        <v>19</v>
      </c>
      <c r="ALE9" s="31" t="s">
        <v>19</v>
      </c>
      <c r="ALF9" s="31" t="s">
        <v>19</v>
      </c>
      <c r="ALG9" s="31" t="s">
        <v>19</v>
      </c>
      <c r="ALH9" s="31" t="s">
        <v>19</v>
      </c>
      <c r="ALI9" s="31" t="s">
        <v>19</v>
      </c>
      <c r="ALJ9" s="31" t="s">
        <v>19</v>
      </c>
      <c r="ALK9" s="31" t="s">
        <v>19</v>
      </c>
      <c r="ALL9" s="31" t="s">
        <v>19</v>
      </c>
      <c r="ALM9" s="31" t="s">
        <v>19</v>
      </c>
      <c r="ALN9" s="31" t="s">
        <v>19</v>
      </c>
      <c r="ALO9" s="31" t="s">
        <v>19</v>
      </c>
      <c r="ALP9" s="31" t="s">
        <v>19</v>
      </c>
      <c r="ALQ9" s="31" t="s">
        <v>19</v>
      </c>
      <c r="ALR9" s="31" t="s">
        <v>19</v>
      </c>
      <c r="ALS9" s="31" t="s">
        <v>19</v>
      </c>
      <c r="ALT9" s="31" t="s">
        <v>19</v>
      </c>
      <c r="ALU9" s="31" t="s">
        <v>19</v>
      </c>
      <c r="ALV9" s="31" t="s">
        <v>19</v>
      </c>
      <c r="ALW9" s="31" t="s">
        <v>19</v>
      </c>
      <c r="ALX9" s="31" t="s">
        <v>19</v>
      </c>
      <c r="ALY9" s="31" t="s">
        <v>19</v>
      </c>
      <c r="ALZ9" s="31" t="s">
        <v>19</v>
      </c>
      <c r="AMA9" s="31" t="s">
        <v>19</v>
      </c>
      <c r="AMB9" s="31" t="s">
        <v>19</v>
      </c>
      <c r="AMC9" s="31" t="s">
        <v>19</v>
      </c>
      <c r="AMD9" s="31" t="s">
        <v>19</v>
      </c>
      <c r="AME9" s="31" t="s">
        <v>19</v>
      </c>
      <c r="AMF9" s="31" t="s">
        <v>19</v>
      </c>
      <c r="AMG9" s="31" t="s">
        <v>19</v>
      </c>
      <c r="AMH9" s="31" t="s">
        <v>19</v>
      </c>
      <c r="AMI9" s="31" t="s">
        <v>19</v>
      </c>
      <c r="AMJ9" s="31" t="s">
        <v>19</v>
      </c>
      <c r="AMK9" s="31" t="s">
        <v>19</v>
      </c>
      <c r="AML9" s="31" t="s">
        <v>19</v>
      </c>
      <c r="AMM9" s="31" t="s">
        <v>19</v>
      </c>
      <c r="AMN9" s="31" t="s">
        <v>19</v>
      </c>
      <c r="AMO9" s="31" t="s">
        <v>19</v>
      </c>
      <c r="AMP9" s="31" t="s">
        <v>19</v>
      </c>
      <c r="AMQ9" s="31" t="s">
        <v>19</v>
      </c>
      <c r="AMR9" s="31" t="s">
        <v>19</v>
      </c>
      <c r="AMS9" s="31" t="s">
        <v>19</v>
      </c>
      <c r="AMT9" s="31" t="s">
        <v>19</v>
      </c>
      <c r="AMU9" s="31" t="s">
        <v>19</v>
      </c>
      <c r="AMV9" s="31" t="s">
        <v>19</v>
      </c>
      <c r="AMW9" s="31" t="s">
        <v>19</v>
      </c>
      <c r="AMX9" s="31" t="s">
        <v>19</v>
      </c>
      <c r="AMY9" s="31" t="s">
        <v>19</v>
      </c>
      <c r="AMZ9" s="31" t="s">
        <v>19</v>
      </c>
      <c r="ANA9" s="31" t="s">
        <v>19</v>
      </c>
      <c r="ANB9" s="31" t="s">
        <v>19</v>
      </c>
      <c r="ANC9" s="31" t="s">
        <v>19</v>
      </c>
      <c r="AND9" s="31" t="s">
        <v>19</v>
      </c>
      <c r="ANE9" s="31" t="s">
        <v>19</v>
      </c>
      <c r="ANF9" s="31" t="s">
        <v>19</v>
      </c>
      <c r="ANG9" s="31" t="s">
        <v>19</v>
      </c>
      <c r="ANH9" s="31" t="s">
        <v>19</v>
      </c>
      <c r="ANI9" s="31" t="s">
        <v>19</v>
      </c>
      <c r="ANJ9" s="31" t="s">
        <v>19</v>
      </c>
      <c r="ANK9" s="31" t="s">
        <v>19</v>
      </c>
      <c r="ANL9" s="31" t="s">
        <v>19</v>
      </c>
      <c r="ANM9" s="31" t="s">
        <v>19</v>
      </c>
      <c r="ANN9" s="31" t="s">
        <v>19</v>
      </c>
      <c r="ANO9" s="31" t="s">
        <v>19</v>
      </c>
      <c r="ANP9" s="31" t="s">
        <v>19</v>
      </c>
      <c r="ANQ9" s="31" t="s">
        <v>19</v>
      </c>
      <c r="ANR9" s="31" t="s">
        <v>19</v>
      </c>
      <c r="ANS9" s="31" t="s">
        <v>19</v>
      </c>
      <c r="ANT9" s="31" t="s">
        <v>19</v>
      </c>
      <c r="ANU9" s="31" t="s">
        <v>19</v>
      </c>
      <c r="ANV9" s="31" t="s">
        <v>19</v>
      </c>
      <c r="ANW9" s="31" t="s">
        <v>19</v>
      </c>
      <c r="ANX9" s="31" t="s">
        <v>19</v>
      </c>
      <c r="ANY9" s="31" t="s">
        <v>19</v>
      </c>
      <c r="ANZ9" s="31" t="s">
        <v>19</v>
      </c>
      <c r="AOA9" s="31" t="s">
        <v>19</v>
      </c>
      <c r="AOB9" s="31" t="s">
        <v>19</v>
      </c>
      <c r="AOC9" s="31" t="s">
        <v>19</v>
      </c>
      <c r="AOD9" s="31" t="s">
        <v>19</v>
      </c>
      <c r="AOE9" s="31" t="s">
        <v>19</v>
      </c>
      <c r="AOF9" s="31" t="s">
        <v>19</v>
      </c>
      <c r="AOG9" s="31" t="s">
        <v>19</v>
      </c>
      <c r="AOH9" s="31" t="s">
        <v>19</v>
      </c>
      <c r="AOI9" s="31" t="s">
        <v>19</v>
      </c>
      <c r="AOJ9" s="31" t="s">
        <v>19</v>
      </c>
    </row>
    <row r="10" spans="1:1076" x14ac:dyDescent="0.3">
      <c r="A10" s="47" t="s">
        <v>9</v>
      </c>
      <c r="B10" s="44" t="s">
        <v>63</v>
      </c>
      <c r="C10" s="31" t="s">
        <v>20</v>
      </c>
      <c r="D10" s="31">
        <v>15</v>
      </c>
      <c r="E10" s="31">
        <v>18</v>
      </c>
      <c r="F10" s="31">
        <v>18</v>
      </c>
      <c r="G10" s="31">
        <v>15</v>
      </c>
      <c r="H10" s="31">
        <v>15</v>
      </c>
      <c r="I10" s="31">
        <v>18</v>
      </c>
      <c r="J10" s="31" t="s">
        <v>20</v>
      </c>
      <c r="K10" s="31">
        <v>18</v>
      </c>
      <c r="L10" s="31" t="s">
        <v>25</v>
      </c>
      <c r="M10" s="31">
        <v>12</v>
      </c>
      <c r="N10" s="31">
        <v>15</v>
      </c>
      <c r="O10" s="31">
        <v>15</v>
      </c>
      <c r="P10" s="31">
        <v>12</v>
      </c>
      <c r="Q10" s="31">
        <v>15</v>
      </c>
      <c r="R10" s="31">
        <v>15</v>
      </c>
      <c r="S10" s="31">
        <v>15</v>
      </c>
      <c r="T10" s="31">
        <v>18</v>
      </c>
      <c r="U10" s="31" t="s">
        <v>20</v>
      </c>
      <c r="V10" s="31">
        <v>18</v>
      </c>
      <c r="W10" s="31">
        <v>15</v>
      </c>
      <c r="X10" s="31">
        <v>18</v>
      </c>
      <c r="Y10" s="31">
        <v>18</v>
      </c>
      <c r="Z10" s="31">
        <v>15</v>
      </c>
      <c r="AA10" s="31">
        <v>15</v>
      </c>
      <c r="AB10" s="31">
        <v>15</v>
      </c>
      <c r="AC10" s="31">
        <v>15</v>
      </c>
      <c r="AD10" s="31">
        <v>18</v>
      </c>
      <c r="AE10" s="31">
        <v>15</v>
      </c>
      <c r="AF10" s="31">
        <v>18</v>
      </c>
      <c r="AG10" s="31">
        <v>15</v>
      </c>
      <c r="AH10" s="31" t="s">
        <v>25</v>
      </c>
      <c r="AI10" s="31">
        <v>15</v>
      </c>
      <c r="AJ10" s="31">
        <v>15</v>
      </c>
      <c r="AK10" s="31">
        <v>15</v>
      </c>
      <c r="AL10" s="31">
        <v>18</v>
      </c>
      <c r="AM10" s="31" t="s">
        <v>63</v>
      </c>
      <c r="AN10" s="31">
        <v>15</v>
      </c>
      <c r="AO10" s="31">
        <v>18</v>
      </c>
      <c r="AP10" s="31">
        <v>18</v>
      </c>
      <c r="AQ10" s="31">
        <v>18</v>
      </c>
      <c r="AR10" s="31">
        <v>18</v>
      </c>
      <c r="AS10" s="31">
        <v>18</v>
      </c>
      <c r="AT10" s="31">
        <v>15</v>
      </c>
      <c r="AU10" s="31">
        <v>12</v>
      </c>
      <c r="AV10" s="31">
        <v>15</v>
      </c>
      <c r="AW10" s="31">
        <v>15</v>
      </c>
      <c r="AX10" s="31">
        <v>15</v>
      </c>
      <c r="AY10" s="31">
        <v>18</v>
      </c>
      <c r="AZ10" s="31">
        <v>15</v>
      </c>
      <c r="BA10" s="31">
        <v>15</v>
      </c>
      <c r="BB10" s="31" t="s">
        <v>25</v>
      </c>
      <c r="BC10" s="31">
        <v>12</v>
      </c>
      <c r="BD10" s="31">
        <v>15</v>
      </c>
      <c r="BE10" s="31">
        <v>18</v>
      </c>
      <c r="BF10" s="31">
        <v>18</v>
      </c>
      <c r="BG10" s="31">
        <v>18</v>
      </c>
      <c r="BH10" s="31">
        <v>15</v>
      </c>
      <c r="BI10" s="31">
        <v>15</v>
      </c>
      <c r="BJ10" s="31">
        <v>15</v>
      </c>
      <c r="BK10" s="31" t="s">
        <v>20</v>
      </c>
      <c r="BL10" s="31" t="s">
        <v>20</v>
      </c>
      <c r="BM10" s="31">
        <v>15</v>
      </c>
      <c r="BN10" s="31" t="s">
        <v>63</v>
      </c>
      <c r="BO10" s="31" t="s">
        <v>20</v>
      </c>
      <c r="BP10" s="31">
        <v>18</v>
      </c>
      <c r="BQ10" s="31">
        <v>18</v>
      </c>
      <c r="BR10" s="31">
        <v>18</v>
      </c>
      <c r="BS10" s="31">
        <v>15</v>
      </c>
      <c r="BT10" s="31">
        <v>12</v>
      </c>
      <c r="BU10" s="31" t="s">
        <v>20</v>
      </c>
      <c r="BV10" s="31" t="s">
        <v>20</v>
      </c>
      <c r="BW10" s="31">
        <v>15</v>
      </c>
      <c r="BX10" s="31" t="s">
        <v>25</v>
      </c>
      <c r="BY10" s="31" t="s">
        <v>20</v>
      </c>
      <c r="BZ10" s="31" t="s">
        <v>25</v>
      </c>
      <c r="CA10" s="31" t="s">
        <v>25</v>
      </c>
      <c r="CB10" s="31">
        <v>18</v>
      </c>
      <c r="CC10" s="31" t="s">
        <v>25</v>
      </c>
      <c r="CD10" s="31" t="s">
        <v>25</v>
      </c>
      <c r="CE10" s="31" t="s">
        <v>25</v>
      </c>
      <c r="CF10" s="31">
        <v>15</v>
      </c>
      <c r="CG10" s="31">
        <v>15</v>
      </c>
      <c r="CH10" s="31">
        <v>15</v>
      </c>
      <c r="CI10" s="31">
        <v>15</v>
      </c>
      <c r="CJ10" s="31">
        <v>15</v>
      </c>
      <c r="CK10" s="31">
        <v>18</v>
      </c>
      <c r="CL10" s="31">
        <v>15</v>
      </c>
      <c r="CM10" s="31" t="s">
        <v>20</v>
      </c>
      <c r="CN10" s="31">
        <v>18</v>
      </c>
      <c r="CO10" s="31">
        <v>15</v>
      </c>
      <c r="CP10" s="31">
        <v>18</v>
      </c>
      <c r="CQ10" s="31">
        <v>15</v>
      </c>
      <c r="CR10" s="31" t="s">
        <v>25</v>
      </c>
      <c r="CS10" s="31" t="s">
        <v>25</v>
      </c>
      <c r="CT10" s="31" t="s">
        <v>25</v>
      </c>
      <c r="CU10" s="31">
        <v>12</v>
      </c>
      <c r="CV10" s="31" t="s">
        <v>20</v>
      </c>
      <c r="CW10" s="31" t="s">
        <v>20</v>
      </c>
      <c r="CX10" s="31">
        <v>12</v>
      </c>
      <c r="CY10" s="31" t="s">
        <v>25</v>
      </c>
      <c r="CZ10" s="31" t="s">
        <v>20</v>
      </c>
      <c r="DA10" s="31">
        <v>12</v>
      </c>
      <c r="DB10" s="31">
        <v>15</v>
      </c>
      <c r="DC10" s="31" t="s">
        <v>20</v>
      </c>
      <c r="DD10" s="31" t="s">
        <v>20</v>
      </c>
      <c r="DE10" s="31" t="s">
        <v>20</v>
      </c>
      <c r="DF10" s="31" t="s">
        <v>20</v>
      </c>
      <c r="DG10" s="31">
        <v>15</v>
      </c>
      <c r="DH10" s="31">
        <v>15</v>
      </c>
      <c r="DI10" s="31" t="s">
        <v>63</v>
      </c>
      <c r="DJ10" s="31">
        <v>18</v>
      </c>
      <c r="DK10" s="31">
        <v>15</v>
      </c>
      <c r="DL10" s="31">
        <v>18</v>
      </c>
      <c r="DM10" s="31" t="s">
        <v>20</v>
      </c>
      <c r="DN10" s="31" t="s">
        <v>63</v>
      </c>
      <c r="DO10" s="31" t="s">
        <v>20</v>
      </c>
      <c r="DP10" s="31" t="s">
        <v>20</v>
      </c>
      <c r="DQ10" s="31" t="s">
        <v>20</v>
      </c>
      <c r="DR10" s="31" t="s">
        <v>20</v>
      </c>
      <c r="DS10" s="31" t="s">
        <v>20</v>
      </c>
      <c r="DT10" s="31">
        <v>15</v>
      </c>
      <c r="DU10" s="31">
        <v>15</v>
      </c>
      <c r="DV10" s="31" t="s">
        <v>20</v>
      </c>
      <c r="DW10" s="31" t="s">
        <v>20</v>
      </c>
      <c r="DX10" s="31">
        <v>15</v>
      </c>
      <c r="DY10" s="31" t="s">
        <v>20</v>
      </c>
      <c r="DZ10" s="31" t="s">
        <v>25</v>
      </c>
      <c r="EA10" s="31" t="s">
        <v>25</v>
      </c>
      <c r="EB10" s="31" t="s">
        <v>20</v>
      </c>
      <c r="EC10" s="31" t="s">
        <v>25</v>
      </c>
      <c r="ED10" s="31" t="s">
        <v>25</v>
      </c>
      <c r="EE10" s="31" t="s">
        <v>25</v>
      </c>
      <c r="EF10" s="31" t="s">
        <v>20</v>
      </c>
      <c r="EG10" s="31" t="s">
        <v>25</v>
      </c>
      <c r="EH10" s="31" t="s">
        <v>20</v>
      </c>
      <c r="EI10" s="31" t="s">
        <v>20</v>
      </c>
      <c r="EJ10" s="31">
        <v>15</v>
      </c>
      <c r="EK10" s="31">
        <v>15</v>
      </c>
      <c r="EL10" s="31">
        <v>15</v>
      </c>
      <c r="EM10" s="31" t="s">
        <v>20</v>
      </c>
      <c r="EN10" s="31" t="s">
        <v>63</v>
      </c>
      <c r="EO10" s="31" t="s">
        <v>20</v>
      </c>
      <c r="EP10" s="31" t="s">
        <v>20</v>
      </c>
      <c r="EQ10" s="31">
        <v>15</v>
      </c>
      <c r="ER10" s="31">
        <v>15</v>
      </c>
      <c r="ES10" s="31" t="s">
        <v>63</v>
      </c>
      <c r="ET10" s="31">
        <v>18</v>
      </c>
      <c r="EU10" s="31" t="s">
        <v>63</v>
      </c>
      <c r="EV10" s="31" t="s">
        <v>63</v>
      </c>
      <c r="EW10" s="31" t="s">
        <v>20</v>
      </c>
      <c r="EX10" s="31" t="s">
        <v>63</v>
      </c>
      <c r="EY10" s="31">
        <v>15</v>
      </c>
      <c r="EZ10" s="31" t="s">
        <v>63</v>
      </c>
      <c r="FA10" s="31" t="s">
        <v>20</v>
      </c>
      <c r="FB10" s="31" t="s">
        <v>20</v>
      </c>
      <c r="FC10" s="31" t="s">
        <v>63</v>
      </c>
      <c r="FD10" s="31" t="s">
        <v>63</v>
      </c>
      <c r="FE10" s="31" t="s">
        <v>20</v>
      </c>
      <c r="FF10" s="31" t="s">
        <v>63</v>
      </c>
      <c r="FG10" s="31" t="s">
        <v>25</v>
      </c>
      <c r="FH10" s="31">
        <v>15</v>
      </c>
      <c r="FI10" s="31" t="s">
        <v>63</v>
      </c>
      <c r="FJ10" s="31" t="s">
        <v>20</v>
      </c>
      <c r="FK10" s="31" t="s">
        <v>20</v>
      </c>
      <c r="FL10" s="31" t="s">
        <v>20</v>
      </c>
      <c r="FM10" s="31" t="s">
        <v>20</v>
      </c>
      <c r="FN10" s="31" t="s">
        <v>63</v>
      </c>
      <c r="FO10" s="31">
        <v>15</v>
      </c>
      <c r="FP10" s="31">
        <v>15</v>
      </c>
      <c r="FQ10" s="31">
        <v>12</v>
      </c>
      <c r="FR10" s="31">
        <v>18</v>
      </c>
      <c r="FS10" s="31">
        <v>18</v>
      </c>
      <c r="FT10" s="31">
        <v>15</v>
      </c>
      <c r="FU10" s="31">
        <v>15</v>
      </c>
      <c r="FV10" s="31">
        <v>18</v>
      </c>
      <c r="FW10" s="31">
        <v>15</v>
      </c>
      <c r="FX10" s="31">
        <v>15</v>
      </c>
      <c r="FY10" s="31">
        <v>15</v>
      </c>
      <c r="FZ10" s="31" t="s">
        <v>25</v>
      </c>
      <c r="GA10" s="31" t="s">
        <v>20</v>
      </c>
      <c r="GB10" s="31">
        <v>15</v>
      </c>
      <c r="GC10" s="31">
        <v>18</v>
      </c>
      <c r="GD10" s="31">
        <v>15</v>
      </c>
      <c r="GE10" s="31">
        <v>18</v>
      </c>
      <c r="GF10" s="31">
        <v>15</v>
      </c>
      <c r="GG10" s="31">
        <v>15</v>
      </c>
      <c r="GH10" s="31">
        <v>15</v>
      </c>
      <c r="GI10" s="31">
        <v>15</v>
      </c>
      <c r="GJ10" s="31" t="s">
        <v>20</v>
      </c>
      <c r="GK10" s="31">
        <v>15</v>
      </c>
      <c r="GL10" s="31">
        <v>15</v>
      </c>
      <c r="GM10" s="31">
        <v>18</v>
      </c>
      <c r="GN10" s="31">
        <v>15</v>
      </c>
      <c r="GO10" s="31">
        <v>15</v>
      </c>
      <c r="GP10" s="31">
        <v>18</v>
      </c>
      <c r="GQ10" s="31">
        <v>18</v>
      </c>
      <c r="GR10" s="31" t="s">
        <v>20</v>
      </c>
      <c r="GS10" s="31" t="s">
        <v>20</v>
      </c>
      <c r="GT10" s="31" t="s">
        <v>20</v>
      </c>
      <c r="GU10" s="31" t="s">
        <v>20</v>
      </c>
      <c r="GV10" s="31">
        <v>18</v>
      </c>
      <c r="GW10" s="31" t="s">
        <v>20</v>
      </c>
      <c r="GX10" s="31">
        <v>18</v>
      </c>
      <c r="GY10" s="31" t="s">
        <v>63</v>
      </c>
      <c r="GZ10" s="31" t="s">
        <v>63</v>
      </c>
      <c r="HA10" s="31" t="s">
        <v>25</v>
      </c>
      <c r="HB10" s="31" t="s">
        <v>25</v>
      </c>
      <c r="HC10" s="31">
        <v>15</v>
      </c>
      <c r="HD10" s="31" t="s">
        <v>25</v>
      </c>
      <c r="HE10" s="31">
        <v>12</v>
      </c>
      <c r="HF10" s="31">
        <v>15</v>
      </c>
      <c r="HG10" s="31">
        <v>18</v>
      </c>
      <c r="HH10" s="31">
        <v>18</v>
      </c>
      <c r="HI10" s="31">
        <v>15</v>
      </c>
      <c r="HJ10" s="31" t="s">
        <v>25</v>
      </c>
      <c r="HK10" s="31">
        <v>18</v>
      </c>
      <c r="HL10" s="31" t="s">
        <v>25</v>
      </c>
      <c r="HM10" s="31">
        <v>12</v>
      </c>
      <c r="HN10" s="31">
        <v>15</v>
      </c>
      <c r="HO10" s="31" t="s">
        <v>25</v>
      </c>
      <c r="HP10" s="31" t="s">
        <v>25</v>
      </c>
      <c r="HQ10" s="31" t="s">
        <v>25</v>
      </c>
      <c r="HR10" s="31" t="s">
        <v>25</v>
      </c>
      <c r="HS10" s="31">
        <v>18</v>
      </c>
      <c r="HT10" s="31">
        <v>15</v>
      </c>
      <c r="HU10" s="31" t="s">
        <v>25</v>
      </c>
      <c r="HV10" s="31">
        <v>15</v>
      </c>
      <c r="HW10" s="31">
        <v>15</v>
      </c>
      <c r="HX10" s="31" t="s">
        <v>63</v>
      </c>
      <c r="HY10" s="31" t="s">
        <v>20</v>
      </c>
      <c r="HZ10" s="31" t="s">
        <v>20</v>
      </c>
      <c r="IA10" s="31" t="s">
        <v>20</v>
      </c>
      <c r="IB10" s="31" t="s">
        <v>25</v>
      </c>
      <c r="IC10" s="31" t="s">
        <v>25</v>
      </c>
      <c r="ID10" s="31">
        <v>12</v>
      </c>
      <c r="IE10" s="31" t="s">
        <v>20</v>
      </c>
      <c r="IF10" s="31">
        <v>12</v>
      </c>
      <c r="IG10" s="31">
        <v>12</v>
      </c>
      <c r="IH10" s="31" t="s">
        <v>25</v>
      </c>
      <c r="II10" s="31" t="s">
        <v>25</v>
      </c>
      <c r="IJ10" s="31" t="s">
        <v>63</v>
      </c>
      <c r="IK10" s="31" t="s">
        <v>25</v>
      </c>
      <c r="IL10" s="31">
        <v>15</v>
      </c>
      <c r="IM10" s="31" t="s">
        <v>63</v>
      </c>
      <c r="IN10" s="31">
        <v>15</v>
      </c>
      <c r="IO10" s="31" t="s">
        <v>25</v>
      </c>
      <c r="IP10" s="31" t="s">
        <v>20</v>
      </c>
      <c r="IQ10" s="31" t="s">
        <v>25</v>
      </c>
      <c r="IR10" s="31">
        <v>15</v>
      </c>
      <c r="IS10" s="31">
        <v>12</v>
      </c>
      <c r="IT10" s="31" t="s">
        <v>20</v>
      </c>
      <c r="IU10" s="31" t="s">
        <v>25</v>
      </c>
      <c r="IV10" s="31" t="s">
        <v>25</v>
      </c>
      <c r="IW10" s="31" t="s">
        <v>25</v>
      </c>
      <c r="IX10" s="31" t="s">
        <v>20</v>
      </c>
      <c r="IY10" s="31">
        <v>15</v>
      </c>
      <c r="IZ10" s="31" t="s">
        <v>25</v>
      </c>
      <c r="JA10" s="31" t="s">
        <v>25</v>
      </c>
      <c r="JB10" s="31" t="s">
        <v>25</v>
      </c>
      <c r="JC10" s="31">
        <v>15</v>
      </c>
      <c r="JD10" s="31" t="s">
        <v>25</v>
      </c>
      <c r="JE10" s="31" t="s">
        <v>25</v>
      </c>
      <c r="JF10" s="31">
        <v>12</v>
      </c>
      <c r="JG10" s="31">
        <v>15</v>
      </c>
      <c r="JH10" s="31">
        <v>12</v>
      </c>
      <c r="JI10" s="31" t="s">
        <v>25</v>
      </c>
      <c r="JJ10" s="31">
        <v>15</v>
      </c>
      <c r="JK10" s="31">
        <v>15</v>
      </c>
      <c r="JL10" s="31" t="s">
        <v>20</v>
      </c>
      <c r="JM10" s="31" t="s">
        <v>63</v>
      </c>
      <c r="JN10" s="31" t="s">
        <v>63</v>
      </c>
      <c r="JO10" s="31" t="s">
        <v>25</v>
      </c>
      <c r="JP10" s="31">
        <v>15</v>
      </c>
      <c r="JQ10" s="31">
        <v>12</v>
      </c>
      <c r="JR10" s="31">
        <v>15</v>
      </c>
      <c r="JS10" s="31" t="s">
        <v>20</v>
      </c>
      <c r="JT10" s="31">
        <v>15</v>
      </c>
      <c r="JU10" s="31">
        <v>15</v>
      </c>
      <c r="JV10" s="31" t="s">
        <v>25</v>
      </c>
      <c r="JW10" s="31">
        <v>15</v>
      </c>
      <c r="JX10" s="31" t="s">
        <v>25</v>
      </c>
      <c r="JY10" s="31">
        <v>12</v>
      </c>
      <c r="JZ10" s="31">
        <v>15</v>
      </c>
      <c r="KA10" s="31" t="s">
        <v>25</v>
      </c>
      <c r="KB10" s="31">
        <v>18</v>
      </c>
      <c r="KC10" s="31">
        <v>15</v>
      </c>
      <c r="KD10" s="31">
        <v>15</v>
      </c>
      <c r="KE10" s="31">
        <v>15</v>
      </c>
      <c r="KF10" s="31">
        <v>18</v>
      </c>
      <c r="KG10" s="31">
        <v>15</v>
      </c>
      <c r="KH10" s="31" t="s">
        <v>25</v>
      </c>
      <c r="KI10" s="31">
        <v>12</v>
      </c>
      <c r="KJ10" s="31" t="s">
        <v>20</v>
      </c>
      <c r="KK10" s="31">
        <v>18</v>
      </c>
      <c r="KL10" s="31">
        <v>15</v>
      </c>
      <c r="KM10" s="31" t="s">
        <v>25</v>
      </c>
      <c r="KN10" s="31" t="s">
        <v>25</v>
      </c>
      <c r="KO10" s="31">
        <v>15</v>
      </c>
      <c r="KP10" s="31">
        <v>12</v>
      </c>
      <c r="KQ10" s="31" t="s">
        <v>25</v>
      </c>
      <c r="KR10" s="31" t="s">
        <v>25</v>
      </c>
      <c r="KS10" s="31" t="s">
        <v>25</v>
      </c>
      <c r="KT10" s="31" t="s">
        <v>20</v>
      </c>
      <c r="KU10" s="31">
        <v>12</v>
      </c>
      <c r="KV10" s="31">
        <v>15</v>
      </c>
      <c r="KW10" s="31">
        <v>12</v>
      </c>
      <c r="KX10" s="31">
        <v>15</v>
      </c>
      <c r="KY10" s="31">
        <v>15</v>
      </c>
      <c r="KZ10" s="31">
        <v>12</v>
      </c>
      <c r="LA10" s="31">
        <v>12</v>
      </c>
      <c r="LB10" s="31" t="s">
        <v>25</v>
      </c>
      <c r="LC10" s="31">
        <v>15</v>
      </c>
      <c r="LD10" s="31">
        <v>15</v>
      </c>
      <c r="LE10" s="31">
        <v>12</v>
      </c>
      <c r="LF10" s="31" t="s">
        <v>25</v>
      </c>
      <c r="LG10" s="31" t="s">
        <v>20</v>
      </c>
      <c r="LH10" s="31">
        <v>15</v>
      </c>
      <c r="LI10" s="31">
        <v>15</v>
      </c>
      <c r="LJ10" s="31" t="s">
        <v>25</v>
      </c>
      <c r="LK10" s="31" t="s">
        <v>63</v>
      </c>
      <c r="LL10" s="31" t="s">
        <v>63</v>
      </c>
      <c r="LM10" s="31">
        <v>15</v>
      </c>
      <c r="LN10" s="31" t="s">
        <v>20</v>
      </c>
      <c r="LO10" s="31" t="s">
        <v>20</v>
      </c>
      <c r="LP10" s="31">
        <v>15</v>
      </c>
      <c r="LQ10" s="31">
        <v>15</v>
      </c>
      <c r="LR10" s="31">
        <v>15</v>
      </c>
      <c r="LS10" s="31">
        <v>18</v>
      </c>
      <c r="LT10" s="31" t="s">
        <v>20</v>
      </c>
      <c r="LU10" s="31">
        <v>15</v>
      </c>
      <c r="LV10" s="31">
        <v>18</v>
      </c>
      <c r="LW10" s="31">
        <v>15</v>
      </c>
      <c r="LX10" s="31">
        <v>18</v>
      </c>
      <c r="LY10" s="31">
        <v>15</v>
      </c>
      <c r="LZ10" s="31">
        <v>12</v>
      </c>
      <c r="MA10" s="31">
        <v>15</v>
      </c>
      <c r="MB10" s="31" t="s">
        <v>20</v>
      </c>
      <c r="MC10" s="31">
        <v>18</v>
      </c>
      <c r="MD10" s="31" t="s">
        <v>25</v>
      </c>
      <c r="ME10" s="31" t="s">
        <v>25</v>
      </c>
      <c r="MF10" s="31">
        <v>15</v>
      </c>
      <c r="MG10" s="31" t="s">
        <v>25</v>
      </c>
      <c r="MH10" s="31">
        <v>15</v>
      </c>
      <c r="MI10" s="31" t="s">
        <v>25</v>
      </c>
      <c r="MJ10" s="31" t="s">
        <v>20</v>
      </c>
      <c r="MK10" s="31">
        <v>15</v>
      </c>
      <c r="ML10" s="31" t="s">
        <v>25</v>
      </c>
      <c r="MM10" s="31">
        <v>18</v>
      </c>
      <c r="MN10" s="31">
        <v>15</v>
      </c>
      <c r="MO10" s="31">
        <v>18</v>
      </c>
      <c r="MP10" s="31">
        <v>18</v>
      </c>
      <c r="MQ10" s="31">
        <v>12</v>
      </c>
      <c r="MR10" s="31">
        <v>18</v>
      </c>
      <c r="MS10" s="31">
        <v>18</v>
      </c>
      <c r="MT10" s="31">
        <v>15</v>
      </c>
      <c r="MU10" s="31">
        <v>18</v>
      </c>
      <c r="MV10" s="31" t="s">
        <v>20</v>
      </c>
      <c r="MW10" s="31" t="s">
        <v>63</v>
      </c>
      <c r="MX10" s="31" t="s">
        <v>25</v>
      </c>
      <c r="MY10" s="31" t="s">
        <v>20</v>
      </c>
      <c r="MZ10" s="31">
        <v>12</v>
      </c>
      <c r="NA10" s="31">
        <v>18</v>
      </c>
      <c r="NB10" s="31">
        <v>15</v>
      </c>
      <c r="NC10" s="31">
        <v>12</v>
      </c>
      <c r="ND10" s="31" t="s">
        <v>25</v>
      </c>
      <c r="NE10" s="31">
        <v>12</v>
      </c>
      <c r="NF10" s="31">
        <v>18</v>
      </c>
      <c r="NG10" s="31">
        <v>15</v>
      </c>
      <c r="NH10" s="31" t="s">
        <v>20</v>
      </c>
      <c r="NI10" s="31" t="s">
        <v>20</v>
      </c>
      <c r="NJ10" s="31">
        <v>18</v>
      </c>
      <c r="NK10" s="31">
        <v>15</v>
      </c>
      <c r="NL10" s="31" t="s">
        <v>20</v>
      </c>
      <c r="NM10" s="31" t="s">
        <v>20</v>
      </c>
      <c r="NN10" s="31" t="s">
        <v>63</v>
      </c>
      <c r="NO10" s="31">
        <v>15</v>
      </c>
      <c r="NP10" s="31">
        <v>15</v>
      </c>
      <c r="NQ10" s="31" t="s">
        <v>63</v>
      </c>
      <c r="NR10" s="31">
        <v>18</v>
      </c>
      <c r="NS10" s="31">
        <v>15</v>
      </c>
      <c r="NT10" s="31">
        <v>15</v>
      </c>
      <c r="NU10" s="31" t="s">
        <v>25</v>
      </c>
      <c r="NV10" s="31">
        <v>18</v>
      </c>
      <c r="NW10" s="31" t="s">
        <v>20</v>
      </c>
      <c r="NX10" s="31" t="s">
        <v>20</v>
      </c>
      <c r="NY10" s="31" t="s">
        <v>20</v>
      </c>
      <c r="NZ10" s="31">
        <v>12</v>
      </c>
      <c r="OA10" s="31">
        <v>15</v>
      </c>
      <c r="OB10" s="31">
        <v>15</v>
      </c>
      <c r="OC10" s="31" t="s">
        <v>20</v>
      </c>
      <c r="OD10" s="31" t="s">
        <v>20</v>
      </c>
      <c r="OE10" s="31">
        <v>18</v>
      </c>
      <c r="OF10" s="31" t="s">
        <v>25</v>
      </c>
      <c r="OG10" s="31">
        <v>15</v>
      </c>
      <c r="OH10" s="31">
        <v>12</v>
      </c>
      <c r="OI10" s="31">
        <v>18</v>
      </c>
      <c r="OJ10" s="31">
        <v>18</v>
      </c>
      <c r="OK10" s="31">
        <v>15</v>
      </c>
      <c r="OL10" s="31">
        <v>15</v>
      </c>
      <c r="OM10" s="31" t="s">
        <v>25</v>
      </c>
      <c r="ON10" s="31">
        <v>18</v>
      </c>
      <c r="OO10" s="31" t="s">
        <v>20</v>
      </c>
      <c r="OP10" s="31" t="s">
        <v>20</v>
      </c>
      <c r="OQ10" s="31" t="s">
        <v>63</v>
      </c>
      <c r="OR10" s="31">
        <v>15</v>
      </c>
      <c r="OS10" s="31">
        <v>18</v>
      </c>
      <c r="OT10" s="31" t="s">
        <v>20</v>
      </c>
      <c r="OU10" s="31" t="s">
        <v>20</v>
      </c>
      <c r="OV10" s="31">
        <v>15</v>
      </c>
      <c r="OW10" s="31" t="s">
        <v>20</v>
      </c>
      <c r="OX10" s="31">
        <v>18</v>
      </c>
      <c r="OY10" s="31">
        <v>18</v>
      </c>
      <c r="OZ10" s="31">
        <v>18</v>
      </c>
      <c r="PA10" s="31">
        <v>15</v>
      </c>
      <c r="PB10" s="31">
        <v>18</v>
      </c>
      <c r="PC10" s="31">
        <v>18</v>
      </c>
      <c r="PD10" s="31">
        <v>15</v>
      </c>
      <c r="PE10" s="31">
        <v>15</v>
      </c>
      <c r="PF10" s="31" t="s">
        <v>25</v>
      </c>
      <c r="PG10" s="31">
        <v>15</v>
      </c>
      <c r="PH10" s="31" t="s">
        <v>20</v>
      </c>
      <c r="PI10" s="31">
        <v>15</v>
      </c>
      <c r="PJ10" s="31">
        <v>12</v>
      </c>
      <c r="PK10" s="31" t="s">
        <v>63</v>
      </c>
      <c r="PL10" s="31" t="s">
        <v>63</v>
      </c>
      <c r="PM10" s="31" t="s">
        <v>20</v>
      </c>
      <c r="PN10" s="31">
        <v>18</v>
      </c>
      <c r="PO10" s="31">
        <v>18</v>
      </c>
      <c r="PP10" s="31">
        <v>18</v>
      </c>
      <c r="PQ10" s="31" t="s">
        <v>20</v>
      </c>
      <c r="PR10" s="31">
        <v>15</v>
      </c>
      <c r="PS10" s="31">
        <v>15</v>
      </c>
      <c r="PT10" s="31" t="s">
        <v>63</v>
      </c>
      <c r="PU10" s="31">
        <v>18</v>
      </c>
      <c r="PV10" s="31">
        <v>15</v>
      </c>
      <c r="PW10" s="31" t="s">
        <v>20</v>
      </c>
      <c r="PX10" s="31">
        <v>18</v>
      </c>
      <c r="PY10" s="31" t="s">
        <v>20</v>
      </c>
      <c r="PZ10" s="31" t="s">
        <v>25</v>
      </c>
      <c r="QA10" s="31" t="s">
        <v>25</v>
      </c>
      <c r="QB10" s="31" t="s">
        <v>25</v>
      </c>
      <c r="QC10" s="31" t="s">
        <v>25</v>
      </c>
      <c r="QD10" s="31" t="s">
        <v>20</v>
      </c>
      <c r="QE10" s="31" t="s">
        <v>25</v>
      </c>
      <c r="QF10" s="31" t="s">
        <v>25</v>
      </c>
      <c r="QG10" s="31" t="s">
        <v>25</v>
      </c>
      <c r="QH10" s="31" t="s">
        <v>25</v>
      </c>
      <c r="QI10" s="31" t="s">
        <v>25</v>
      </c>
      <c r="QJ10" s="31" t="s">
        <v>25</v>
      </c>
      <c r="QK10" s="31" t="s">
        <v>20</v>
      </c>
      <c r="QL10" s="31" t="s">
        <v>25</v>
      </c>
      <c r="QM10" s="31" t="s">
        <v>63</v>
      </c>
      <c r="QN10" s="31" t="s">
        <v>25</v>
      </c>
      <c r="QO10" s="31" t="s">
        <v>25</v>
      </c>
      <c r="QP10" s="31" t="s">
        <v>63</v>
      </c>
      <c r="QQ10" s="31" t="s">
        <v>25</v>
      </c>
      <c r="QR10" s="31" t="s">
        <v>25</v>
      </c>
      <c r="QS10" s="31" t="s">
        <v>25</v>
      </c>
      <c r="QT10" s="31" t="s">
        <v>25</v>
      </c>
      <c r="QU10" s="31" t="s">
        <v>25</v>
      </c>
      <c r="QV10" s="31" t="s">
        <v>63</v>
      </c>
      <c r="QW10" s="31" t="s">
        <v>25</v>
      </c>
      <c r="QX10" s="31" t="s">
        <v>25</v>
      </c>
      <c r="QY10" s="31" t="s">
        <v>20</v>
      </c>
      <c r="QZ10" s="31" t="s">
        <v>25</v>
      </c>
      <c r="RA10" s="31" t="s">
        <v>20</v>
      </c>
      <c r="RB10" s="31" t="s">
        <v>25</v>
      </c>
      <c r="RC10" s="31" t="s">
        <v>25</v>
      </c>
      <c r="RD10" s="31" t="s">
        <v>25</v>
      </c>
      <c r="RE10" s="31" t="s">
        <v>25</v>
      </c>
      <c r="RF10" s="31" t="s">
        <v>20</v>
      </c>
      <c r="RG10" s="31" t="s">
        <v>25</v>
      </c>
      <c r="RH10" s="31">
        <v>15</v>
      </c>
      <c r="RI10" s="31" t="s">
        <v>63</v>
      </c>
      <c r="RJ10" s="31" t="s">
        <v>63</v>
      </c>
      <c r="RK10" s="31" t="s">
        <v>63</v>
      </c>
      <c r="RL10" s="31" t="s">
        <v>25</v>
      </c>
      <c r="RM10" s="31" t="s">
        <v>63</v>
      </c>
      <c r="RN10" s="31" t="s">
        <v>25</v>
      </c>
      <c r="RO10" s="31" t="s">
        <v>25</v>
      </c>
      <c r="RP10" s="31" t="s">
        <v>20</v>
      </c>
      <c r="RQ10" s="31" t="s">
        <v>63</v>
      </c>
      <c r="RR10" s="31" t="s">
        <v>20</v>
      </c>
      <c r="RS10" s="31" t="s">
        <v>25</v>
      </c>
      <c r="RT10" s="31" t="s">
        <v>63</v>
      </c>
      <c r="RU10" s="31" t="s">
        <v>25</v>
      </c>
      <c r="RV10" s="31" t="s">
        <v>25</v>
      </c>
      <c r="RW10" s="31" t="s">
        <v>63</v>
      </c>
      <c r="RX10" s="31" t="s">
        <v>25</v>
      </c>
      <c r="RY10" s="31">
        <v>15</v>
      </c>
      <c r="RZ10" s="31">
        <v>15</v>
      </c>
      <c r="SA10" s="31" t="s">
        <v>25</v>
      </c>
      <c r="SB10" s="31" t="s">
        <v>20</v>
      </c>
      <c r="SC10" s="31" t="s">
        <v>25</v>
      </c>
      <c r="SD10" s="31" t="s">
        <v>20</v>
      </c>
      <c r="SE10" s="31" t="s">
        <v>25</v>
      </c>
      <c r="SF10" s="31" t="s">
        <v>63</v>
      </c>
      <c r="SG10" s="31" t="s">
        <v>20</v>
      </c>
      <c r="SH10" s="31">
        <v>15</v>
      </c>
      <c r="SI10" s="31" t="s">
        <v>63</v>
      </c>
      <c r="SJ10" s="31" t="s">
        <v>20</v>
      </c>
      <c r="SK10" s="31" t="s">
        <v>20</v>
      </c>
      <c r="SL10" s="31" t="s">
        <v>63</v>
      </c>
      <c r="SM10" s="31" t="s">
        <v>25</v>
      </c>
      <c r="SN10" s="31" t="s">
        <v>63</v>
      </c>
      <c r="SO10" s="31" t="s">
        <v>25</v>
      </c>
      <c r="SP10" s="31" t="s">
        <v>63</v>
      </c>
      <c r="SQ10" s="31" t="s">
        <v>63</v>
      </c>
      <c r="SR10" s="31" t="s">
        <v>25</v>
      </c>
      <c r="SS10" s="31">
        <v>15</v>
      </c>
      <c r="ST10" s="31" t="s">
        <v>25</v>
      </c>
      <c r="SU10" s="31" t="s">
        <v>63</v>
      </c>
      <c r="SV10" s="31">
        <v>12</v>
      </c>
      <c r="SW10" s="31" t="s">
        <v>20</v>
      </c>
      <c r="SX10" s="31">
        <v>18</v>
      </c>
      <c r="SY10" s="31">
        <v>12</v>
      </c>
      <c r="SZ10" s="31" t="s">
        <v>20</v>
      </c>
      <c r="TA10" s="31" t="s">
        <v>20</v>
      </c>
      <c r="TB10" s="31">
        <v>12</v>
      </c>
      <c r="TC10" s="31">
        <v>15</v>
      </c>
      <c r="TD10" s="31" t="s">
        <v>63</v>
      </c>
      <c r="TE10" s="31" t="s">
        <v>63</v>
      </c>
      <c r="TF10" s="31">
        <v>12</v>
      </c>
      <c r="TG10" s="31">
        <v>12</v>
      </c>
      <c r="TH10" s="31" t="s">
        <v>20</v>
      </c>
      <c r="TI10" s="31">
        <v>15</v>
      </c>
      <c r="TJ10" s="31" t="s">
        <v>63</v>
      </c>
      <c r="TK10" s="31" t="s">
        <v>63</v>
      </c>
      <c r="TL10" s="31" t="s">
        <v>20</v>
      </c>
      <c r="TM10" s="31" t="s">
        <v>20</v>
      </c>
      <c r="TN10" s="31">
        <v>15</v>
      </c>
      <c r="TO10" s="31">
        <v>12</v>
      </c>
      <c r="TP10" s="31">
        <v>12</v>
      </c>
      <c r="TQ10" s="31" t="s">
        <v>20</v>
      </c>
      <c r="TR10" s="31" t="s">
        <v>63</v>
      </c>
      <c r="TS10" s="31" t="s">
        <v>63</v>
      </c>
      <c r="TT10" s="31">
        <v>15</v>
      </c>
      <c r="TU10" s="31">
        <v>12</v>
      </c>
      <c r="TV10" s="31">
        <v>15</v>
      </c>
      <c r="TW10" s="31">
        <v>15</v>
      </c>
      <c r="TX10" s="31" t="s">
        <v>20</v>
      </c>
      <c r="TY10" s="31" t="s">
        <v>63</v>
      </c>
      <c r="TZ10" s="31">
        <v>12</v>
      </c>
      <c r="UA10" s="31" t="s">
        <v>20</v>
      </c>
      <c r="UB10" s="31" t="s">
        <v>20</v>
      </c>
      <c r="UC10" s="31" t="s">
        <v>63</v>
      </c>
      <c r="UD10" s="31" t="s">
        <v>20</v>
      </c>
      <c r="UE10" s="31">
        <v>15</v>
      </c>
      <c r="UF10" s="31" t="s">
        <v>63</v>
      </c>
      <c r="UG10" s="31">
        <v>12</v>
      </c>
      <c r="UH10" s="31">
        <v>18</v>
      </c>
      <c r="UI10" s="31">
        <v>18</v>
      </c>
      <c r="UJ10" s="31">
        <v>12</v>
      </c>
      <c r="UK10" s="31">
        <v>15</v>
      </c>
      <c r="UL10" s="31">
        <v>15</v>
      </c>
      <c r="UM10" s="31" t="s">
        <v>20</v>
      </c>
      <c r="UN10" s="31">
        <v>12</v>
      </c>
      <c r="UO10" s="31">
        <v>12</v>
      </c>
      <c r="UP10" s="31" t="s">
        <v>63</v>
      </c>
      <c r="UQ10" s="31">
        <v>15</v>
      </c>
      <c r="UR10" s="31" t="s">
        <v>20</v>
      </c>
      <c r="US10" s="31">
        <v>18</v>
      </c>
      <c r="UT10" s="31" t="s">
        <v>20</v>
      </c>
      <c r="UU10" s="31">
        <v>15</v>
      </c>
      <c r="UV10" s="31" t="s">
        <v>20</v>
      </c>
      <c r="UW10" s="31">
        <v>18</v>
      </c>
      <c r="UX10" s="31" t="s">
        <v>20</v>
      </c>
      <c r="UY10" s="31" t="s">
        <v>63</v>
      </c>
      <c r="UZ10" s="31" t="s">
        <v>63</v>
      </c>
      <c r="VA10" s="31">
        <v>18</v>
      </c>
      <c r="VB10" s="31">
        <v>15</v>
      </c>
      <c r="VC10" s="31" t="s">
        <v>20</v>
      </c>
      <c r="VD10" s="31">
        <v>18</v>
      </c>
      <c r="VE10" s="31">
        <v>12</v>
      </c>
      <c r="VF10" s="31">
        <v>12</v>
      </c>
      <c r="VG10" s="31">
        <v>12</v>
      </c>
      <c r="VH10" s="31" t="s">
        <v>20</v>
      </c>
      <c r="VI10" s="31">
        <v>15</v>
      </c>
      <c r="VJ10" s="31" t="s">
        <v>20</v>
      </c>
      <c r="VK10" s="31">
        <v>12</v>
      </c>
      <c r="VL10" s="31">
        <v>12</v>
      </c>
      <c r="VM10" s="31" t="s">
        <v>20</v>
      </c>
      <c r="VN10" s="31" t="s">
        <v>63</v>
      </c>
      <c r="VO10" s="31" t="s">
        <v>20</v>
      </c>
      <c r="VP10" s="31" t="s">
        <v>63</v>
      </c>
      <c r="VQ10" s="31">
        <v>18</v>
      </c>
      <c r="VR10" s="31">
        <v>15</v>
      </c>
      <c r="VS10" s="31">
        <v>15</v>
      </c>
      <c r="VT10" s="31">
        <v>12</v>
      </c>
      <c r="VU10" s="31">
        <v>15</v>
      </c>
      <c r="VV10" s="31">
        <v>15</v>
      </c>
      <c r="VW10" s="31">
        <v>15</v>
      </c>
      <c r="VX10" s="31" t="s">
        <v>20</v>
      </c>
      <c r="VY10" s="31">
        <v>18</v>
      </c>
      <c r="VZ10" s="31">
        <v>15</v>
      </c>
      <c r="WA10" s="31">
        <v>15</v>
      </c>
      <c r="WB10" s="31" t="s">
        <v>20</v>
      </c>
      <c r="WC10" s="31" t="s">
        <v>20</v>
      </c>
      <c r="WD10" s="31">
        <v>15</v>
      </c>
      <c r="WE10" s="31">
        <v>18</v>
      </c>
      <c r="WF10" s="31">
        <v>15</v>
      </c>
      <c r="WG10" s="31">
        <v>15</v>
      </c>
      <c r="WH10" s="31" t="s">
        <v>20</v>
      </c>
      <c r="WI10" s="31" t="s">
        <v>20</v>
      </c>
      <c r="WJ10" s="31">
        <v>15</v>
      </c>
      <c r="WK10" s="31">
        <v>15</v>
      </c>
      <c r="WL10" s="31" t="s">
        <v>20</v>
      </c>
      <c r="WM10" s="31">
        <v>15</v>
      </c>
      <c r="WN10" s="31" t="s">
        <v>20</v>
      </c>
      <c r="WO10" s="31" t="s">
        <v>20</v>
      </c>
      <c r="WP10" s="31" t="s">
        <v>20</v>
      </c>
      <c r="WQ10" s="31" t="s">
        <v>20</v>
      </c>
      <c r="WR10" s="31" t="s">
        <v>20</v>
      </c>
      <c r="WS10" s="31">
        <v>15</v>
      </c>
      <c r="WT10" s="31">
        <v>15</v>
      </c>
      <c r="WU10" s="31" t="s">
        <v>20</v>
      </c>
      <c r="WV10" s="31">
        <v>15</v>
      </c>
      <c r="WW10" s="31">
        <v>15</v>
      </c>
      <c r="WX10" s="31">
        <v>12</v>
      </c>
      <c r="WY10" s="31">
        <v>15</v>
      </c>
      <c r="WZ10" s="31">
        <v>15</v>
      </c>
      <c r="XA10" s="31">
        <v>15</v>
      </c>
      <c r="XB10" s="31" t="s">
        <v>20</v>
      </c>
      <c r="XC10" s="31">
        <v>18</v>
      </c>
      <c r="XD10" s="31" t="s">
        <v>20</v>
      </c>
      <c r="XE10" s="31">
        <v>15</v>
      </c>
      <c r="XF10" s="31">
        <v>15</v>
      </c>
      <c r="XG10" s="31" t="s">
        <v>20</v>
      </c>
      <c r="XH10" s="31">
        <v>18</v>
      </c>
      <c r="XI10" s="31">
        <v>15</v>
      </c>
      <c r="XJ10" s="31" t="s">
        <v>63</v>
      </c>
      <c r="XK10" s="31">
        <v>15</v>
      </c>
      <c r="XL10" s="31" t="s">
        <v>20</v>
      </c>
      <c r="XM10" s="31" t="s">
        <v>63</v>
      </c>
      <c r="XN10" s="31">
        <v>15</v>
      </c>
      <c r="XO10" s="31">
        <v>15</v>
      </c>
      <c r="XP10" s="31" t="s">
        <v>20</v>
      </c>
      <c r="XQ10" s="31">
        <v>15</v>
      </c>
      <c r="XR10" s="31" t="s">
        <v>20</v>
      </c>
      <c r="XS10" s="31">
        <v>15</v>
      </c>
      <c r="XT10" s="31" t="s">
        <v>20</v>
      </c>
      <c r="XU10" s="31">
        <v>15</v>
      </c>
      <c r="XV10" s="31" t="s">
        <v>20</v>
      </c>
      <c r="XW10" s="31">
        <v>18</v>
      </c>
      <c r="XX10" s="31">
        <v>18</v>
      </c>
      <c r="XY10" s="31">
        <v>15</v>
      </c>
      <c r="XZ10" s="31" t="s">
        <v>63</v>
      </c>
      <c r="YA10" s="31" t="s">
        <v>20</v>
      </c>
      <c r="YB10" s="31">
        <v>15</v>
      </c>
      <c r="YC10" s="31">
        <v>15</v>
      </c>
      <c r="YD10" s="31" t="s">
        <v>20</v>
      </c>
      <c r="YE10" s="31">
        <v>18</v>
      </c>
      <c r="YF10" s="31">
        <v>18</v>
      </c>
      <c r="YG10" s="31" t="s">
        <v>20</v>
      </c>
      <c r="YH10" s="31" t="s">
        <v>20</v>
      </c>
      <c r="YI10" s="31">
        <v>18</v>
      </c>
      <c r="YJ10" s="31">
        <v>15</v>
      </c>
      <c r="YK10" s="31">
        <v>15</v>
      </c>
      <c r="YL10" s="31" t="s">
        <v>20</v>
      </c>
      <c r="YM10" s="31">
        <v>15</v>
      </c>
      <c r="YN10" s="31">
        <v>18</v>
      </c>
      <c r="YO10" s="31" t="s">
        <v>20</v>
      </c>
      <c r="YP10" s="31">
        <v>18</v>
      </c>
      <c r="YQ10" s="31" t="s">
        <v>20</v>
      </c>
      <c r="YR10" s="31" t="s">
        <v>20</v>
      </c>
      <c r="YS10" s="31">
        <v>18</v>
      </c>
      <c r="YT10" s="31">
        <v>15</v>
      </c>
      <c r="YU10" s="31">
        <v>18</v>
      </c>
      <c r="YV10" s="31">
        <v>15</v>
      </c>
      <c r="YW10" s="31">
        <v>15</v>
      </c>
      <c r="YX10" s="31">
        <v>15</v>
      </c>
      <c r="YY10" s="31" t="s">
        <v>20</v>
      </c>
      <c r="YZ10" s="31">
        <v>18</v>
      </c>
      <c r="ZA10" s="31" t="s">
        <v>20</v>
      </c>
      <c r="ZB10" s="31">
        <v>15</v>
      </c>
      <c r="ZC10" s="31" t="s">
        <v>20</v>
      </c>
      <c r="ZD10" s="31">
        <v>18</v>
      </c>
      <c r="ZE10" s="31" t="s">
        <v>20</v>
      </c>
      <c r="ZF10" s="31">
        <v>15</v>
      </c>
      <c r="ZG10" s="31" t="s">
        <v>63</v>
      </c>
      <c r="ZH10" s="31">
        <v>18</v>
      </c>
      <c r="ZI10" s="31" t="s">
        <v>20</v>
      </c>
      <c r="ZJ10" s="31">
        <v>18</v>
      </c>
      <c r="ZK10" s="31">
        <v>15</v>
      </c>
      <c r="ZL10" s="31" t="s">
        <v>63</v>
      </c>
      <c r="ZM10" s="31">
        <v>18</v>
      </c>
      <c r="ZN10" s="31">
        <v>18</v>
      </c>
      <c r="ZO10" s="31" t="s">
        <v>20</v>
      </c>
      <c r="ZP10" s="31" t="s">
        <v>20</v>
      </c>
      <c r="ZQ10" s="31" t="s">
        <v>20</v>
      </c>
      <c r="ZR10" s="31" t="s">
        <v>20</v>
      </c>
      <c r="ZS10" s="31">
        <v>18</v>
      </c>
      <c r="ZT10" s="31">
        <v>18</v>
      </c>
      <c r="ZU10" s="31" t="s">
        <v>20</v>
      </c>
      <c r="ZV10" s="31" t="s">
        <v>63</v>
      </c>
      <c r="ZW10" s="31" t="s">
        <v>20</v>
      </c>
      <c r="ZX10" s="31">
        <v>15</v>
      </c>
      <c r="ZY10" s="31" t="s">
        <v>20</v>
      </c>
      <c r="ZZ10" s="31">
        <v>15</v>
      </c>
      <c r="AAA10" s="31" t="s">
        <v>63</v>
      </c>
      <c r="AAB10" s="31">
        <v>18</v>
      </c>
      <c r="AAC10" s="31">
        <v>15</v>
      </c>
      <c r="AAD10" s="31">
        <v>15</v>
      </c>
      <c r="AAE10" s="31" t="s">
        <v>20</v>
      </c>
      <c r="AAF10" s="31" t="s">
        <v>63</v>
      </c>
      <c r="AAG10" s="31" t="s">
        <v>20</v>
      </c>
      <c r="AAH10" s="31" t="s">
        <v>63</v>
      </c>
      <c r="AAI10" s="31" t="s">
        <v>20</v>
      </c>
      <c r="AAJ10" s="31" t="s">
        <v>63</v>
      </c>
      <c r="AAK10" s="31" t="s">
        <v>63</v>
      </c>
      <c r="AAL10" s="31" t="s">
        <v>63</v>
      </c>
      <c r="AAM10" s="31">
        <v>15</v>
      </c>
      <c r="AAN10" s="31" t="s">
        <v>20</v>
      </c>
      <c r="AAO10" s="31">
        <v>15</v>
      </c>
      <c r="AAP10" s="31" t="s">
        <v>20</v>
      </c>
      <c r="AAQ10" s="31" t="s">
        <v>20</v>
      </c>
      <c r="AAR10" s="31" t="s">
        <v>63</v>
      </c>
      <c r="AAS10" s="31" t="s">
        <v>63</v>
      </c>
      <c r="AAT10" s="31" t="s">
        <v>20</v>
      </c>
      <c r="AAU10" s="31">
        <v>15</v>
      </c>
      <c r="AAV10" s="31" t="s">
        <v>63</v>
      </c>
      <c r="AAW10" s="31" t="s">
        <v>63</v>
      </c>
      <c r="AAX10" s="31" t="s">
        <v>20</v>
      </c>
      <c r="AAY10" s="31" t="s">
        <v>20</v>
      </c>
      <c r="AAZ10" s="31" t="s">
        <v>63</v>
      </c>
      <c r="ABA10" s="31" t="s">
        <v>20</v>
      </c>
      <c r="ABB10" s="31" t="s">
        <v>63</v>
      </c>
      <c r="ABC10" s="31" t="s">
        <v>63</v>
      </c>
      <c r="ABD10" s="31" t="s">
        <v>20</v>
      </c>
      <c r="ABE10" s="31" t="s">
        <v>20</v>
      </c>
      <c r="ABF10" s="31">
        <v>15</v>
      </c>
      <c r="ABG10" s="31" t="s">
        <v>20</v>
      </c>
      <c r="ABH10" s="31" t="s">
        <v>63</v>
      </c>
      <c r="ABI10" s="31" t="s">
        <v>20</v>
      </c>
      <c r="ABJ10" s="31" t="s">
        <v>63</v>
      </c>
      <c r="ABK10" s="31" t="s">
        <v>63</v>
      </c>
      <c r="ABL10" s="31" t="s">
        <v>63</v>
      </c>
      <c r="ABM10" s="31" t="s">
        <v>63</v>
      </c>
      <c r="ABN10" s="31" t="s">
        <v>63</v>
      </c>
      <c r="ABO10" s="31" t="s">
        <v>63</v>
      </c>
      <c r="ABP10" s="31" t="s">
        <v>63</v>
      </c>
      <c r="ABQ10" s="31" t="s">
        <v>63</v>
      </c>
      <c r="ABR10" s="31" t="s">
        <v>20</v>
      </c>
      <c r="ABS10" s="31" t="s">
        <v>20</v>
      </c>
      <c r="ABT10" s="31" t="s">
        <v>63</v>
      </c>
      <c r="ABU10" s="31" t="s">
        <v>63</v>
      </c>
      <c r="ABV10" s="31" t="s">
        <v>63</v>
      </c>
      <c r="ABW10" s="31" t="s">
        <v>63</v>
      </c>
      <c r="ABX10" s="31">
        <v>15</v>
      </c>
      <c r="ABY10" s="31" t="s">
        <v>63</v>
      </c>
      <c r="ABZ10" s="31" t="s">
        <v>20</v>
      </c>
      <c r="ACA10" s="31" t="s">
        <v>63</v>
      </c>
      <c r="ACB10" s="31" t="s">
        <v>20</v>
      </c>
      <c r="ACC10" s="31" t="s">
        <v>63</v>
      </c>
      <c r="ACD10" s="31" t="s">
        <v>20</v>
      </c>
      <c r="ACE10" s="31" t="s">
        <v>63</v>
      </c>
      <c r="ACF10" s="31" t="s">
        <v>63</v>
      </c>
      <c r="ACG10" s="31" t="s">
        <v>63</v>
      </c>
      <c r="ACH10" s="31" t="s">
        <v>20</v>
      </c>
      <c r="ACI10" s="31" t="s">
        <v>20</v>
      </c>
      <c r="ACJ10" s="31" t="s">
        <v>63</v>
      </c>
      <c r="ACK10" s="31" t="s">
        <v>63</v>
      </c>
      <c r="ACL10" s="31" t="s">
        <v>63</v>
      </c>
      <c r="ACM10" s="31" t="s">
        <v>20</v>
      </c>
      <c r="ACN10" s="31" t="s">
        <v>20</v>
      </c>
      <c r="ACO10" s="31" t="s">
        <v>20</v>
      </c>
      <c r="ACP10" s="31" t="s">
        <v>63</v>
      </c>
      <c r="ACQ10" s="31" t="s">
        <v>25</v>
      </c>
      <c r="ACR10" s="31" t="s">
        <v>25</v>
      </c>
      <c r="ACS10" s="31" t="s">
        <v>25</v>
      </c>
      <c r="ACT10" s="31" t="s">
        <v>25</v>
      </c>
      <c r="ACU10" s="31" t="s">
        <v>63</v>
      </c>
      <c r="ACV10" s="31" t="s">
        <v>63</v>
      </c>
      <c r="ACW10" s="31" t="s">
        <v>25</v>
      </c>
      <c r="ACX10" s="31" t="s">
        <v>25</v>
      </c>
      <c r="ACY10" s="31" t="s">
        <v>25</v>
      </c>
      <c r="ACZ10" s="31" t="s">
        <v>25</v>
      </c>
      <c r="ADA10" s="31" t="s">
        <v>63</v>
      </c>
      <c r="ADB10" s="31" t="s">
        <v>20</v>
      </c>
      <c r="ADC10" s="31" t="s">
        <v>20</v>
      </c>
      <c r="ADD10" s="31">
        <v>12</v>
      </c>
      <c r="ADE10" s="31" t="s">
        <v>63</v>
      </c>
      <c r="ADF10" s="31">
        <v>15</v>
      </c>
      <c r="ADG10" s="31">
        <v>15</v>
      </c>
      <c r="ADH10" s="31" t="s">
        <v>25</v>
      </c>
      <c r="ADI10" s="31" t="s">
        <v>25</v>
      </c>
      <c r="ADJ10" s="31" t="s">
        <v>20</v>
      </c>
      <c r="ADK10" s="31" t="s">
        <v>20</v>
      </c>
      <c r="ADL10" s="31" t="s">
        <v>63</v>
      </c>
      <c r="ADM10" s="31" t="s">
        <v>20</v>
      </c>
      <c r="ADN10" s="31" t="s">
        <v>20</v>
      </c>
      <c r="ADO10" s="31" t="s">
        <v>20</v>
      </c>
      <c r="ADP10" s="31" t="s">
        <v>63</v>
      </c>
      <c r="ADQ10" s="31" t="s">
        <v>20</v>
      </c>
      <c r="ADR10" s="31" t="s">
        <v>63</v>
      </c>
      <c r="ADS10" s="31" t="s">
        <v>63</v>
      </c>
      <c r="ADT10" s="31" t="s">
        <v>63</v>
      </c>
      <c r="ADU10" s="31" t="s">
        <v>63</v>
      </c>
      <c r="ADV10" s="31" t="s">
        <v>63</v>
      </c>
      <c r="ADW10" s="31" t="s">
        <v>20</v>
      </c>
      <c r="ADX10" s="31">
        <v>15</v>
      </c>
      <c r="ADY10" s="31">
        <v>15</v>
      </c>
      <c r="ADZ10" s="31">
        <v>15</v>
      </c>
      <c r="AEA10" s="31" t="s">
        <v>25</v>
      </c>
      <c r="AEB10" s="31" t="s">
        <v>25</v>
      </c>
      <c r="AEC10" s="31">
        <v>18</v>
      </c>
      <c r="AED10" s="31">
        <v>15</v>
      </c>
      <c r="AEE10" s="31">
        <v>15</v>
      </c>
      <c r="AEF10" s="31" t="s">
        <v>25</v>
      </c>
      <c r="AEG10" s="31">
        <v>12</v>
      </c>
      <c r="AEH10" s="31" t="s">
        <v>25</v>
      </c>
      <c r="AEI10" s="31">
        <v>18</v>
      </c>
      <c r="AEJ10" s="31">
        <v>15</v>
      </c>
      <c r="AEK10" s="31">
        <v>18</v>
      </c>
      <c r="AEL10" s="31" t="s">
        <v>25</v>
      </c>
      <c r="AEM10" s="31">
        <v>15</v>
      </c>
      <c r="AEN10" s="31" t="s">
        <v>25</v>
      </c>
      <c r="AEO10" s="31" t="s">
        <v>25</v>
      </c>
      <c r="AEP10" s="31" t="s">
        <v>25</v>
      </c>
      <c r="AEQ10" s="31">
        <v>15</v>
      </c>
      <c r="AER10" s="31">
        <v>15</v>
      </c>
      <c r="AES10" s="31" t="s">
        <v>25</v>
      </c>
      <c r="AET10" s="31" t="s">
        <v>25</v>
      </c>
      <c r="AEU10" s="31">
        <v>15</v>
      </c>
      <c r="AEV10" s="31">
        <v>15</v>
      </c>
      <c r="AEW10" s="31">
        <v>15</v>
      </c>
      <c r="AEX10" s="31">
        <v>15</v>
      </c>
      <c r="AEY10" s="31" t="s">
        <v>25</v>
      </c>
      <c r="AEZ10" s="31" t="s">
        <v>20</v>
      </c>
      <c r="AFA10" s="31">
        <v>15</v>
      </c>
      <c r="AFB10" s="31" t="s">
        <v>20</v>
      </c>
      <c r="AFC10" s="31" t="s">
        <v>25</v>
      </c>
      <c r="AFD10" s="31">
        <v>15</v>
      </c>
      <c r="AFE10" s="31">
        <v>15</v>
      </c>
      <c r="AFF10" s="31">
        <v>15</v>
      </c>
      <c r="AFG10" s="31">
        <v>15</v>
      </c>
      <c r="AFH10" s="31" t="s">
        <v>25</v>
      </c>
      <c r="AFI10" s="31">
        <v>15</v>
      </c>
      <c r="AFJ10" s="31">
        <v>15</v>
      </c>
      <c r="AFK10" s="31">
        <v>18</v>
      </c>
      <c r="AFL10" s="31" t="s">
        <v>20</v>
      </c>
      <c r="AFM10" s="31" t="s">
        <v>20</v>
      </c>
      <c r="AFN10" s="31" t="s">
        <v>20</v>
      </c>
      <c r="AFO10" s="31" t="s">
        <v>25</v>
      </c>
      <c r="AFP10" s="31">
        <v>15</v>
      </c>
      <c r="AFQ10" s="31">
        <v>18</v>
      </c>
      <c r="AFR10" s="31">
        <v>18</v>
      </c>
      <c r="AFS10" s="31">
        <v>18</v>
      </c>
      <c r="AFT10" s="31">
        <v>18</v>
      </c>
      <c r="AFU10" s="31" t="s">
        <v>25</v>
      </c>
      <c r="AFV10" s="31">
        <v>15</v>
      </c>
      <c r="AFW10" s="31">
        <v>15</v>
      </c>
      <c r="AFX10" s="31">
        <v>15</v>
      </c>
      <c r="AFY10" s="31">
        <v>12</v>
      </c>
      <c r="AFZ10" s="31" t="s">
        <v>25</v>
      </c>
      <c r="AGA10" s="31" t="s">
        <v>20</v>
      </c>
      <c r="AGB10" s="31" t="s">
        <v>25</v>
      </c>
      <c r="AGC10" s="31">
        <v>15</v>
      </c>
      <c r="AGD10" s="31" t="s">
        <v>25</v>
      </c>
      <c r="AGE10" s="31">
        <v>18</v>
      </c>
      <c r="AGF10" s="31">
        <v>18</v>
      </c>
      <c r="AGG10" s="31">
        <v>18</v>
      </c>
      <c r="AGH10" s="31" t="s">
        <v>20</v>
      </c>
      <c r="AGI10" s="31">
        <v>15</v>
      </c>
      <c r="AGJ10" s="31" t="s">
        <v>25</v>
      </c>
      <c r="AGK10" s="31" t="s">
        <v>20</v>
      </c>
      <c r="AGL10" s="31" t="s">
        <v>20</v>
      </c>
      <c r="AGM10" s="31">
        <v>15</v>
      </c>
      <c r="AGN10" s="31">
        <v>12</v>
      </c>
      <c r="AGO10" s="31" t="s">
        <v>25</v>
      </c>
      <c r="AGP10" s="31" t="s">
        <v>25</v>
      </c>
      <c r="AGQ10" s="31" t="s">
        <v>25</v>
      </c>
      <c r="AGR10" s="31">
        <v>15</v>
      </c>
      <c r="AGS10" s="31" t="s">
        <v>20</v>
      </c>
      <c r="AGT10" s="31">
        <v>15</v>
      </c>
      <c r="AGU10" s="31">
        <v>15</v>
      </c>
      <c r="AGV10" s="31">
        <v>15</v>
      </c>
      <c r="AGW10" s="31">
        <v>18</v>
      </c>
      <c r="AGX10" s="31">
        <v>18</v>
      </c>
      <c r="AGY10" s="31">
        <v>15</v>
      </c>
      <c r="AGZ10" s="31">
        <v>18</v>
      </c>
      <c r="AHA10" s="31" t="s">
        <v>20</v>
      </c>
      <c r="AHB10" s="31">
        <v>18</v>
      </c>
      <c r="AHC10" s="31">
        <v>18</v>
      </c>
      <c r="AHD10" s="31">
        <v>18</v>
      </c>
      <c r="AHE10" s="31">
        <v>18</v>
      </c>
      <c r="AHF10" s="31">
        <v>18</v>
      </c>
      <c r="AHG10" s="31">
        <v>18</v>
      </c>
      <c r="AHH10" s="31">
        <v>18</v>
      </c>
      <c r="AHI10" s="31" t="s">
        <v>20</v>
      </c>
      <c r="AHJ10" s="31" t="s">
        <v>20</v>
      </c>
      <c r="AHK10" s="31" t="s">
        <v>20</v>
      </c>
      <c r="AHL10" s="31">
        <v>15</v>
      </c>
      <c r="AHM10" s="31">
        <v>18</v>
      </c>
      <c r="AHN10" s="31">
        <v>15</v>
      </c>
      <c r="AHO10" s="31" t="s">
        <v>20</v>
      </c>
      <c r="AHP10" s="31">
        <v>18</v>
      </c>
      <c r="AHQ10" s="31">
        <v>15</v>
      </c>
      <c r="AHR10" s="31">
        <v>18</v>
      </c>
      <c r="AHS10" s="31" t="s">
        <v>20</v>
      </c>
      <c r="AHT10" s="31">
        <v>15</v>
      </c>
      <c r="AHU10" s="31" t="s">
        <v>25</v>
      </c>
      <c r="AHV10" s="31">
        <v>15</v>
      </c>
      <c r="AHW10" s="31" t="s">
        <v>25</v>
      </c>
      <c r="AHX10" s="31">
        <v>15</v>
      </c>
      <c r="AHY10" s="31">
        <v>15</v>
      </c>
      <c r="AHZ10" s="31">
        <v>15</v>
      </c>
      <c r="AIA10" s="31">
        <v>15</v>
      </c>
      <c r="AIB10" s="31">
        <v>15</v>
      </c>
      <c r="AIC10" s="31">
        <v>15</v>
      </c>
      <c r="AID10" s="31">
        <v>15</v>
      </c>
      <c r="AIE10" s="31" t="s">
        <v>20</v>
      </c>
      <c r="AIF10" s="31">
        <v>18</v>
      </c>
      <c r="AIG10" s="31">
        <v>18</v>
      </c>
      <c r="AIH10" s="31">
        <v>18</v>
      </c>
      <c r="AII10" s="31">
        <v>15</v>
      </c>
      <c r="AIJ10" s="31">
        <v>18</v>
      </c>
      <c r="AIK10" s="31">
        <v>18</v>
      </c>
      <c r="AIL10" s="31" t="s">
        <v>20</v>
      </c>
      <c r="AIM10" s="31" t="s">
        <v>20</v>
      </c>
      <c r="AIN10" s="31" t="s">
        <v>25</v>
      </c>
      <c r="AIO10" s="31">
        <v>12</v>
      </c>
      <c r="AIP10" s="31">
        <v>12</v>
      </c>
      <c r="AIQ10" s="31">
        <v>18</v>
      </c>
      <c r="AIR10" s="31" t="s">
        <v>25</v>
      </c>
      <c r="AIS10" s="31">
        <v>18</v>
      </c>
      <c r="AIT10" s="31">
        <v>18</v>
      </c>
      <c r="AIU10" s="31">
        <v>18</v>
      </c>
      <c r="AIV10" s="31">
        <v>15</v>
      </c>
      <c r="AIW10" s="31">
        <v>18</v>
      </c>
      <c r="AIX10" s="31">
        <v>18</v>
      </c>
      <c r="AIY10" s="31">
        <v>18</v>
      </c>
      <c r="AIZ10" s="31" t="s">
        <v>20</v>
      </c>
      <c r="AJA10" s="31" t="s">
        <v>20</v>
      </c>
      <c r="AJB10" s="31">
        <v>15</v>
      </c>
      <c r="AJC10" s="31">
        <v>18</v>
      </c>
      <c r="AJD10" s="31" t="s">
        <v>63</v>
      </c>
      <c r="AJE10" s="31">
        <v>15</v>
      </c>
      <c r="AJF10" s="31">
        <v>18</v>
      </c>
      <c r="AJG10" s="31">
        <v>15</v>
      </c>
      <c r="AJH10" s="31">
        <v>12</v>
      </c>
      <c r="AJI10" s="31" t="s">
        <v>20</v>
      </c>
      <c r="AJJ10" s="31" t="s">
        <v>63</v>
      </c>
      <c r="AJK10" s="31" t="s">
        <v>25</v>
      </c>
      <c r="AJL10" s="31" t="s">
        <v>20</v>
      </c>
      <c r="AJM10" s="31">
        <v>15</v>
      </c>
      <c r="AJN10" s="31">
        <v>15</v>
      </c>
      <c r="AJO10" s="31" t="s">
        <v>25</v>
      </c>
      <c r="AJP10" s="31" t="s">
        <v>25</v>
      </c>
      <c r="AJQ10" s="31" t="s">
        <v>25</v>
      </c>
      <c r="AJR10" s="31">
        <v>15</v>
      </c>
      <c r="AJS10" s="31">
        <v>15</v>
      </c>
      <c r="AJT10" s="31">
        <v>18</v>
      </c>
      <c r="AJU10" s="31">
        <v>18</v>
      </c>
      <c r="AJV10" s="31">
        <v>18</v>
      </c>
      <c r="AJW10" s="31" t="s">
        <v>20</v>
      </c>
      <c r="AJX10" s="31" t="s">
        <v>20</v>
      </c>
      <c r="AJY10" s="31" t="s">
        <v>63</v>
      </c>
      <c r="AJZ10" s="31" t="s">
        <v>25</v>
      </c>
      <c r="AKA10" s="31">
        <v>18</v>
      </c>
      <c r="AKB10" s="31">
        <v>18</v>
      </c>
      <c r="AKC10" s="31">
        <v>15</v>
      </c>
      <c r="AKD10" s="31" t="s">
        <v>25</v>
      </c>
      <c r="AKE10" s="31">
        <v>15</v>
      </c>
      <c r="AKF10" s="31">
        <v>15</v>
      </c>
      <c r="AKG10" s="31">
        <v>15</v>
      </c>
      <c r="AKH10" s="31">
        <v>15</v>
      </c>
      <c r="AKI10" s="31" t="s">
        <v>25</v>
      </c>
      <c r="AKJ10" s="31">
        <v>12</v>
      </c>
      <c r="AKK10" s="31">
        <v>12</v>
      </c>
      <c r="AKL10" s="31" t="s">
        <v>20</v>
      </c>
      <c r="AKM10" s="31" t="s">
        <v>25</v>
      </c>
      <c r="AKN10" s="31">
        <v>18</v>
      </c>
      <c r="AKO10" s="31" t="s">
        <v>25</v>
      </c>
      <c r="AKP10" s="31" t="s">
        <v>25</v>
      </c>
      <c r="AKQ10" s="31">
        <v>18</v>
      </c>
      <c r="AKR10" s="31" t="s">
        <v>25</v>
      </c>
      <c r="AKS10" s="31">
        <v>15</v>
      </c>
      <c r="AKT10" s="31">
        <v>18</v>
      </c>
      <c r="AKU10" s="31" t="s">
        <v>20</v>
      </c>
      <c r="AKV10" s="31">
        <v>15</v>
      </c>
      <c r="AKW10" s="31">
        <v>15</v>
      </c>
      <c r="AKX10" s="31" t="s">
        <v>25</v>
      </c>
      <c r="AKY10" s="31" t="s">
        <v>25</v>
      </c>
      <c r="AKZ10" s="31" t="s">
        <v>25</v>
      </c>
      <c r="ALA10" s="31" t="s">
        <v>25</v>
      </c>
      <c r="ALB10" s="31">
        <v>18</v>
      </c>
      <c r="ALC10" s="31">
        <v>18</v>
      </c>
      <c r="ALD10" s="31" t="s">
        <v>25</v>
      </c>
      <c r="ALE10" s="31" t="s">
        <v>20</v>
      </c>
      <c r="ALF10" s="31">
        <v>18</v>
      </c>
      <c r="ALG10" s="31" t="s">
        <v>25</v>
      </c>
      <c r="ALH10" s="31">
        <v>15</v>
      </c>
      <c r="ALI10" s="31">
        <v>15</v>
      </c>
      <c r="ALJ10" s="31" t="s">
        <v>25</v>
      </c>
      <c r="ALK10" s="31">
        <v>15</v>
      </c>
      <c r="ALL10" s="31" t="s">
        <v>20</v>
      </c>
      <c r="ALM10" s="31">
        <v>18</v>
      </c>
      <c r="ALN10" s="31">
        <v>15</v>
      </c>
      <c r="ALO10" s="31">
        <v>15</v>
      </c>
      <c r="ALP10" s="31">
        <v>15</v>
      </c>
      <c r="ALQ10" s="31" t="s">
        <v>25</v>
      </c>
      <c r="ALR10" s="31">
        <v>15</v>
      </c>
      <c r="ALS10" s="31" t="s">
        <v>25</v>
      </c>
      <c r="ALT10" s="31" t="s">
        <v>25</v>
      </c>
      <c r="ALU10" s="31" t="s">
        <v>25</v>
      </c>
      <c r="ALV10" s="31">
        <v>15</v>
      </c>
      <c r="ALW10" s="31">
        <v>18</v>
      </c>
      <c r="ALX10" s="31">
        <v>15</v>
      </c>
      <c r="ALY10" s="31">
        <v>15</v>
      </c>
      <c r="ALZ10" s="31">
        <v>15</v>
      </c>
      <c r="AMA10" s="31">
        <v>15</v>
      </c>
      <c r="AMB10" s="31">
        <v>15</v>
      </c>
      <c r="AMC10" s="31">
        <v>15</v>
      </c>
      <c r="AMD10" s="31">
        <v>15</v>
      </c>
      <c r="AME10" s="31">
        <v>15</v>
      </c>
      <c r="AMF10" s="31">
        <v>15</v>
      </c>
      <c r="AMG10" s="31">
        <v>15</v>
      </c>
      <c r="AMH10" s="31">
        <v>15</v>
      </c>
      <c r="AMI10" s="31">
        <v>15</v>
      </c>
      <c r="AMJ10" s="31">
        <v>18</v>
      </c>
      <c r="AMK10" s="31">
        <v>12</v>
      </c>
      <c r="AML10" s="31">
        <v>18</v>
      </c>
      <c r="AMM10" s="31">
        <v>15</v>
      </c>
      <c r="AMN10" s="31">
        <v>15</v>
      </c>
      <c r="AMO10" s="31">
        <v>15</v>
      </c>
      <c r="AMP10" s="31" t="s">
        <v>25</v>
      </c>
      <c r="AMQ10" s="31" t="s">
        <v>25</v>
      </c>
      <c r="AMR10" s="31" t="s">
        <v>25</v>
      </c>
      <c r="AMS10" s="31">
        <v>15</v>
      </c>
      <c r="AMT10" s="31" t="s">
        <v>25</v>
      </c>
      <c r="AMU10" s="31" t="s">
        <v>25</v>
      </c>
      <c r="AMV10" s="31">
        <v>15</v>
      </c>
      <c r="AMW10" s="31">
        <v>15</v>
      </c>
      <c r="AMX10" s="31">
        <v>18</v>
      </c>
      <c r="AMY10" s="31" t="s">
        <v>25</v>
      </c>
      <c r="AMZ10" s="31">
        <v>15</v>
      </c>
      <c r="ANA10" s="31" t="s">
        <v>25</v>
      </c>
      <c r="ANB10" s="31" t="s">
        <v>25</v>
      </c>
      <c r="ANC10" s="31">
        <v>15</v>
      </c>
      <c r="AND10" s="31" t="s">
        <v>20</v>
      </c>
      <c r="ANE10" s="31" t="s">
        <v>20</v>
      </c>
      <c r="ANF10" s="31" t="s">
        <v>20</v>
      </c>
      <c r="ANG10" s="31">
        <v>18</v>
      </c>
      <c r="ANH10" s="31">
        <v>12</v>
      </c>
      <c r="ANI10" s="31">
        <v>15</v>
      </c>
      <c r="ANJ10" s="31">
        <v>15</v>
      </c>
      <c r="ANK10" s="31">
        <v>15</v>
      </c>
      <c r="ANL10" s="31" t="s">
        <v>63</v>
      </c>
      <c r="ANM10" s="31" t="s">
        <v>63</v>
      </c>
      <c r="ANN10" s="31" t="s">
        <v>25</v>
      </c>
      <c r="ANO10" s="31" t="s">
        <v>63</v>
      </c>
      <c r="ANP10" s="31" t="s">
        <v>63</v>
      </c>
      <c r="ANQ10" s="31">
        <v>18</v>
      </c>
      <c r="ANR10" s="31">
        <v>15</v>
      </c>
      <c r="ANS10" s="31" t="s">
        <v>63</v>
      </c>
      <c r="ANT10" s="31" t="s">
        <v>63</v>
      </c>
      <c r="ANU10" s="31" t="s">
        <v>20</v>
      </c>
      <c r="ANV10" s="31" t="s">
        <v>20</v>
      </c>
      <c r="ANW10" s="31" t="s">
        <v>20</v>
      </c>
      <c r="ANX10" s="31" t="s">
        <v>20</v>
      </c>
      <c r="ANY10" s="31" t="s">
        <v>20</v>
      </c>
      <c r="ANZ10" s="31" t="s">
        <v>20</v>
      </c>
      <c r="AOA10" s="31" t="s">
        <v>20</v>
      </c>
      <c r="AOB10" s="31" t="s">
        <v>20</v>
      </c>
      <c r="AOC10" s="31" t="s">
        <v>20</v>
      </c>
      <c r="AOD10" s="31" t="s">
        <v>63</v>
      </c>
      <c r="AOE10" s="31" t="s">
        <v>63</v>
      </c>
      <c r="AOF10" s="31" t="s">
        <v>20</v>
      </c>
      <c r="AOG10" s="31" t="s">
        <v>63</v>
      </c>
      <c r="AOH10" s="31" t="s">
        <v>63</v>
      </c>
      <c r="AOI10" s="31">
        <v>15</v>
      </c>
      <c r="AOJ10" s="31">
        <v>15</v>
      </c>
    </row>
    <row r="11" spans="1:1076" x14ac:dyDescent="0.3">
      <c r="A11" s="47" t="s">
        <v>10</v>
      </c>
      <c r="B11" s="44">
        <v>100000000</v>
      </c>
      <c r="C11" s="31">
        <v>14000000</v>
      </c>
      <c r="D11" s="31">
        <v>8800000</v>
      </c>
      <c r="E11" s="31">
        <v>400000</v>
      </c>
      <c r="F11" s="31">
        <v>4500000</v>
      </c>
      <c r="G11" s="31">
        <v>10000000</v>
      </c>
      <c r="H11" s="31">
        <v>150000000</v>
      </c>
      <c r="I11" s="31">
        <v>3300000</v>
      </c>
      <c r="J11" s="31">
        <v>5000000</v>
      </c>
      <c r="K11" s="31">
        <v>25000000</v>
      </c>
      <c r="L11" s="31">
        <v>31000000</v>
      </c>
      <c r="M11" s="31">
        <v>17000000</v>
      </c>
      <c r="N11" s="31">
        <v>12000000</v>
      </c>
      <c r="O11" s="31">
        <v>60720000</v>
      </c>
      <c r="P11" s="31">
        <v>20000000</v>
      </c>
      <c r="Q11" s="31">
        <v>35000000</v>
      </c>
      <c r="R11" s="31">
        <v>80000000</v>
      </c>
      <c r="S11" s="31">
        <v>80000000</v>
      </c>
      <c r="T11" s="31">
        <v>4800000</v>
      </c>
      <c r="U11" s="31">
        <v>90000000</v>
      </c>
      <c r="V11" s="31">
        <v>16000000</v>
      </c>
      <c r="W11" s="31">
        <v>10000000</v>
      </c>
      <c r="X11" s="31">
        <v>25000000</v>
      </c>
      <c r="Y11" s="31">
        <v>45000000</v>
      </c>
      <c r="Z11" s="31">
        <v>24000000</v>
      </c>
      <c r="AA11" s="31">
        <v>32000000</v>
      </c>
      <c r="AB11" s="31">
        <v>12000000</v>
      </c>
      <c r="AC11" s="31">
        <v>13600000</v>
      </c>
      <c r="AD11" s="31">
        <v>22000000</v>
      </c>
      <c r="AE11" s="31">
        <v>52000000</v>
      </c>
      <c r="AF11" s="31">
        <v>13000000</v>
      </c>
      <c r="AG11" s="31">
        <v>40000000</v>
      </c>
      <c r="AH11" s="31">
        <v>28000000</v>
      </c>
      <c r="AI11" s="31">
        <v>13500000</v>
      </c>
      <c r="AJ11" s="31">
        <v>12000000</v>
      </c>
      <c r="AK11" s="31">
        <v>2000000</v>
      </c>
      <c r="AL11" s="31">
        <v>27000000</v>
      </c>
      <c r="AM11" s="31">
        <v>27000000</v>
      </c>
      <c r="AN11" s="31">
        <v>7500000</v>
      </c>
      <c r="AO11" s="31">
        <v>100000</v>
      </c>
      <c r="AP11" s="31">
        <v>100000</v>
      </c>
      <c r="AQ11" s="31">
        <v>130000</v>
      </c>
      <c r="AR11" s="31">
        <v>850000</v>
      </c>
      <c r="AS11" s="31">
        <v>850000</v>
      </c>
      <c r="AT11" s="31">
        <v>900000</v>
      </c>
      <c r="AU11" s="31">
        <v>10000000</v>
      </c>
      <c r="AV11" s="31">
        <v>40000000</v>
      </c>
      <c r="AW11" s="31">
        <v>20000000</v>
      </c>
      <c r="AX11" s="31">
        <v>18000000</v>
      </c>
      <c r="AY11" s="31">
        <v>4500000</v>
      </c>
      <c r="AZ11" s="31">
        <v>11715000</v>
      </c>
      <c r="BA11" s="31">
        <v>12900000</v>
      </c>
      <c r="BB11" s="31">
        <v>36000000</v>
      </c>
      <c r="BC11" s="31">
        <v>11000000</v>
      </c>
      <c r="BD11" s="31">
        <v>20000000</v>
      </c>
      <c r="BE11" s="31">
        <v>1100000</v>
      </c>
      <c r="BF11" s="31">
        <v>4500000</v>
      </c>
      <c r="BG11" s="31">
        <v>1200000</v>
      </c>
      <c r="BH11" s="31">
        <v>225000</v>
      </c>
      <c r="BI11" s="31">
        <v>600000</v>
      </c>
      <c r="BJ11" s="31">
        <v>5000000</v>
      </c>
      <c r="BK11" s="31">
        <v>2000000</v>
      </c>
      <c r="BL11" s="31">
        <v>7500000</v>
      </c>
      <c r="BM11" s="31">
        <v>12000000</v>
      </c>
      <c r="BN11" s="31">
        <v>25500000</v>
      </c>
      <c r="BO11" s="31">
        <v>250000</v>
      </c>
      <c r="BP11" s="31">
        <v>1400000</v>
      </c>
      <c r="BQ11" s="31">
        <v>6000000</v>
      </c>
      <c r="BR11" s="31">
        <v>4500000</v>
      </c>
      <c r="BS11" s="31">
        <v>4000000</v>
      </c>
      <c r="BT11" s="31">
        <v>5000000</v>
      </c>
      <c r="BU11" s="31">
        <v>175000</v>
      </c>
      <c r="BV11" s="31">
        <v>200000</v>
      </c>
      <c r="BW11" s="31">
        <v>17900000</v>
      </c>
      <c r="BX11" s="31">
        <v>207000000</v>
      </c>
      <c r="BY11" s="31">
        <v>93000000</v>
      </c>
      <c r="BZ11" s="31">
        <v>94000000</v>
      </c>
      <c r="CA11" s="31">
        <v>94000000</v>
      </c>
      <c r="CB11" s="31">
        <v>1000000</v>
      </c>
      <c r="CC11" s="31">
        <v>250000000</v>
      </c>
      <c r="CD11" s="31">
        <v>225000000</v>
      </c>
      <c r="CE11" s="31">
        <v>200000000</v>
      </c>
      <c r="CF11" s="31">
        <v>25000000</v>
      </c>
      <c r="CG11" s="31">
        <v>4200000</v>
      </c>
      <c r="CH11" s="31">
        <v>4200000</v>
      </c>
      <c r="CI11" s="31">
        <v>20000000</v>
      </c>
      <c r="CJ11" s="31">
        <v>30000000</v>
      </c>
      <c r="CK11" s="31">
        <v>13000000</v>
      </c>
      <c r="CL11" s="31">
        <v>5300000</v>
      </c>
      <c r="CM11" s="31">
        <v>150000</v>
      </c>
      <c r="CN11" s="31">
        <v>1100000</v>
      </c>
      <c r="CO11" s="31">
        <v>8000000</v>
      </c>
      <c r="CP11" s="31">
        <v>5000000</v>
      </c>
      <c r="CQ11" s="31">
        <v>15000000</v>
      </c>
      <c r="CR11" s="31">
        <v>150000000</v>
      </c>
      <c r="CS11" s="31">
        <v>150000000</v>
      </c>
      <c r="CT11" s="31">
        <v>142000000</v>
      </c>
      <c r="CU11" s="31">
        <v>135000000</v>
      </c>
      <c r="CV11" s="31">
        <v>130000000</v>
      </c>
      <c r="CW11" s="31">
        <v>125000000</v>
      </c>
      <c r="CX11" s="31">
        <v>110000000</v>
      </c>
      <c r="CY11" s="31">
        <v>150000000</v>
      </c>
      <c r="CZ11" s="31">
        <v>100000000</v>
      </c>
      <c r="DA11" s="31">
        <v>58000000</v>
      </c>
      <c r="DB11" s="31">
        <v>32000000</v>
      </c>
      <c r="DC11" s="31">
        <v>40000000</v>
      </c>
      <c r="DD11" s="31">
        <v>34000000</v>
      </c>
      <c r="DE11" s="31">
        <v>28000000</v>
      </c>
      <c r="DF11" s="31">
        <v>22000000</v>
      </c>
      <c r="DG11" s="31">
        <v>18000000</v>
      </c>
      <c r="DH11" s="31">
        <v>12000000</v>
      </c>
      <c r="DI11" s="31">
        <v>16000000</v>
      </c>
      <c r="DJ11" s="31">
        <v>8000000</v>
      </c>
      <c r="DK11" s="31">
        <v>50000000</v>
      </c>
      <c r="DL11" s="31">
        <v>3100000</v>
      </c>
      <c r="DM11" s="31">
        <v>14000000</v>
      </c>
      <c r="DN11" s="31">
        <v>12000000</v>
      </c>
      <c r="DO11" s="31">
        <v>9000000</v>
      </c>
      <c r="DP11" s="31">
        <v>7000000</v>
      </c>
      <c r="DQ11" s="31">
        <v>7200000</v>
      </c>
      <c r="DR11" s="31">
        <v>7000000</v>
      </c>
      <c r="DS11" s="31">
        <v>7000000</v>
      </c>
      <c r="DT11" s="31">
        <v>6000000</v>
      </c>
      <c r="DU11" s="31">
        <v>4500000</v>
      </c>
      <c r="DV11" s="31">
        <v>2000000</v>
      </c>
      <c r="DW11" s="31">
        <v>1100000</v>
      </c>
      <c r="DX11" s="31">
        <v>40000000</v>
      </c>
      <c r="DY11" s="31">
        <v>149000000</v>
      </c>
      <c r="DZ11" s="31">
        <v>150000000</v>
      </c>
      <c r="EA11" s="31">
        <v>250000000</v>
      </c>
      <c r="EB11" s="31">
        <v>150000000</v>
      </c>
      <c r="EC11" s="31">
        <v>250000000</v>
      </c>
      <c r="ED11" s="31">
        <v>250000000</v>
      </c>
      <c r="EE11" s="31">
        <v>90000000</v>
      </c>
      <c r="EF11" s="31">
        <v>52000000</v>
      </c>
      <c r="EG11" s="31">
        <v>200000000</v>
      </c>
      <c r="EH11" s="31">
        <v>225000000</v>
      </c>
      <c r="EI11" s="31">
        <v>180000000</v>
      </c>
      <c r="EJ11" s="31">
        <v>43000000</v>
      </c>
      <c r="EK11" s="31">
        <v>25000000</v>
      </c>
      <c r="EL11" s="31">
        <v>3500000</v>
      </c>
      <c r="EM11" s="31">
        <v>54000000</v>
      </c>
      <c r="EN11" s="31">
        <v>5500000</v>
      </c>
      <c r="EO11" s="31">
        <v>5000000</v>
      </c>
      <c r="EP11" s="31">
        <v>12000000</v>
      </c>
      <c r="EQ11" s="31">
        <v>25000000</v>
      </c>
      <c r="ER11" s="31">
        <v>1400000</v>
      </c>
      <c r="ES11" s="31">
        <v>5000000</v>
      </c>
      <c r="ET11" s="31">
        <v>2200000</v>
      </c>
      <c r="EU11" s="31">
        <v>20000000</v>
      </c>
      <c r="EV11" s="31">
        <v>12000000</v>
      </c>
      <c r="EW11" s="31">
        <v>850000</v>
      </c>
      <c r="EX11" s="31">
        <v>10000000</v>
      </c>
      <c r="EY11" s="31">
        <v>11000000</v>
      </c>
      <c r="EZ11" s="31">
        <v>200000</v>
      </c>
      <c r="FA11" s="31">
        <v>15000000</v>
      </c>
      <c r="FB11" s="31">
        <v>6000000</v>
      </c>
      <c r="FC11" s="31">
        <v>2800000</v>
      </c>
      <c r="FD11" s="31">
        <v>3842000</v>
      </c>
      <c r="FE11" s="31">
        <v>1500000</v>
      </c>
      <c r="FF11" s="31">
        <v>1051000</v>
      </c>
      <c r="FG11" s="31">
        <v>245000000</v>
      </c>
      <c r="FH11" s="31">
        <v>2000000</v>
      </c>
      <c r="FI11" s="31">
        <v>100000</v>
      </c>
      <c r="FJ11" s="31">
        <v>1000000</v>
      </c>
      <c r="FK11" s="31">
        <v>1000000</v>
      </c>
      <c r="FL11" s="31">
        <v>100000</v>
      </c>
      <c r="FM11" s="31">
        <v>500000</v>
      </c>
      <c r="FN11" s="31">
        <v>750000</v>
      </c>
      <c r="FO11" s="31">
        <v>400000</v>
      </c>
      <c r="FP11" s="31">
        <v>4000000</v>
      </c>
      <c r="FQ11" s="31">
        <v>15000000</v>
      </c>
      <c r="FR11" s="31">
        <v>3000000</v>
      </c>
      <c r="FS11" s="31">
        <v>1000000</v>
      </c>
      <c r="FT11" s="31">
        <v>6000000</v>
      </c>
      <c r="FU11" s="31">
        <v>30000</v>
      </c>
      <c r="FV11" s="31">
        <v>800000</v>
      </c>
      <c r="FW11" s="31">
        <v>500000</v>
      </c>
      <c r="FX11" s="31">
        <v>8000000</v>
      </c>
      <c r="FY11" s="31">
        <v>15000000</v>
      </c>
      <c r="FZ11" s="31">
        <v>10000000</v>
      </c>
      <c r="GA11" s="31">
        <v>10000000</v>
      </c>
      <c r="GB11" s="31">
        <v>25000000</v>
      </c>
      <c r="GC11" s="31">
        <v>2500000</v>
      </c>
      <c r="GD11" s="31">
        <v>12000000</v>
      </c>
      <c r="GE11" s="31">
        <v>15000000</v>
      </c>
      <c r="GF11" s="31">
        <v>18000000</v>
      </c>
      <c r="GG11" s="31">
        <v>20000000</v>
      </c>
      <c r="GH11" s="31">
        <v>94000000</v>
      </c>
      <c r="GI11" s="31">
        <v>30000000</v>
      </c>
      <c r="GJ11" s="31">
        <v>88500000</v>
      </c>
      <c r="GK11" s="31">
        <v>6500000</v>
      </c>
      <c r="GL11" s="31">
        <v>22000000</v>
      </c>
      <c r="GM11" s="31">
        <v>45000000</v>
      </c>
      <c r="GN11" s="31">
        <v>16000000</v>
      </c>
      <c r="GO11" s="31">
        <v>30000000</v>
      </c>
      <c r="GP11" s="31">
        <v>65000000</v>
      </c>
      <c r="GQ11" s="31">
        <v>19000000</v>
      </c>
      <c r="GR11" s="31">
        <v>1800000</v>
      </c>
      <c r="GS11" s="31">
        <v>2500000</v>
      </c>
      <c r="GT11" s="31">
        <v>20000000</v>
      </c>
      <c r="GU11" s="31">
        <v>7700000</v>
      </c>
      <c r="GV11" s="31">
        <v>6000000</v>
      </c>
      <c r="GW11" s="31">
        <v>3500000</v>
      </c>
      <c r="GX11" s="31">
        <v>230000</v>
      </c>
      <c r="GY11" s="31">
        <v>170000000</v>
      </c>
      <c r="GZ11" s="31">
        <v>25000000</v>
      </c>
      <c r="HA11" s="31">
        <v>90000000</v>
      </c>
      <c r="HB11" s="31">
        <v>180000000</v>
      </c>
      <c r="HC11" s="31">
        <v>15000000</v>
      </c>
      <c r="HD11" s="31">
        <v>31000000</v>
      </c>
      <c r="HE11" s="31">
        <v>25000000</v>
      </c>
      <c r="HF11" s="31">
        <v>27000000</v>
      </c>
      <c r="HG11" s="31">
        <v>1350000</v>
      </c>
      <c r="HH11" s="31">
        <v>10000000</v>
      </c>
      <c r="HI11" s="31">
        <v>13000000</v>
      </c>
      <c r="HJ11" s="31">
        <v>125000000</v>
      </c>
      <c r="HK11" s="31">
        <v>25000000</v>
      </c>
      <c r="HL11" s="31">
        <v>15000000</v>
      </c>
      <c r="HM11" s="31">
        <v>1900000</v>
      </c>
      <c r="HN11" s="31">
        <v>15000000</v>
      </c>
      <c r="HO11" s="31">
        <v>35000000</v>
      </c>
      <c r="HP11" s="31">
        <v>35000000</v>
      </c>
      <c r="HQ11" s="31">
        <v>61000000</v>
      </c>
      <c r="HR11" s="31">
        <v>15000000</v>
      </c>
      <c r="HS11" s="31">
        <v>6500000</v>
      </c>
      <c r="HT11" s="31">
        <v>38000000</v>
      </c>
      <c r="HU11" s="31">
        <v>25000000</v>
      </c>
      <c r="HV11" s="31">
        <v>6000000</v>
      </c>
      <c r="HW11" s="31">
        <v>12000000</v>
      </c>
      <c r="HX11" s="31">
        <v>1000000</v>
      </c>
      <c r="HY11" s="31">
        <v>500000</v>
      </c>
      <c r="HZ11" s="31">
        <v>39000000</v>
      </c>
      <c r="IA11" s="31">
        <v>63000000</v>
      </c>
      <c r="IB11" s="31">
        <v>140000000</v>
      </c>
      <c r="IC11" s="31">
        <v>204000000</v>
      </c>
      <c r="ID11" s="31">
        <v>200000000</v>
      </c>
      <c r="IE11" s="31">
        <v>175000000</v>
      </c>
      <c r="IF11" s="31">
        <v>175000000</v>
      </c>
      <c r="IG11" s="31">
        <v>140000000</v>
      </c>
      <c r="IH11" s="31">
        <v>150000000</v>
      </c>
      <c r="II11" s="31">
        <v>150000000</v>
      </c>
      <c r="IJ11" s="31">
        <v>150000000</v>
      </c>
      <c r="IK11" s="31">
        <v>300000000</v>
      </c>
      <c r="IL11" s="31">
        <v>150000000</v>
      </c>
      <c r="IM11" s="31">
        <v>150000000</v>
      </c>
      <c r="IN11" s="31">
        <v>175000000</v>
      </c>
      <c r="IO11" s="31">
        <v>150000000</v>
      </c>
      <c r="IP11" s="31">
        <v>150000000</v>
      </c>
      <c r="IQ11" s="31">
        <v>225000000</v>
      </c>
      <c r="IR11" s="31">
        <v>100000000</v>
      </c>
      <c r="IS11" s="31">
        <v>140000000</v>
      </c>
      <c r="IT11" s="31">
        <v>140000000</v>
      </c>
      <c r="IU11" s="31">
        <v>258000000</v>
      </c>
      <c r="IV11" s="31">
        <v>200000000</v>
      </c>
      <c r="IW11" s="31">
        <v>135000000</v>
      </c>
      <c r="IX11" s="31">
        <v>137000000</v>
      </c>
      <c r="IY11" s="31">
        <v>135000000</v>
      </c>
      <c r="IZ11" s="31">
        <v>150000000</v>
      </c>
      <c r="JA11" s="31">
        <v>132000000</v>
      </c>
      <c r="JB11" s="31">
        <v>110000000</v>
      </c>
      <c r="JC11" s="31">
        <v>150000000</v>
      </c>
      <c r="JD11" s="31">
        <v>125000000</v>
      </c>
      <c r="JE11" s="31">
        <v>125000000</v>
      </c>
      <c r="JF11" s="31">
        <v>140000000</v>
      </c>
      <c r="JG11" s="31">
        <v>140000000</v>
      </c>
      <c r="JH11" s="31">
        <v>120000000</v>
      </c>
      <c r="JI11" s="31">
        <v>150000000</v>
      </c>
      <c r="JJ11" s="31">
        <v>125000000</v>
      </c>
      <c r="JK11" s="31">
        <v>115000000</v>
      </c>
      <c r="JL11" s="31">
        <v>115000000</v>
      </c>
      <c r="JM11" s="31">
        <v>115000000</v>
      </c>
      <c r="JN11" s="31">
        <v>115000000</v>
      </c>
      <c r="JO11" s="31">
        <v>113000000</v>
      </c>
      <c r="JP11" s="31">
        <v>150000000</v>
      </c>
      <c r="JQ11" s="31">
        <v>85000000</v>
      </c>
      <c r="JR11" s="31">
        <v>110000000</v>
      </c>
      <c r="JS11" s="31">
        <v>110000000</v>
      </c>
      <c r="JT11" s="31">
        <v>130000000</v>
      </c>
      <c r="JU11" s="31">
        <v>110000000</v>
      </c>
      <c r="JV11" s="31">
        <v>110000000</v>
      </c>
      <c r="JW11" s="31">
        <v>107000000</v>
      </c>
      <c r="JX11" s="31">
        <v>120000000</v>
      </c>
      <c r="JY11" s="31">
        <v>102000000</v>
      </c>
      <c r="JZ11" s="31">
        <v>100000000</v>
      </c>
      <c r="KA11" s="31">
        <v>100000000</v>
      </c>
      <c r="KB11" s="31">
        <v>100000000</v>
      </c>
      <c r="KC11" s="31">
        <v>100000000</v>
      </c>
      <c r="KD11" s="31">
        <v>103000000</v>
      </c>
      <c r="KE11" s="31">
        <v>100000000</v>
      </c>
      <c r="KF11" s="31">
        <v>97000000</v>
      </c>
      <c r="KG11" s="31">
        <v>92000000</v>
      </c>
      <c r="KH11" s="31">
        <v>140000000</v>
      </c>
      <c r="KI11" s="31">
        <v>90000000</v>
      </c>
      <c r="KJ11" s="31">
        <v>90000000</v>
      </c>
      <c r="KK11" s="31">
        <v>90000000</v>
      </c>
      <c r="KL11" s="31">
        <v>90000000</v>
      </c>
      <c r="KM11" s="31">
        <v>88000000</v>
      </c>
      <c r="KN11" s="31">
        <v>75000000</v>
      </c>
      <c r="KO11" s="31">
        <v>85000000</v>
      </c>
      <c r="KP11" s="31">
        <v>85000000</v>
      </c>
      <c r="KQ11" s="31">
        <v>110000000</v>
      </c>
      <c r="KR11" s="31">
        <v>82500000</v>
      </c>
      <c r="KS11" s="31">
        <v>81000000</v>
      </c>
      <c r="KT11" s="31">
        <v>80000000</v>
      </c>
      <c r="KU11" s="31">
        <v>80000000</v>
      </c>
      <c r="KV11" s="31">
        <v>80000000</v>
      </c>
      <c r="KW11" s="31">
        <v>58000000</v>
      </c>
      <c r="KX11" s="31">
        <v>76000000</v>
      </c>
      <c r="KY11" s="31">
        <v>77000000</v>
      </c>
      <c r="KZ11" s="31">
        <v>75000000</v>
      </c>
      <c r="LA11" s="31">
        <v>75000000</v>
      </c>
      <c r="LB11" s="31">
        <v>110000000</v>
      </c>
      <c r="LC11" s="31">
        <v>75000000</v>
      </c>
      <c r="LD11" s="31">
        <v>100000000</v>
      </c>
      <c r="LE11" s="31">
        <v>75000000</v>
      </c>
      <c r="LF11" s="31">
        <v>72500000</v>
      </c>
      <c r="LG11" s="31">
        <v>72000000</v>
      </c>
      <c r="LH11" s="31">
        <v>72000000</v>
      </c>
      <c r="LI11" s="31">
        <v>72000000</v>
      </c>
      <c r="LJ11" s="31">
        <v>60000000</v>
      </c>
      <c r="LK11" s="31">
        <v>160000000</v>
      </c>
      <c r="LL11" s="31">
        <v>150000000</v>
      </c>
      <c r="LM11" s="31">
        <v>70000000</v>
      </c>
      <c r="LN11" s="31">
        <v>58000000</v>
      </c>
      <c r="LO11" s="31">
        <v>70000000</v>
      </c>
      <c r="LP11" s="31">
        <v>100000000</v>
      </c>
      <c r="LQ11" s="31">
        <v>70000000</v>
      </c>
      <c r="LR11" s="31">
        <v>70000000</v>
      </c>
      <c r="LS11" s="31">
        <v>65000000</v>
      </c>
      <c r="LT11" s="31">
        <v>52000000</v>
      </c>
      <c r="LU11" s="31">
        <v>70000000</v>
      </c>
      <c r="LV11" s="31">
        <v>63000000</v>
      </c>
      <c r="LW11" s="31">
        <v>65000000</v>
      </c>
      <c r="LX11" s="31">
        <v>60000000</v>
      </c>
      <c r="LY11" s="31">
        <v>65000000</v>
      </c>
      <c r="LZ11" s="31">
        <v>62000000</v>
      </c>
      <c r="MA11" s="31">
        <v>50000000</v>
      </c>
      <c r="MB11" s="31">
        <v>60000000</v>
      </c>
      <c r="MC11" s="31">
        <v>60000000</v>
      </c>
      <c r="MD11" s="31">
        <v>60000000</v>
      </c>
      <c r="ME11" s="31">
        <v>66000000</v>
      </c>
      <c r="MF11" s="31">
        <v>60000000</v>
      </c>
      <c r="MG11" s="31">
        <v>60000000</v>
      </c>
      <c r="MH11" s="31">
        <v>65000000</v>
      </c>
      <c r="MI11" s="31">
        <v>60000000</v>
      </c>
      <c r="MJ11" s="31">
        <v>55000000</v>
      </c>
      <c r="MK11" s="31">
        <v>53000000</v>
      </c>
      <c r="ML11" s="31">
        <v>75000000</v>
      </c>
      <c r="MM11" s="31">
        <v>70000000</v>
      </c>
      <c r="MN11" s="31">
        <v>90000000</v>
      </c>
      <c r="MO11" s="31">
        <v>30000000</v>
      </c>
      <c r="MP11" s="31">
        <v>55000000</v>
      </c>
      <c r="MQ11" s="31">
        <v>55000000</v>
      </c>
      <c r="MR11" s="31">
        <v>30000000</v>
      </c>
      <c r="MS11" s="31">
        <v>50000000</v>
      </c>
      <c r="MT11" s="31">
        <v>55000000</v>
      </c>
      <c r="MU11" s="31">
        <v>50000000</v>
      </c>
      <c r="MV11" s="31">
        <v>48000000</v>
      </c>
      <c r="MW11" s="31">
        <v>60000000</v>
      </c>
      <c r="MX11" s="31">
        <v>50000000</v>
      </c>
      <c r="MY11" s="31">
        <v>48000000</v>
      </c>
      <c r="MZ11" s="31">
        <v>45000000</v>
      </c>
      <c r="NA11" s="31">
        <v>40000000</v>
      </c>
      <c r="NB11" s="31">
        <v>45000000</v>
      </c>
      <c r="NC11" s="31">
        <v>44000000</v>
      </c>
      <c r="ND11" s="31">
        <v>40000000</v>
      </c>
      <c r="NE11" s="31">
        <v>40000000</v>
      </c>
      <c r="NF11" s="31">
        <v>40000000</v>
      </c>
      <c r="NG11" s="31">
        <v>40000000</v>
      </c>
      <c r="NH11" s="31">
        <v>40000000</v>
      </c>
      <c r="NI11" s="31">
        <v>40000000</v>
      </c>
      <c r="NJ11" s="31">
        <v>40000000</v>
      </c>
      <c r="NK11" s="31">
        <v>39000000</v>
      </c>
      <c r="NL11" s="31">
        <v>35000000</v>
      </c>
      <c r="NM11" s="31">
        <v>36000000</v>
      </c>
      <c r="NN11" s="31">
        <v>46000000</v>
      </c>
      <c r="NO11" s="31">
        <v>33000000</v>
      </c>
      <c r="NP11" s="31">
        <v>35000000</v>
      </c>
      <c r="NQ11" s="31">
        <v>42700000</v>
      </c>
      <c r="NR11" s="31">
        <v>32000000</v>
      </c>
      <c r="NS11" s="31">
        <v>30250000</v>
      </c>
      <c r="NT11" s="31">
        <v>30000000</v>
      </c>
      <c r="NU11" s="31">
        <v>30000000</v>
      </c>
      <c r="NV11" s="31">
        <v>33000000</v>
      </c>
      <c r="NW11" s="31">
        <v>30000000</v>
      </c>
      <c r="NX11" s="31">
        <v>30000000</v>
      </c>
      <c r="NY11" s="31">
        <v>33000000</v>
      </c>
      <c r="NZ11" s="31">
        <v>28170000</v>
      </c>
      <c r="OA11" s="31">
        <v>28000000</v>
      </c>
      <c r="OB11" s="31">
        <v>28000000</v>
      </c>
      <c r="OC11" s="31">
        <v>27500000</v>
      </c>
      <c r="OD11" s="31">
        <v>27000000</v>
      </c>
      <c r="OE11" s="31">
        <v>27000000</v>
      </c>
      <c r="OF11" s="31">
        <v>22000000</v>
      </c>
      <c r="OG11" s="31">
        <v>15000000</v>
      </c>
      <c r="OH11" s="31">
        <v>26000000</v>
      </c>
      <c r="OI11" s="31">
        <v>25000000</v>
      </c>
      <c r="OJ11" s="31">
        <v>30000000</v>
      </c>
      <c r="OK11" s="31">
        <v>25000000</v>
      </c>
      <c r="OL11" s="31">
        <v>22000000</v>
      </c>
      <c r="OM11" s="31">
        <v>26000000</v>
      </c>
      <c r="ON11" s="31">
        <v>25000000</v>
      </c>
      <c r="OO11" s="31">
        <v>21000000</v>
      </c>
      <c r="OP11" s="31">
        <v>24000000</v>
      </c>
      <c r="OQ11" s="31">
        <v>33000000</v>
      </c>
      <c r="OR11" s="31">
        <v>20000000</v>
      </c>
      <c r="OS11" s="31">
        <v>20000000</v>
      </c>
      <c r="OT11" s="31">
        <v>18000000</v>
      </c>
      <c r="OU11" s="31">
        <v>19000000</v>
      </c>
      <c r="OV11" s="31">
        <v>2000000</v>
      </c>
      <c r="OW11" s="31">
        <v>16000000</v>
      </c>
      <c r="OX11" s="31">
        <v>18000000</v>
      </c>
      <c r="OY11" s="31">
        <v>18000000</v>
      </c>
      <c r="OZ11" s="31">
        <v>5500000</v>
      </c>
      <c r="PA11" s="31">
        <v>65000000</v>
      </c>
      <c r="PB11" s="31">
        <v>15000000</v>
      </c>
      <c r="PC11" s="31">
        <v>15000000</v>
      </c>
      <c r="PD11" s="31">
        <v>25000000</v>
      </c>
      <c r="PE11" s="31">
        <v>14000000</v>
      </c>
      <c r="PF11" s="31">
        <v>137000000</v>
      </c>
      <c r="PG11" s="31">
        <v>38000000</v>
      </c>
      <c r="PH11" s="31">
        <v>18000000</v>
      </c>
      <c r="PI11" s="31">
        <v>19000000</v>
      </c>
      <c r="PJ11" s="31">
        <v>11200000</v>
      </c>
      <c r="PK11" s="31">
        <v>11000000</v>
      </c>
      <c r="PL11" s="31">
        <v>10500000</v>
      </c>
      <c r="PM11" s="31">
        <v>10300000</v>
      </c>
      <c r="PN11" s="31">
        <v>11000000</v>
      </c>
      <c r="PO11" s="31">
        <v>8500000</v>
      </c>
      <c r="PP11" s="31">
        <v>7000000</v>
      </c>
      <c r="PQ11" s="31">
        <v>7000000</v>
      </c>
      <c r="PR11" s="31">
        <v>6900000</v>
      </c>
      <c r="PS11" s="31">
        <v>6400000</v>
      </c>
      <c r="PT11" s="31">
        <v>6000000</v>
      </c>
      <c r="PU11" s="31">
        <v>6000000</v>
      </c>
      <c r="PV11" s="31">
        <v>9000000</v>
      </c>
      <c r="PW11" s="31">
        <v>3000000</v>
      </c>
      <c r="PX11" s="31">
        <v>1200000</v>
      </c>
      <c r="PY11" s="31">
        <v>672000</v>
      </c>
      <c r="PZ11" s="31">
        <v>65000</v>
      </c>
      <c r="QA11" s="31">
        <v>185000000</v>
      </c>
      <c r="QB11" s="31">
        <v>210000000</v>
      </c>
      <c r="QC11" s="31">
        <v>195900000</v>
      </c>
      <c r="QD11" s="31">
        <v>180000000</v>
      </c>
      <c r="QE11" s="31">
        <v>200000000</v>
      </c>
      <c r="QF11" s="31">
        <v>170000000</v>
      </c>
      <c r="QG11" s="31">
        <v>125000000</v>
      </c>
      <c r="QH11" s="31">
        <v>255000000</v>
      </c>
      <c r="QI11" s="31">
        <v>170000000</v>
      </c>
      <c r="QJ11" s="31">
        <v>165000000</v>
      </c>
      <c r="QK11" s="31">
        <v>150000000</v>
      </c>
      <c r="QL11" s="31">
        <v>200000000</v>
      </c>
      <c r="QM11" s="31">
        <v>76000000</v>
      </c>
      <c r="QN11" s="31">
        <v>130000000</v>
      </c>
      <c r="QO11" s="31">
        <v>160000000</v>
      </c>
      <c r="QP11" s="31">
        <v>200000000</v>
      </c>
      <c r="QQ11" s="31">
        <v>100000000</v>
      </c>
      <c r="QR11" s="31">
        <v>225000000</v>
      </c>
      <c r="QS11" s="31">
        <v>170000000</v>
      </c>
      <c r="QT11" s="31">
        <v>220000000</v>
      </c>
      <c r="QU11" s="31">
        <v>230000000</v>
      </c>
      <c r="QV11" s="31">
        <v>95000000</v>
      </c>
      <c r="QW11" s="31">
        <v>120000000</v>
      </c>
      <c r="QX11" s="31">
        <v>230000000</v>
      </c>
      <c r="QY11" s="31">
        <v>145000000</v>
      </c>
      <c r="QZ11" s="31">
        <v>78000000</v>
      </c>
      <c r="RA11" s="31">
        <v>215000000</v>
      </c>
      <c r="RB11" s="31">
        <v>195000000</v>
      </c>
      <c r="RC11" s="31">
        <v>378500000</v>
      </c>
      <c r="RD11" s="31">
        <v>110000000</v>
      </c>
      <c r="RE11" s="31">
        <v>145000000</v>
      </c>
      <c r="RF11" s="31">
        <v>150000000</v>
      </c>
      <c r="RG11" s="31">
        <v>125000000</v>
      </c>
      <c r="RH11" s="31">
        <v>80000000</v>
      </c>
      <c r="RI11" s="31">
        <v>110000000</v>
      </c>
      <c r="RJ11" s="31">
        <v>200000000</v>
      </c>
      <c r="RK11" s="31">
        <v>200000000</v>
      </c>
      <c r="RL11" s="31">
        <v>160000000</v>
      </c>
      <c r="RM11" s="31">
        <v>135000000</v>
      </c>
      <c r="RN11" s="31">
        <v>68000000</v>
      </c>
      <c r="RO11" s="31">
        <v>200000000</v>
      </c>
      <c r="RP11" s="31">
        <v>260000000</v>
      </c>
      <c r="RQ11" s="31">
        <v>69000000</v>
      </c>
      <c r="RR11" s="31">
        <v>165000000</v>
      </c>
      <c r="RS11" s="31">
        <v>237000000</v>
      </c>
      <c r="RT11" s="31">
        <v>90000000</v>
      </c>
      <c r="RU11" s="31">
        <v>200000000</v>
      </c>
      <c r="RV11" s="31">
        <v>200000000</v>
      </c>
      <c r="RW11" s="31">
        <v>175000000</v>
      </c>
      <c r="RX11" s="31">
        <v>50000000</v>
      </c>
      <c r="RY11" s="31">
        <v>150000000</v>
      </c>
      <c r="RZ11" s="31">
        <v>35000000</v>
      </c>
      <c r="SA11" s="31">
        <v>185000000</v>
      </c>
      <c r="SB11" s="31">
        <v>130000000</v>
      </c>
      <c r="SC11" s="31">
        <v>150000000</v>
      </c>
      <c r="SD11" s="31">
        <v>150000000</v>
      </c>
      <c r="SE11" s="31">
        <v>140000000</v>
      </c>
      <c r="SF11" s="31">
        <v>180000000</v>
      </c>
      <c r="SG11" s="31">
        <v>130000000</v>
      </c>
      <c r="SH11" s="31">
        <v>25000000</v>
      </c>
      <c r="SI11" s="31">
        <v>80000000</v>
      </c>
      <c r="SJ11" s="31">
        <v>110000000</v>
      </c>
      <c r="SK11" s="31">
        <v>120000000</v>
      </c>
      <c r="SL11" s="31">
        <v>75000000</v>
      </c>
      <c r="SM11" s="31">
        <v>70000000</v>
      </c>
      <c r="SN11" s="31">
        <v>92000000</v>
      </c>
      <c r="SO11" s="31">
        <v>80000000</v>
      </c>
      <c r="SP11" s="31">
        <v>75000000</v>
      </c>
      <c r="SQ11" s="31">
        <v>94000000</v>
      </c>
      <c r="SR11" s="31">
        <v>187300000</v>
      </c>
      <c r="SS11" s="31">
        <v>130000000</v>
      </c>
      <c r="ST11" s="31">
        <v>72000000</v>
      </c>
      <c r="SU11" s="31">
        <v>59000000</v>
      </c>
      <c r="SV11" s="31">
        <v>98000000</v>
      </c>
      <c r="SW11" s="31">
        <v>93000000</v>
      </c>
      <c r="SX11" s="31">
        <v>87000000</v>
      </c>
      <c r="SY11" s="31">
        <v>70000000</v>
      </c>
      <c r="SZ11" s="31">
        <v>127500000</v>
      </c>
      <c r="TA11" s="31">
        <v>123000000</v>
      </c>
      <c r="TB11" s="31">
        <v>55000000</v>
      </c>
      <c r="TC11" s="31">
        <v>100000000</v>
      </c>
      <c r="TD11" s="31">
        <v>90000000</v>
      </c>
      <c r="TE11" s="31">
        <v>130000000</v>
      </c>
      <c r="TF11" s="31">
        <v>80000000</v>
      </c>
      <c r="TG11" s="31">
        <v>33000000</v>
      </c>
      <c r="TH11" s="31">
        <v>130000000</v>
      </c>
      <c r="TI11" s="31">
        <v>23000000</v>
      </c>
      <c r="TJ11" s="31">
        <v>120000000</v>
      </c>
      <c r="TK11" s="31">
        <v>90000000</v>
      </c>
      <c r="TL11" s="31">
        <v>70500000</v>
      </c>
      <c r="TM11" s="31">
        <v>73000000</v>
      </c>
      <c r="TN11" s="31">
        <v>85000000</v>
      </c>
      <c r="TO11" s="31">
        <v>45000000</v>
      </c>
      <c r="TP11" s="31">
        <v>38000000</v>
      </c>
      <c r="TQ11" s="31">
        <v>92000000</v>
      </c>
      <c r="TR11" s="31">
        <v>100000000</v>
      </c>
      <c r="TS11" s="31">
        <v>75000000</v>
      </c>
      <c r="TT11" s="31">
        <v>80000000</v>
      </c>
      <c r="TU11" s="31">
        <v>54000000</v>
      </c>
      <c r="TV11" s="31">
        <v>50000000</v>
      </c>
      <c r="TW11" s="31">
        <v>100000000</v>
      </c>
      <c r="TX11" s="31">
        <v>30000000</v>
      </c>
      <c r="TY11" s="31">
        <v>55000000</v>
      </c>
      <c r="TZ11" s="31">
        <v>100000000</v>
      </c>
      <c r="UA11" s="31">
        <v>55000000</v>
      </c>
      <c r="UB11" s="31">
        <v>65000000</v>
      </c>
      <c r="UC11" s="31">
        <v>45000000</v>
      </c>
      <c r="UD11" s="31">
        <v>23000000</v>
      </c>
      <c r="UE11" s="31">
        <v>30000000</v>
      </c>
      <c r="UF11" s="31">
        <v>46000000</v>
      </c>
      <c r="UG11" s="31">
        <v>17000000</v>
      </c>
      <c r="UH11" s="31">
        <v>35000000</v>
      </c>
      <c r="UI11" s="31">
        <v>60000000</v>
      </c>
      <c r="UJ11" s="31">
        <v>25000000</v>
      </c>
      <c r="UK11" s="31">
        <v>42000000</v>
      </c>
      <c r="UL11" s="31">
        <v>38000000</v>
      </c>
      <c r="UM11" s="31">
        <v>21000000</v>
      </c>
      <c r="UN11" s="31">
        <v>26000000</v>
      </c>
      <c r="UO11" s="31">
        <v>45000000</v>
      </c>
      <c r="UP11" s="31">
        <v>28000000</v>
      </c>
      <c r="UQ11" s="31">
        <v>25000000</v>
      </c>
      <c r="UR11" s="31">
        <v>20000000</v>
      </c>
      <c r="US11" s="31">
        <v>49000000</v>
      </c>
      <c r="UT11" s="31">
        <v>80000000</v>
      </c>
      <c r="UU11" s="31">
        <v>40000000</v>
      </c>
      <c r="UV11" s="31">
        <v>31000000</v>
      </c>
      <c r="UW11" s="31">
        <v>40000000</v>
      </c>
      <c r="UX11" s="31">
        <v>20000000</v>
      </c>
      <c r="UY11" s="31">
        <v>25000000</v>
      </c>
      <c r="UZ11" s="31">
        <v>70000000</v>
      </c>
      <c r="VA11" s="31">
        <v>19000000</v>
      </c>
      <c r="VB11" s="31">
        <v>40000000</v>
      </c>
      <c r="VC11" s="31">
        <v>30000000</v>
      </c>
      <c r="VD11" s="31">
        <v>35000000</v>
      </c>
      <c r="VE11" s="31">
        <v>26000000</v>
      </c>
      <c r="VF11" s="31">
        <v>26000000</v>
      </c>
      <c r="VG11" s="31">
        <v>22000000</v>
      </c>
      <c r="VH11" s="31">
        <v>18000000</v>
      </c>
      <c r="VI11" s="31">
        <v>14000000</v>
      </c>
      <c r="VJ11" s="31">
        <v>13500000</v>
      </c>
      <c r="VK11" s="31">
        <v>35000000</v>
      </c>
      <c r="VL11" s="31">
        <v>7500000</v>
      </c>
      <c r="VM11" s="31">
        <v>16400000</v>
      </c>
      <c r="VN11" s="31">
        <v>18000000</v>
      </c>
      <c r="VO11" s="31">
        <v>37000000</v>
      </c>
      <c r="VP11" s="31">
        <v>40000000</v>
      </c>
      <c r="VQ11" s="31">
        <v>14000000</v>
      </c>
      <c r="VR11" s="31">
        <v>25000000</v>
      </c>
      <c r="VS11" s="31">
        <v>39000000</v>
      </c>
      <c r="VT11" s="31">
        <v>18000000</v>
      </c>
      <c r="VU11" s="31">
        <v>12000000</v>
      </c>
      <c r="VV11" s="31">
        <v>20000000</v>
      </c>
      <c r="VW11" s="31">
        <v>15000000</v>
      </c>
      <c r="VX11" s="31">
        <v>16000000</v>
      </c>
      <c r="VY11" s="31">
        <v>14000000</v>
      </c>
      <c r="VZ11" s="31">
        <v>20000000</v>
      </c>
      <c r="WA11" s="31">
        <v>13000000</v>
      </c>
      <c r="WB11" s="31">
        <v>15000000</v>
      </c>
      <c r="WC11" s="31">
        <v>18000000</v>
      </c>
      <c r="WD11" s="31">
        <v>14500000</v>
      </c>
      <c r="WE11" s="31">
        <v>22000000</v>
      </c>
      <c r="WF11" s="31">
        <v>15000000</v>
      </c>
      <c r="WG11" s="31">
        <v>6000000</v>
      </c>
      <c r="WH11" s="31">
        <v>13000000</v>
      </c>
      <c r="WI11" s="31">
        <v>25000000</v>
      </c>
      <c r="WJ11" s="31">
        <v>5800000</v>
      </c>
      <c r="WK11" s="31">
        <v>25500000</v>
      </c>
      <c r="WL11" s="31">
        <v>28000000</v>
      </c>
      <c r="WM11" s="31">
        <v>15000000</v>
      </c>
      <c r="WN11" s="31">
        <v>28000000</v>
      </c>
      <c r="WO11" s="31">
        <v>17500000</v>
      </c>
      <c r="WP11" s="31">
        <v>25000000</v>
      </c>
      <c r="WQ11" s="31">
        <v>19000000</v>
      </c>
      <c r="WR11" s="31">
        <v>22000000</v>
      </c>
      <c r="WS11" s="31">
        <v>15000000</v>
      </c>
      <c r="WT11" s="31">
        <v>11000000</v>
      </c>
      <c r="WU11" s="31">
        <v>8000000</v>
      </c>
      <c r="WV11" s="31">
        <v>4500000</v>
      </c>
      <c r="WW11" s="31">
        <v>8200000</v>
      </c>
      <c r="WX11" s="31">
        <v>10000000</v>
      </c>
      <c r="WY11" s="31">
        <v>8000000</v>
      </c>
      <c r="WZ11" s="31">
        <v>7000000</v>
      </c>
      <c r="XA11" s="31">
        <v>15000000</v>
      </c>
      <c r="XB11" s="31">
        <v>12000000</v>
      </c>
      <c r="XC11" s="31">
        <v>22000000</v>
      </c>
      <c r="XD11" s="31">
        <v>22000000</v>
      </c>
      <c r="XE11" s="31">
        <v>21000000</v>
      </c>
      <c r="XF11" s="31">
        <v>6000000</v>
      </c>
      <c r="XG11" s="31">
        <v>17000000</v>
      </c>
      <c r="XH11" s="31">
        <v>12000000</v>
      </c>
      <c r="XI11" s="31">
        <v>10700000</v>
      </c>
      <c r="XJ11" s="31">
        <v>50000000</v>
      </c>
      <c r="XK11" s="31">
        <v>7000000</v>
      </c>
      <c r="XL11" s="31">
        <v>18000000</v>
      </c>
      <c r="XM11" s="31">
        <v>10000000</v>
      </c>
      <c r="XN11" s="31">
        <v>10000000</v>
      </c>
      <c r="XO11" s="31">
        <v>3500000</v>
      </c>
      <c r="XP11" s="31">
        <v>15000000</v>
      </c>
      <c r="XQ11" s="31">
        <v>15000000</v>
      </c>
      <c r="XR11" s="31">
        <v>17000000</v>
      </c>
      <c r="XS11" s="31">
        <v>30000000</v>
      </c>
      <c r="XT11" s="31">
        <v>8000000</v>
      </c>
      <c r="XU11" s="31">
        <v>4700000</v>
      </c>
      <c r="XV11" s="31">
        <v>7000000</v>
      </c>
      <c r="XW11" s="31">
        <v>31500000</v>
      </c>
      <c r="XX11" s="31">
        <v>7000000</v>
      </c>
      <c r="XY11" s="31">
        <v>4000000</v>
      </c>
      <c r="XZ11" s="31">
        <v>8000000</v>
      </c>
      <c r="YA11" s="31">
        <v>6000000</v>
      </c>
      <c r="YB11" s="31">
        <v>3000000</v>
      </c>
      <c r="YC11" s="31">
        <v>5000000</v>
      </c>
      <c r="YD11" s="31">
        <v>20000000</v>
      </c>
      <c r="YE11" s="31">
        <v>1500000</v>
      </c>
      <c r="YF11" s="31">
        <v>15000000</v>
      </c>
      <c r="YG11" s="31">
        <v>4300000</v>
      </c>
      <c r="YH11" s="31">
        <v>20000000</v>
      </c>
      <c r="YI11" s="31">
        <v>3500000</v>
      </c>
      <c r="YJ11" s="31">
        <v>9000000</v>
      </c>
      <c r="YK11" s="31">
        <v>4000000</v>
      </c>
      <c r="YL11" s="31">
        <v>1100000</v>
      </c>
      <c r="YM11" s="31">
        <v>8500000</v>
      </c>
      <c r="YN11" s="31">
        <v>2800000</v>
      </c>
      <c r="YO11" s="31">
        <v>6500000</v>
      </c>
      <c r="YP11" s="31">
        <v>9000000</v>
      </c>
      <c r="YQ11" s="31">
        <v>3000000</v>
      </c>
      <c r="YR11" s="31">
        <v>9000000</v>
      </c>
      <c r="YS11" s="31">
        <v>3000000</v>
      </c>
      <c r="YT11" s="31">
        <v>1800000</v>
      </c>
      <c r="YU11" s="31">
        <v>4000000</v>
      </c>
      <c r="YV11" s="31">
        <v>2600000</v>
      </c>
      <c r="YW11" s="31">
        <v>14300000</v>
      </c>
      <c r="YX11" s="31">
        <v>2780000</v>
      </c>
      <c r="YY11" s="31">
        <v>7000000</v>
      </c>
      <c r="YZ11" s="31">
        <v>13000000</v>
      </c>
      <c r="ZA11" s="31">
        <v>3000000</v>
      </c>
      <c r="ZB11" s="31">
        <v>2900000</v>
      </c>
      <c r="ZC11" s="31">
        <v>5500000</v>
      </c>
      <c r="ZD11" s="31">
        <v>12000000</v>
      </c>
      <c r="ZE11" s="31">
        <v>777000</v>
      </c>
      <c r="ZF11" s="31">
        <v>13500000</v>
      </c>
      <c r="ZG11" s="31">
        <v>5000000</v>
      </c>
      <c r="ZH11" s="31">
        <v>7000000</v>
      </c>
      <c r="ZI11" s="31">
        <v>4700000</v>
      </c>
      <c r="ZJ11" s="31">
        <v>2000000</v>
      </c>
      <c r="ZK11" s="31">
        <v>2285000</v>
      </c>
      <c r="ZL11" s="31">
        <v>9000000</v>
      </c>
      <c r="ZM11" s="31">
        <v>1800000</v>
      </c>
      <c r="ZN11" s="31">
        <v>4000000</v>
      </c>
      <c r="ZO11" s="31">
        <v>2200000</v>
      </c>
      <c r="ZP11" s="31">
        <v>10200000</v>
      </c>
      <c r="ZQ11" s="31">
        <v>12600000</v>
      </c>
      <c r="ZR11" s="31">
        <v>6000000</v>
      </c>
      <c r="ZS11" s="31">
        <v>3200000</v>
      </c>
      <c r="ZT11" s="31">
        <v>360000</v>
      </c>
      <c r="ZU11" s="31">
        <v>20000000</v>
      </c>
      <c r="ZV11" s="31">
        <v>5000000</v>
      </c>
      <c r="ZW11" s="31">
        <v>1200000</v>
      </c>
      <c r="ZX11" s="31">
        <v>5500000</v>
      </c>
      <c r="ZY11" s="31">
        <v>5800000</v>
      </c>
      <c r="ZZ11" s="31">
        <v>3000000</v>
      </c>
      <c r="AAA11" s="31">
        <v>4000000</v>
      </c>
      <c r="AAB11" s="31">
        <v>2500000</v>
      </c>
      <c r="AAC11" s="31">
        <v>5400000</v>
      </c>
      <c r="AAD11" s="31">
        <v>114000</v>
      </c>
      <c r="AAE11" s="31">
        <v>9000000</v>
      </c>
      <c r="AAF11" s="31">
        <v>8200000</v>
      </c>
      <c r="AAG11" s="31">
        <v>5760000</v>
      </c>
      <c r="AAH11" s="31">
        <v>17000000</v>
      </c>
      <c r="AAI11" s="31">
        <v>31100000</v>
      </c>
      <c r="AAJ11" s="31">
        <v>14483000</v>
      </c>
      <c r="AAK11" s="31">
        <v>9400000</v>
      </c>
      <c r="AAL11" s="31">
        <v>3000000</v>
      </c>
      <c r="AAM11" s="31">
        <v>3300000</v>
      </c>
      <c r="AAN11" s="31">
        <v>7750000</v>
      </c>
      <c r="AAO11" s="31">
        <v>19000000</v>
      </c>
      <c r="AAP11" s="31">
        <v>2000000</v>
      </c>
      <c r="AAQ11" s="31">
        <v>6000000</v>
      </c>
      <c r="AAR11" s="31">
        <v>6200000</v>
      </c>
      <c r="AAS11" s="31">
        <v>4000000</v>
      </c>
      <c r="AAT11" s="31">
        <v>12000000</v>
      </c>
      <c r="AAU11" s="31">
        <v>806947</v>
      </c>
      <c r="AAV11" s="31">
        <v>4000000</v>
      </c>
      <c r="AAW11" s="31">
        <v>12000000</v>
      </c>
      <c r="AAX11" s="31">
        <v>2800000</v>
      </c>
      <c r="AAY11" s="31">
        <v>15200000</v>
      </c>
      <c r="AAZ11" s="31">
        <v>6000000</v>
      </c>
      <c r="ABA11" s="31">
        <v>4326000</v>
      </c>
      <c r="ABB11" s="31">
        <v>2900000</v>
      </c>
      <c r="ABC11" s="31">
        <v>5610000</v>
      </c>
      <c r="ABD11" s="31">
        <v>3500000</v>
      </c>
      <c r="ABE11" s="31">
        <v>2500000</v>
      </c>
      <c r="ABF11" s="31">
        <v>4300000</v>
      </c>
      <c r="ABG11" s="31">
        <v>2000000</v>
      </c>
      <c r="ABH11" s="31">
        <v>13200000</v>
      </c>
      <c r="ABI11" s="31">
        <v>6000000</v>
      </c>
      <c r="ABJ11" s="31">
        <v>4550000</v>
      </c>
      <c r="ABK11" s="31">
        <v>3750000</v>
      </c>
      <c r="ABL11" s="31">
        <v>2762000</v>
      </c>
      <c r="ABM11" s="31">
        <v>5000000</v>
      </c>
      <c r="ABN11" s="31">
        <v>5500000</v>
      </c>
      <c r="ABO11" s="31">
        <v>4000000</v>
      </c>
      <c r="ABP11" s="31">
        <v>5000000</v>
      </c>
      <c r="ABQ11" s="31">
        <v>4100000</v>
      </c>
      <c r="ABR11" s="31">
        <v>2500000</v>
      </c>
      <c r="ABS11" s="31">
        <v>3100000</v>
      </c>
      <c r="ABT11" s="31">
        <v>4000000</v>
      </c>
      <c r="ABU11" s="31">
        <v>2260000</v>
      </c>
      <c r="ABV11" s="31">
        <v>2500000</v>
      </c>
      <c r="ABW11" s="31">
        <v>3000000</v>
      </c>
      <c r="ABX11" s="31">
        <v>1800000</v>
      </c>
      <c r="ABY11" s="31">
        <v>1000000</v>
      </c>
      <c r="ABZ11" s="31">
        <v>1200000</v>
      </c>
      <c r="ACA11" s="31">
        <v>2900000</v>
      </c>
      <c r="ACB11" s="31">
        <v>2300000</v>
      </c>
      <c r="ACC11" s="31">
        <v>3734000</v>
      </c>
      <c r="ACD11" s="31">
        <v>1000000</v>
      </c>
      <c r="ACE11" s="31">
        <v>3000000</v>
      </c>
      <c r="ACF11" s="31">
        <v>878000</v>
      </c>
      <c r="ACG11" s="31">
        <v>2000000</v>
      </c>
      <c r="ACH11" s="31">
        <v>800000</v>
      </c>
      <c r="ACI11" s="31">
        <v>3850000</v>
      </c>
      <c r="ACJ11" s="31">
        <v>2800000</v>
      </c>
      <c r="ACK11" s="31">
        <v>2000000</v>
      </c>
      <c r="ACL11" s="31">
        <v>1152000</v>
      </c>
      <c r="ACM11" s="31">
        <v>262000</v>
      </c>
      <c r="ACN11" s="31">
        <v>355000</v>
      </c>
      <c r="ACO11" s="31">
        <v>1200000</v>
      </c>
      <c r="ACP11" s="31">
        <v>250000</v>
      </c>
      <c r="ACQ11" s="31">
        <v>306000000</v>
      </c>
      <c r="ACR11" s="31">
        <v>150000000</v>
      </c>
      <c r="ACS11" s="31">
        <v>190000000</v>
      </c>
      <c r="ACT11" s="31">
        <v>250000000</v>
      </c>
      <c r="ACU11" s="31">
        <v>74000000</v>
      </c>
      <c r="ACV11" s="31">
        <v>175000000</v>
      </c>
      <c r="ACW11" s="31">
        <v>150000000</v>
      </c>
      <c r="ACX11" s="31">
        <v>150000000</v>
      </c>
      <c r="ACY11" s="31">
        <v>108000000</v>
      </c>
      <c r="ACZ11" s="31">
        <v>250000000</v>
      </c>
      <c r="ADA11" s="31">
        <v>200000000</v>
      </c>
      <c r="ADB11" s="31">
        <v>150000000</v>
      </c>
      <c r="ADC11" s="31">
        <v>175000000</v>
      </c>
      <c r="ADD11" s="31">
        <v>250000000</v>
      </c>
      <c r="ADE11" s="31">
        <v>75000000</v>
      </c>
      <c r="ADF11" s="31">
        <v>58000000</v>
      </c>
      <c r="ADG11" s="31">
        <v>175000000</v>
      </c>
      <c r="ADH11" s="31">
        <v>178000000</v>
      </c>
      <c r="ADI11" s="31">
        <v>165000000</v>
      </c>
      <c r="ADJ11" s="31">
        <v>75000000</v>
      </c>
      <c r="ADK11" s="31">
        <v>1200000</v>
      </c>
      <c r="ADL11" s="31">
        <v>2033000</v>
      </c>
      <c r="ADM11" s="31">
        <v>1330000</v>
      </c>
      <c r="ADN11" s="31">
        <v>1950000</v>
      </c>
      <c r="ADO11" s="31">
        <v>4000000</v>
      </c>
      <c r="ADP11" s="31">
        <v>839727</v>
      </c>
      <c r="ADQ11" s="31">
        <v>151000</v>
      </c>
      <c r="ADR11" s="31">
        <v>3180000</v>
      </c>
      <c r="ADS11" s="31">
        <v>1500000</v>
      </c>
      <c r="ADT11" s="31">
        <v>630000</v>
      </c>
      <c r="ADU11" s="31">
        <v>4650000</v>
      </c>
      <c r="ADV11" s="31">
        <v>4474000</v>
      </c>
      <c r="ADW11" s="31">
        <v>20000000</v>
      </c>
      <c r="ADX11" s="31">
        <v>25000000</v>
      </c>
      <c r="ADY11" s="31">
        <v>49000000</v>
      </c>
      <c r="ADZ11" s="31">
        <v>25000000</v>
      </c>
      <c r="AEA11" s="31">
        <v>55000000</v>
      </c>
      <c r="AEB11" s="31">
        <v>145000000</v>
      </c>
      <c r="AEC11" s="31">
        <v>82000000</v>
      </c>
      <c r="AED11" s="31">
        <v>100000000</v>
      </c>
      <c r="AEE11" s="31">
        <v>90000000</v>
      </c>
      <c r="AEF11" s="31">
        <v>150000000</v>
      </c>
      <c r="AEG11" s="31">
        <v>75000000</v>
      </c>
      <c r="AEH11" s="31">
        <v>125000000</v>
      </c>
      <c r="AEI11" s="31">
        <v>19500000</v>
      </c>
      <c r="AEJ11" s="31">
        <v>50000000</v>
      </c>
      <c r="AEK11" s="31">
        <v>80000000</v>
      </c>
      <c r="AEL11" s="31">
        <v>60000000</v>
      </c>
      <c r="AEM11" s="31">
        <v>20000000</v>
      </c>
      <c r="AEN11" s="31">
        <v>225000000</v>
      </c>
      <c r="AEO11" s="31">
        <v>150000000</v>
      </c>
      <c r="AEP11" s="31">
        <v>220000000</v>
      </c>
      <c r="AEQ11" s="31">
        <v>70000000</v>
      </c>
      <c r="AER11" s="31">
        <v>40000000</v>
      </c>
      <c r="AES11" s="31">
        <v>110000000</v>
      </c>
      <c r="AET11" s="31">
        <v>85000000</v>
      </c>
      <c r="AEU11" s="31">
        <v>40000000</v>
      </c>
      <c r="AEV11" s="31">
        <v>30000000</v>
      </c>
      <c r="AEW11" s="31">
        <v>115000000</v>
      </c>
      <c r="AEX11" s="31">
        <v>49000000</v>
      </c>
      <c r="AEY11" s="31">
        <v>350000000</v>
      </c>
      <c r="AEZ11" s="31">
        <v>65000000</v>
      </c>
      <c r="AFA11" s="31">
        <v>30000000</v>
      </c>
      <c r="AFB11" s="31">
        <v>120000000</v>
      </c>
      <c r="AFC11" s="31">
        <v>155000000</v>
      </c>
      <c r="AFD11" s="31">
        <v>4500000</v>
      </c>
      <c r="AFE11" s="31">
        <v>35000000</v>
      </c>
      <c r="AFF11" s="31">
        <v>50000000</v>
      </c>
      <c r="AFG11" s="31">
        <v>45000000</v>
      </c>
      <c r="AFH11" s="31">
        <v>200000000</v>
      </c>
      <c r="AFI11" s="31">
        <v>85000000</v>
      </c>
      <c r="AFJ11" s="31">
        <v>82000000</v>
      </c>
      <c r="AFK11" s="31">
        <v>100000000</v>
      </c>
      <c r="AFL11" s="31">
        <v>140000000</v>
      </c>
      <c r="AFM11" s="31">
        <v>75000000</v>
      </c>
      <c r="AFN11" s="31">
        <v>60000000</v>
      </c>
      <c r="AFO11" s="31">
        <v>125000000</v>
      </c>
      <c r="AFP11" s="31">
        <v>38000000</v>
      </c>
      <c r="AFQ11" s="31">
        <v>29000000</v>
      </c>
      <c r="AFR11" s="31">
        <v>18000000</v>
      </c>
      <c r="AFS11" s="31">
        <v>11000000</v>
      </c>
      <c r="AFT11" s="31">
        <v>10000000</v>
      </c>
      <c r="AFU11" s="31">
        <v>210000000</v>
      </c>
      <c r="AFV11" s="31">
        <v>18000000</v>
      </c>
      <c r="AFW11" s="31">
        <v>16000000</v>
      </c>
      <c r="AFX11" s="31">
        <v>90000000</v>
      </c>
      <c r="AFY11" s="31">
        <v>1000000</v>
      </c>
      <c r="AFZ11" s="31">
        <v>65000000</v>
      </c>
      <c r="AGA11" s="31">
        <v>65000000</v>
      </c>
      <c r="AGB11" s="31">
        <v>160000000</v>
      </c>
      <c r="AGC11" s="31">
        <v>90000000</v>
      </c>
      <c r="AGD11" s="31">
        <v>120000000</v>
      </c>
      <c r="AGE11" s="31">
        <v>30000000</v>
      </c>
      <c r="AGF11" s="31">
        <v>35000000</v>
      </c>
      <c r="AGG11" s="31">
        <v>70000000</v>
      </c>
      <c r="AGH11" s="31">
        <v>55000000</v>
      </c>
      <c r="AGI11" s="31">
        <v>35000000</v>
      </c>
      <c r="AGJ11" s="31">
        <v>40000000</v>
      </c>
      <c r="AGK11" s="31">
        <v>450000</v>
      </c>
      <c r="AGL11" s="31">
        <v>35000000</v>
      </c>
      <c r="AGM11" s="31">
        <v>36000000</v>
      </c>
      <c r="AGN11" s="31">
        <v>100000000</v>
      </c>
      <c r="AGO11" s="31">
        <v>52000000</v>
      </c>
      <c r="AGP11" s="31">
        <v>60000000</v>
      </c>
      <c r="AGQ11" s="31">
        <v>65000000</v>
      </c>
      <c r="AGR11" s="31">
        <v>99500000</v>
      </c>
      <c r="AGS11" s="31">
        <v>140000000</v>
      </c>
      <c r="AGT11" s="31">
        <v>65000000</v>
      </c>
      <c r="AGU11" s="31">
        <v>11000000</v>
      </c>
      <c r="AGV11" s="31">
        <v>35000000</v>
      </c>
      <c r="AGW11" s="31">
        <v>15000000</v>
      </c>
      <c r="AGX11" s="31">
        <v>14000000</v>
      </c>
      <c r="AGY11" s="31">
        <v>47000000</v>
      </c>
      <c r="AGZ11" s="31">
        <v>27000000</v>
      </c>
      <c r="AHA11" s="31">
        <v>145000000</v>
      </c>
      <c r="AHB11" s="31">
        <v>23000000</v>
      </c>
      <c r="AHC11" s="31">
        <v>18000000</v>
      </c>
      <c r="AHD11" s="31">
        <v>6000000</v>
      </c>
      <c r="AHE11" s="31">
        <v>2700000</v>
      </c>
      <c r="AHF11" s="31">
        <v>500000</v>
      </c>
      <c r="AHG11" s="31">
        <v>2300000</v>
      </c>
      <c r="AHH11" s="31">
        <v>17000000</v>
      </c>
      <c r="AHI11" s="31">
        <v>900000</v>
      </c>
      <c r="AHJ11" s="31">
        <v>3000000</v>
      </c>
      <c r="AHK11" s="31">
        <v>5000000</v>
      </c>
      <c r="AHL11" s="31">
        <v>14400000</v>
      </c>
      <c r="AHM11" s="31">
        <v>1600000</v>
      </c>
      <c r="AHN11" s="31">
        <v>1500000</v>
      </c>
      <c r="AHO11" s="31">
        <v>4000000</v>
      </c>
      <c r="AHP11" s="31">
        <v>3700000</v>
      </c>
      <c r="AHQ11" s="31">
        <v>15000000</v>
      </c>
      <c r="AHR11" s="31">
        <v>31000000</v>
      </c>
      <c r="AHS11" s="31">
        <v>60000000</v>
      </c>
      <c r="AHT11" s="31">
        <v>33000000</v>
      </c>
      <c r="AHU11" s="31">
        <v>60000000</v>
      </c>
      <c r="AHV11" s="31">
        <v>58800000</v>
      </c>
      <c r="AHW11" s="31">
        <v>60000000</v>
      </c>
      <c r="AHX11" s="31">
        <v>35000000</v>
      </c>
      <c r="AHY11" s="31">
        <v>55000000</v>
      </c>
      <c r="AHZ11" s="31">
        <v>65000000</v>
      </c>
      <c r="AIA11" s="31">
        <v>45000000</v>
      </c>
      <c r="AIB11" s="31">
        <v>45000000</v>
      </c>
      <c r="AIC11" s="31">
        <v>57000000</v>
      </c>
      <c r="AID11" s="31">
        <v>15000000</v>
      </c>
      <c r="AIE11" s="31">
        <v>16000000</v>
      </c>
      <c r="AIF11" s="31">
        <v>8000000</v>
      </c>
      <c r="AIG11" s="31">
        <v>6000000</v>
      </c>
      <c r="AIH11" s="31">
        <v>20000000</v>
      </c>
      <c r="AII11" s="31">
        <v>12000000</v>
      </c>
      <c r="AIJ11" s="31">
        <v>3350000</v>
      </c>
      <c r="AIK11" s="31">
        <v>2200000</v>
      </c>
      <c r="AIL11" s="31">
        <v>3000000</v>
      </c>
      <c r="AIM11" s="31">
        <v>3800000</v>
      </c>
      <c r="AIN11" s="31">
        <v>185000000</v>
      </c>
      <c r="AIO11" s="31">
        <v>185000000</v>
      </c>
      <c r="AIP11" s="31">
        <v>150000000</v>
      </c>
      <c r="AIQ11" s="31">
        <v>13000000</v>
      </c>
      <c r="AIR11" s="31">
        <v>100000000</v>
      </c>
      <c r="AIS11" s="31">
        <v>230000</v>
      </c>
      <c r="AIT11" s="31">
        <v>6100000</v>
      </c>
      <c r="AIU11" s="31">
        <v>250000</v>
      </c>
      <c r="AIV11" s="31">
        <v>10000000</v>
      </c>
      <c r="AIW11" s="31">
        <v>1500000</v>
      </c>
      <c r="AIX11" s="31">
        <v>1300000</v>
      </c>
      <c r="AIY11" s="31">
        <v>500000</v>
      </c>
      <c r="AIZ11" s="31">
        <v>14000000</v>
      </c>
      <c r="AJA11" s="31">
        <v>19000000</v>
      </c>
      <c r="AJB11" s="31">
        <v>13800000</v>
      </c>
      <c r="AJC11" s="31">
        <v>7000000</v>
      </c>
      <c r="AJD11" s="31">
        <v>34000000</v>
      </c>
      <c r="AJE11" s="31">
        <v>50000000</v>
      </c>
      <c r="AJF11" s="31">
        <v>155000000</v>
      </c>
      <c r="AJG11" s="31">
        <v>80000000</v>
      </c>
      <c r="AJH11" s="31">
        <v>28000000</v>
      </c>
      <c r="AJI11" s="31">
        <v>35000000</v>
      </c>
      <c r="AJJ11" s="31">
        <v>135000000</v>
      </c>
      <c r="AJK11" s="31">
        <v>50000000</v>
      </c>
      <c r="AJL11" s="31">
        <v>40000000</v>
      </c>
      <c r="AJM11" s="31">
        <v>50000000</v>
      </c>
      <c r="AJN11" s="31">
        <v>15000000</v>
      </c>
      <c r="AJO11" s="31">
        <v>165000000</v>
      </c>
      <c r="AJP11" s="31">
        <v>144000000</v>
      </c>
      <c r="AJQ11" s="31">
        <v>120000000</v>
      </c>
      <c r="AJR11" s="31">
        <v>19000000</v>
      </c>
      <c r="AJS11" s="31">
        <v>12000000</v>
      </c>
      <c r="AJT11" s="31">
        <v>70000000</v>
      </c>
      <c r="AJU11" s="31">
        <v>100000000</v>
      </c>
      <c r="AJV11" s="31">
        <v>54000000</v>
      </c>
      <c r="AJW11" s="31">
        <v>10000000</v>
      </c>
      <c r="AJX11" s="31">
        <v>20000000</v>
      </c>
      <c r="AJY11" s="31">
        <v>2000000</v>
      </c>
      <c r="AJZ11" s="31">
        <v>107600000</v>
      </c>
      <c r="AKA11" s="31">
        <v>30000000</v>
      </c>
      <c r="AKB11" s="31">
        <v>45000000</v>
      </c>
      <c r="AKC11" s="31">
        <v>75000000</v>
      </c>
      <c r="AKD11" s="31">
        <v>120000000</v>
      </c>
      <c r="AKE11" s="31">
        <v>61000000</v>
      </c>
      <c r="AKF11" s="31">
        <v>70000000</v>
      </c>
      <c r="AKG11" s="31">
        <v>55000000</v>
      </c>
      <c r="AKH11" s="31">
        <v>30000000</v>
      </c>
      <c r="AKI11" s="31">
        <v>110000000</v>
      </c>
      <c r="AKJ11" s="31">
        <v>70000000</v>
      </c>
      <c r="AKK11" s="31">
        <v>100000000</v>
      </c>
      <c r="AKL11" s="31">
        <v>70000000</v>
      </c>
      <c r="AKM11" s="31">
        <v>150000000</v>
      </c>
      <c r="AKN11" s="31">
        <v>130000000</v>
      </c>
      <c r="AKO11" s="31">
        <v>225000000</v>
      </c>
      <c r="AKP11" s="31">
        <v>82000000</v>
      </c>
      <c r="AKQ11" s="31">
        <v>26000000</v>
      </c>
      <c r="AKR11" s="31">
        <v>60000000</v>
      </c>
      <c r="AKS11" s="31">
        <v>60000000</v>
      </c>
      <c r="AKT11" s="31">
        <v>8500000</v>
      </c>
      <c r="AKU11" s="31">
        <v>150000000</v>
      </c>
      <c r="AKV11" s="31">
        <v>23000000</v>
      </c>
      <c r="AKW11" s="31">
        <v>26000000</v>
      </c>
      <c r="AKX11" s="31">
        <v>200000000</v>
      </c>
      <c r="AKY11" s="31">
        <v>110000000</v>
      </c>
      <c r="AKZ11" s="31">
        <v>14000000</v>
      </c>
      <c r="ALA11" s="31">
        <v>160000000</v>
      </c>
      <c r="ALB11" s="31">
        <v>5000000</v>
      </c>
      <c r="ALC11" s="31">
        <v>24000000</v>
      </c>
      <c r="ALD11" s="31">
        <v>105000000</v>
      </c>
      <c r="ALE11" s="31">
        <v>30000000</v>
      </c>
      <c r="ALF11" s="31">
        <v>42000000</v>
      </c>
      <c r="ALG11" s="31">
        <v>100000000</v>
      </c>
      <c r="ALH11" s="31">
        <v>15000000</v>
      </c>
      <c r="ALI11" s="31">
        <v>40000000</v>
      </c>
      <c r="ALJ11" s="31">
        <v>75000000</v>
      </c>
      <c r="ALK11" s="31">
        <v>130000000</v>
      </c>
      <c r="ALL11" s="31">
        <v>24500000</v>
      </c>
      <c r="ALM11" s="31">
        <v>30000000</v>
      </c>
      <c r="ALN11" s="31">
        <v>16500000</v>
      </c>
      <c r="ALO11" s="31">
        <v>47000000</v>
      </c>
      <c r="ALP11" s="31">
        <v>50000000</v>
      </c>
      <c r="ALQ11" s="31">
        <v>62000000</v>
      </c>
      <c r="ALR11" s="31">
        <v>70000000</v>
      </c>
      <c r="ALS11" s="31">
        <v>200000000</v>
      </c>
      <c r="ALT11" s="31">
        <v>145000000</v>
      </c>
      <c r="ALU11" s="31">
        <v>37000000</v>
      </c>
      <c r="ALV11" s="31">
        <v>30000000</v>
      </c>
      <c r="ALW11" s="31">
        <v>90000000</v>
      </c>
      <c r="ALX11" s="31">
        <v>20000000</v>
      </c>
      <c r="ALY11" s="31">
        <v>135000000</v>
      </c>
      <c r="ALZ11" s="31">
        <v>18000000</v>
      </c>
      <c r="AMA11" s="31">
        <v>20000000</v>
      </c>
      <c r="AMB11" s="31">
        <v>51000000</v>
      </c>
      <c r="AMC11" s="31">
        <v>68000000</v>
      </c>
      <c r="AMD11" s="31">
        <v>40000000</v>
      </c>
      <c r="AME11" s="31">
        <v>50000000</v>
      </c>
      <c r="AMF11" s="31">
        <v>25000000</v>
      </c>
      <c r="AMG11" s="31">
        <v>25000000</v>
      </c>
      <c r="AMH11" s="31">
        <v>32000000</v>
      </c>
      <c r="AMI11" s="31">
        <v>20000000</v>
      </c>
      <c r="AMJ11" s="31">
        <v>15000000</v>
      </c>
      <c r="AMK11" s="31">
        <v>50000000</v>
      </c>
      <c r="AML11" s="31">
        <v>33000000</v>
      </c>
      <c r="AMM11" s="31">
        <v>30000000</v>
      </c>
      <c r="AMN11" s="31">
        <v>22000000</v>
      </c>
      <c r="AMO11" s="31">
        <v>46000000</v>
      </c>
      <c r="AMP11" s="31">
        <v>163000000</v>
      </c>
      <c r="AMQ11" s="31">
        <v>125000000</v>
      </c>
      <c r="AMR11" s="31">
        <v>176000000</v>
      </c>
      <c r="AMS11" s="31">
        <v>30000000</v>
      </c>
      <c r="AMT11" s="31">
        <v>178000000</v>
      </c>
      <c r="AMU11" s="31">
        <v>50200000</v>
      </c>
      <c r="AMV11" s="31">
        <v>150000000</v>
      </c>
      <c r="AMW11" s="31">
        <v>75000000</v>
      </c>
      <c r="AMX11" s="31">
        <v>65000000</v>
      </c>
      <c r="AMY11" s="31">
        <v>130000000</v>
      </c>
      <c r="AMZ11" s="31">
        <v>55000000</v>
      </c>
      <c r="ANA11" s="31">
        <v>120000000</v>
      </c>
      <c r="ANB11" s="31">
        <v>47000000</v>
      </c>
      <c r="ANC11" s="31">
        <v>7000000</v>
      </c>
      <c r="AND11" s="31">
        <v>30000000</v>
      </c>
      <c r="ANE11" s="31">
        <v>31000000</v>
      </c>
      <c r="ANF11" s="31">
        <v>10000000</v>
      </c>
      <c r="ANG11" s="31">
        <v>11000000</v>
      </c>
      <c r="ANH11" s="31">
        <v>10000000</v>
      </c>
      <c r="ANI11" s="31">
        <v>8500000</v>
      </c>
      <c r="ANJ11" s="31">
        <v>26000000</v>
      </c>
      <c r="ANK11" s="31">
        <v>55000000</v>
      </c>
      <c r="ANL11" s="31">
        <v>100000000</v>
      </c>
      <c r="ANM11" s="31">
        <v>3520000</v>
      </c>
      <c r="ANN11" s="31">
        <v>25300000</v>
      </c>
      <c r="ANO11" s="31">
        <v>78000000</v>
      </c>
      <c r="ANP11" s="31">
        <v>60000000</v>
      </c>
      <c r="ANQ11" s="31">
        <v>23000000</v>
      </c>
      <c r="ANR11" s="31">
        <v>84500000</v>
      </c>
      <c r="ANS11" s="31">
        <v>105000000</v>
      </c>
      <c r="ANT11" s="31">
        <v>10000000</v>
      </c>
      <c r="ANU11" s="31">
        <v>65000000</v>
      </c>
      <c r="ANV11" s="31">
        <v>5100000</v>
      </c>
      <c r="ANW11" s="31">
        <v>2070000</v>
      </c>
      <c r="ANX11" s="31">
        <v>11000000</v>
      </c>
      <c r="ANY11" s="31">
        <v>5400000</v>
      </c>
      <c r="ANZ11" s="31">
        <v>1500000</v>
      </c>
      <c r="AOA11" s="31">
        <v>1985000</v>
      </c>
      <c r="AOB11" s="31">
        <v>1800000</v>
      </c>
      <c r="AOC11" s="31">
        <v>910000</v>
      </c>
      <c r="AOD11" s="31">
        <v>3800000</v>
      </c>
      <c r="AOE11" s="31">
        <v>21000000</v>
      </c>
      <c r="AOF11" s="31">
        <v>2295000</v>
      </c>
      <c r="AOG11" s="31">
        <v>1000000</v>
      </c>
      <c r="AOH11" s="31">
        <v>2900000</v>
      </c>
      <c r="AOI11" s="31">
        <v>29000000</v>
      </c>
      <c r="AOJ11" s="31">
        <v>40000000</v>
      </c>
    </row>
    <row r="12" spans="1:1076" x14ac:dyDescent="0.3">
      <c r="A12" s="47" t="s">
        <v>11</v>
      </c>
      <c r="B12" s="44">
        <v>384300000</v>
      </c>
      <c r="C12" s="31">
        <v>239600000</v>
      </c>
      <c r="D12" s="31">
        <v>328000000</v>
      </c>
      <c r="E12" s="31">
        <v>100000000</v>
      </c>
      <c r="F12" s="31">
        <v>23700000</v>
      </c>
      <c r="G12" s="31">
        <v>36200000</v>
      </c>
      <c r="H12" s="31">
        <v>378400000</v>
      </c>
      <c r="I12" s="31">
        <v>30600000</v>
      </c>
      <c r="J12" s="31">
        <v>368700000</v>
      </c>
      <c r="K12" s="31">
        <v>105000000</v>
      </c>
      <c r="L12" s="31">
        <v>177394432</v>
      </c>
      <c r="M12" s="31">
        <v>213525736</v>
      </c>
      <c r="N12" s="31">
        <v>92863945</v>
      </c>
      <c r="O12" s="31">
        <v>553800000</v>
      </c>
      <c r="P12" s="31">
        <v>51700000</v>
      </c>
      <c r="Q12" s="31">
        <v>100000000</v>
      </c>
      <c r="R12" s="31">
        <v>124000000</v>
      </c>
      <c r="S12" s="31">
        <v>124300000</v>
      </c>
      <c r="T12" s="31">
        <v>10300000</v>
      </c>
      <c r="U12" s="31">
        <v>263920180</v>
      </c>
      <c r="V12" s="31">
        <v>45284974</v>
      </c>
      <c r="W12" s="31">
        <v>173921954</v>
      </c>
      <c r="X12" s="31">
        <v>64400000</v>
      </c>
      <c r="Y12" s="31">
        <v>50900000</v>
      </c>
      <c r="Z12" s="31">
        <v>43900000</v>
      </c>
      <c r="AA12" s="31">
        <v>85160000</v>
      </c>
      <c r="AB12" s="31">
        <v>12000000</v>
      </c>
      <c r="AC12" s="31">
        <v>14100000</v>
      </c>
      <c r="AD12" s="31">
        <v>226800000</v>
      </c>
      <c r="AE12" s="31">
        <v>52800000</v>
      </c>
      <c r="AF12" s="31">
        <v>17900000</v>
      </c>
      <c r="AG12" s="31">
        <v>19400000</v>
      </c>
      <c r="AH12" s="31">
        <v>52600000</v>
      </c>
      <c r="AI12" s="31">
        <v>72649179</v>
      </c>
      <c r="AJ12" s="31">
        <v>84970337</v>
      </c>
      <c r="AK12" s="31">
        <v>77356942</v>
      </c>
      <c r="AL12" s="31">
        <v>56300000</v>
      </c>
      <c r="AM12" s="31">
        <v>100000000</v>
      </c>
      <c r="AN12" s="31">
        <v>32392047</v>
      </c>
      <c r="AO12" s="31">
        <v>2800000</v>
      </c>
      <c r="AP12" s="31">
        <v>3400000</v>
      </c>
      <c r="AQ12" s="31">
        <v>5200000</v>
      </c>
      <c r="AR12" s="31">
        <v>850000</v>
      </c>
      <c r="AS12" s="31">
        <v>22000000</v>
      </c>
      <c r="AT12" s="31">
        <v>16250000</v>
      </c>
      <c r="AU12" s="31">
        <v>11000000</v>
      </c>
      <c r="AV12" s="31">
        <v>40000000</v>
      </c>
      <c r="AW12" s="31">
        <v>29100000</v>
      </c>
      <c r="AX12" s="31">
        <v>18000000</v>
      </c>
      <c r="AY12" s="31">
        <v>4500000</v>
      </c>
      <c r="AZ12" s="31">
        <v>21900000</v>
      </c>
      <c r="BA12" s="31">
        <v>49700000</v>
      </c>
      <c r="BB12" s="31">
        <v>156844000</v>
      </c>
      <c r="BC12" s="31">
        <v>15000000</v>
      </c>
      <c r="BD12" s="31">
        <v>102000000</v>
      </c>
      <c r="BE12" s="31">
        <v>9140000</v>
      </c>
      <c r="BF12" s="31">
        <v>6600000</v>
      </c>
      <c r="BG12" s="31">
        <v>25100000</v>
      </c>
      <c r="BH12" s="31">
        <v>14500000</v>
      </c>
      <c r="BI12" s="31">
        <v>15000000</v>
      </c>
      <c r="BJ12" s="31">
        <v>5321500</v>
      </c>
      <c r="BK12" s="31">
        <v>4500000</v>
      </c>
      <c r="BL12" s="31">
        <v>26000000</v>
      </c>
      <c r="BM12" s="31">
        <v>15000000</v>
      </c>
      <c r="BN12" s="31">
        <v>29500000</v>
      </c>
      <c r="BO12" s="31">
        <v>250000</v>
      </c>
      <c r="BP12" s="31">
        <v>1400000</v>
      </c>
      <c r="BQ12" s="31">
        <v>17100000</v>
      </c>
      <c r="BR12" s="31">
        <v>25000000</v>
      </c>
      <c r="BS12" s="31">
        <v>4000000</v>
      </c>
      <c r="BT12" s="31">
        <v>5000000</v>
      </c>
      <c r="BU12" s="31">
        <v>175000</v>
      </c>
      <c r="BV12" s="31">
        <v>200000</v>
      </c>
      <c r="BW12" s="31">
        <v>6900000</v>
      </c>
      <c r="BX12" s="31">
        <v>550500000</v>
      </c>
      <c r="BY12" s="31">
        <v>871530324</v>
      </c>
      <c r="BZ12" s="31">
        <v>1119929521</v>
      </c>
      <c r="CA12" s="31">
        <v>926047111</v>
      </c>
      <c r="CB12" s="31">
        <v>1608570</v>
      </c>
      <c r="CC12" s="31">
        <v>955100000</v>
      </c>
      <c r="CD12" s="31">
        <v>958400000</v>
      </c>
      <c r="CE12" s="31">
        <v>1021000000</v>
      </c>
      <c r="CF12" s="31">
        <v>171600000</v>
      </c>
      <c r="CG12" s="31">
        <v>33899078</v>
      </c>
      <c r="CH12" s="31">
        <v>38860000</v>
      </c>
      <c r="CI12" s="31">
        <v>20000000</v>
      </c>
      <c r="CJ12" s="31">
        <v>210800000</v>
      </c>
      <c r="CK12" s="31">
        <v>104395000</v>
      </c>
      <c r="CL12" s="31">
        <v>43500000</v>
      </c>
      <c r="CM12" s="31">
        <v>150000</v>
      </c>
      <c r="CN12" s="31">
        <v>20112926</v>
      </c>
      <c r="CO12" s="31">
        <v>9000000</v>
      </c>
      <c r="CP12" s="31">
        <v>27200000</v>
      </c>
      <c r="CQ12" s="31">
        <v>15000000</v>
      </c>
      <c r="CR12" s="31">
        <v>939885929</v>
      </c>
      <c r="CS12" s="31">
        <v>896911078</v>
      </c>
      <c r="CT12" s="31">
        <v>431971116</v>
      </c>
      <c r="CU12" s="31">
        <v>361832400</v>
      </c>
      <c r="CV12" s="31">
        <v>796688549</v>
      </c>
      <c r="CW12" s="31">
        <v>974800000</v>
      </c>
      <c r="CX12" s="31">
        <v>333011068</v>
      </c>
      <c r="CY12" s="31">
        <v>599000000</v>
      </c>
      <c r="CZ12" s="31">
        <v>878979634</v>
      </c>
      <c r="DA12" s="31">
        <v>352194034</v>
      </c>
      <c r="DB12" s="31">
        <v>156000000</v>
      </c>
      <c r="DC12" s="31">
        <v>191200000</v>
      </c>
      <c r="DD12" s="31">
        <v>210300000</v>
      </c>
      <c r="DE12" s="31">
        <v>194900000</v>
      </c>
      <c r="DF12" s="31">
        <v>52767889</v>
      </c>
      <c r="DG12" s="31">
        <v>261600000</v>
      </c>
      <c r="DH12" s="31">
        <v>80700000</v>
      </c>
      <c r="DI12" s="31">
        <v>134993774</v>
      </c>
      <c r="DJ12" s="31">
        <v>82719885</v>
      </c>
      <c r="DK12" s="31">
        <v>144000000</v>
      </c>
      <c r="DL12" s="31">
        <v>72000000</v>
      </c>
      <c r="DM12" s="31">
        <v>185400000</v>
      </c>
      <c r="DN12" s="31">
        <v>41700000</v>
      </c>
      <c r="DO12" s="31">
        <v>141200000</v>
      </c>
      <c r="DP12" s="31">
        <v>64600000</v>
      </c>
      <c r="DQ12" s="31">
        <v>116000000</v>
      </c>
      <c r="DR12" s="31">
        <v>126400000</v>
      </c>
      <c r="DS12" s="31">
        <v>98500000</v>
      </c>
      <c r="DT12" s="31">
        <v>30000000</v>
      </c>
      <c r="DU12" s="31">
        <v>257700832</v>
      </c>
      <c r="DV12" s="31">
        <v>78900000</v>
      </c>
      <c r="DW12" s="31">
        <v>59500000</v>
      </c>
      <c r="DX12" s="31">
        <v>32017803</v>
      </c>
      <c r="DY12" s="31">
        <v>178120010</v>
      </c>
      <c r="DZ12" s="31">
        <v>1109000000</v>
      </c>
      <c r="EA12" s="31">
        <v>1342000000</v>
      </c>
      <c r="EB12" s="31">
        <v>1025000000</v>
      </c>
      <c r="EC12" s="31">
        <v>960300000</v>
      </c>
      <c r="ED12" s="31">
        <v>934400000</v>
      </c>
      <c r="EE12" s="31">
        <v>524000000</v>
      </c>
      <c r="EF12" s="31">
        <v>609800000</v>
      </c>
      <c r="EG12" s="31">
        <v>586100000</v>
      </c>
      <c r="EH12" s="31">
        <v>419700000</v>
      </c>
      <c r="EI12" s="31">
        <v>745000000</v>
      </c>
      <c r="EJ12" s="31">
        <v>363889678</v>
      </c>
      <c r="EK12" s="31">
        <v>289300000</v>
      </c>
      <c r="EL12" s="31">
        <v>258000000</v>
      </c>
      <c r="EM12" s="31">
        <v>190400000</v>
      </c>
      <c r="EN12" s="31">
        <v>59000000</v>
      </c>
      <c r="EO12" s="31">
        <v>42365581</v>
      </c>
      <c r="EP12" s="31">
        <v>49500000</v>
      </c>
      <c r="EQ12" s="31">
        <v>50750000</v>
      </c>
      <c r="ER12" s="31">
        <v>140200000</v>
      </c>
      <c r="ES12" s="31">
        <v>41800000</v>
      </c>
      <c r="ET12" s="31">
        <v>26600000</v>
      </c>
      <c r="EU12" s="31">
        <v>18530000</v>
      </c>
      <c r="EV12" s="31">
        <v>190000000</v>
      </c>
      <c r="EW12" s="31">
        <v>38900000</v>
      </c>
      <c r="EX12" s="31">
        <v>77400000</v>
      </c>
      <c r="EY12" s="31">
        <v>111700000</v>
      </c>
      <c r="EZ12" s="31">
        <v>12299668</v>
      </c>
      <c r="FA12" s="31">
        <v>70000000</v>
      </c>
      <c r="FB12" s="31">
        <v>28900000</v>
      </c>
      <c r="FC12" s="31">
        <v>30600000</v>
      </c>
      <c r="FD12" s="31">
        <v>10878000</v>
      </c>
      <c r="FE12" s="31">
        <v>5000000</v>
      </c>
      <c r="FF12" s="31">
        <v>3252000</v>
      </c>
      <c r="FG12" s="31">
        <v>880700000</v>
      </c>
      <c r="FH12" s="31">
        <v>9250000</v>
      </c>
      <c r="FI12" s="31">
        <v>100000</v>
      </c>
      <c r="FJ12" s="31">
        <v>1000000</v>
      </c>
      <c r="FK12" s="31">
        <v>1000000</v>
      </c>
      <c r="FL12" s="31">
        <v>2000000</v>
      </c>
      <c r="FM12" s="31">
        <v>2000000</v>
      </c>
      <c r="FN12" s="31">
        <v>3250000</v>
      </c>
      <c r="FO12" s="31">
        <v>5000000</v>
      </c>
      <c r="FP12" s="31">
        <v>20000000</v>
      </c>
      <c r="FQ12" s="31">
        <v>41000000</v>
      </c>
      <c r="FR12" s="31">
        <v>10000000</v>
      </c>
      <c r="FS12" s="31">
        <v>1000000</v>
      </c>
      <c r="FT12" s="31">
        <v>6000000</v>
      </c>
      <c r="FU12" s="31">
        <v>30000</v>
      </c>
      <c r="FV12" s="31">
        <v>462206</v>
      </c>
      <c r="FW12" s="31">
        <v>500000</v>
      </c>
      <c r="FX12" s="31">
        <v>3900000</v>
      </c>
      <c r="FY12" s="31">
        <v>377900000</v>
      </c>
      <c r="FZ12" s="31">
        <v>136800000</v>
      </c>
      <c r="GA12" s="31">
        <v>86000000</v>
      </c>
      <c r="GB12" s="31">
        <v>25000000</v>
      </c>
      <c r="GC12" s="31">
        <v>19800000</v>
      </c>
      <c r="GD12" s="31">
        <v>4366722</v>
      </c>
      <c r="GE12" s="31">
        <v>64200000</v>
      </c>
      <c r="GF12" s="31">
        <v>60700000</v>
      </c>
      <c r="GG12" s="31">
        <v>24300000</v>
      </c>
      <c r="GH12" s="31">
        <v>414400000</v>
      </c>
      <c r="GI12" s="31">
        <v>96200000</v>
      </c>
      <c r="GJ12" s="31">
        <v>135600000</v>
      </c>
      <c r="GK12" s="31">
        <v>11900000</v>
      </c>
      <c r="GL12" s="31">
        <v>95700000</v>
      </c>
      <c r="GM12" s="31">
        <v>111300000</v>
      </c>
      <c r="GN12" s="31">
        <v>20000000</v>
      </c>
      <c r="GO12" s="31">
        <v>46400000</v>
      </c>
      <c r="GP12" s="31">
        <v>162100000</v>
      </c>
      <c r="GQ12" s="31">
        <v>44400000</v>
      </c>
      <c r="GR12" s="31">
        <v>9400000</v>
      </c>
      <c r="GS12" s="31">
        <v>30000000</v>
      </c>
      <c r="GT12" s="31">
        <v>27100000</v>
      </c>
      <c r="GU12" s="31">
        <v>21000000</v>
      </c>
      <c r="GV12" s="31">
        <v>6000000</v>
      </c>
      <c r="GW12" s="31">
        <v>8000000</v>
      </c>
      <c r="GX12" s="31">
        <v>2300000</v>
      </c>
      <c r="GY12" s="31">
        <v>185800000</v>
      </c>
      <c r="GZ12" s="31">
        <v>12900000</v>
      </c>
      <c r="HA12" s="31">
        <v>47700000</v>
      </c>
      <c r="HB12" s="31">
        <v>615800000</v>
      </c>
      <c r="HC12" s="31">
        <v>36900000</v>
      </c>
      <c r="HD12" s="31">
        <v>69000000</v>
      </c>
      <c r="HE12" s="31">
        <v>152699000</v>
      </c>
      <c r="HF12" s="31">
        <v>232000000</v>
      </c>
      <c r="HG12" s="31">
        <v>28100000</v>
      </c>
      <c r="HH12" s="31">
        <v>83600000</v>
      </c>
      <c r="HI12" s="31">
        <v>25739000</v>
      </c>
      <c r="HJ12" s="31">
        <v>545400000</v>
      </c>
      <c r="HK12" s="31">
        <v>71000000</v>
      </c>
      <c r="HL12" s="31">
        <v>123700000</v>
      </c>
      <c r="HM12" s="31">
        <v>5300000</v>
      </c>
      <c r="HN12" s="31">
        <v>64200000</v>
      </c>
      <c r="HO12" s="31">
        <v>77700000</v>
      </c>
      <c r="HP12" s="31">
        <v>27300000</v>
      </c>
      <c r="HQ12" s="31">
        <v>441800000</v>
      </c>
      <c r="HR12" s="31">
        <v>414200000</v>
      </c>
      <c r="HS12" s="31">
        <v>17700000</v>
      </c>
      <c r="HT12" s="31">
        <v>98200000</v>
      </c>
      <c r="HU12" s="31">
        <v>35500000</v>
      </c>
      <c r="HV12" s="31">
        <v>48400000</v>
      </c>
      <c r="HW12" s="31">
        <v>6168000</v>
      </c>
      <c r="HX12" s="31">
        <v>2100000</v>
      </c>
      <c r="HY12" s="31">
        <v>8000000</v>
      </c>
      <c r="HZ12" s="31">
        <v>80200000</v>
      </c>
      <c r="IA12" s="31">
        <v>1029939903</v>
      </c>
      <c r="IB12" s="31">
        <v>821708551</v>
      </c>
      <c r="IC12" s="31">
        <v>391081192</v>
      </c>
      <c r="ID12" s="31">
        <v>2186772302</v>
      </c>
      <c r="IE12" s="31">
        <v>173418781</v>
      </c>
      <c r="IF12" s="31">
        <v>264218220</v>
      </c>
      <c r="IG12" s="31">
        <v>449220945</v>
      </c>
      <c r="IH12" s="31">
        <v>709709780</v>
      </c>
      <c r="II12" s="31">
        <v>196393745</v>
      </c>
      <c r="IJ12" s="31">
        <v>287594577</v>
      </c>
      <c r="IK12" s="31">
        <v>963420425</v>
      </c>
      <c r="IL12" s="31">
        <v>585349010</v>
      </c>
      <c r="IM12" s="31">
        <v>623722818</v>
      </c>
      <c r="IN12" s="31">
        <v>497409852</v>
      </c>
      <c r="IO12" s="31">
        <v>374218673</v>
      </c>
      <c r="IP12" s="31">
        <v>474968763</v>
      </c>
      <c r="IQ12" s="31">
        <v>1066179725</v>
      </c>
      <c r="IR12" s="31">
        <v>285444603</v>
      </c>
      <c r="IS12" s="31">
        <v>553709788</v>
      </c>
      <c r="IT12" s="31">
        <v>441818803</v>
      </c>
      <c r="IU12" s="31">
        <v>890871626</v>
      </c>
      <c r="IV12" s="31">
        <v>783766341</v>
      </c>
      <c r="IW12" s="31">
        <v>76932872</v>
      </c>
      <c r="IX12" s="31">
        <v>85131830</v>
      </c>
      <c r="IY12" s="31">
        <v>163794509</v>
      </c>
      <c r="IZ12" s="31">
        <v>212011111</v>
      </c>
      <c r="JA12" s="31">
        <v>591745540</v>
      </c>
      <c r="JB12" s="31">
        <v>442824138</v>
      </c>
      <c r="JC12" s="31">
        <v>742128461</v>
      </c>
      <c r="JD12" s="31">
        <v>758239851</v>
      </c>
      <c r="JE12" s="31">
        <v>542772402</v>
      </c>
      <c r="JF12" s="31">
        <v>654264015</v>
      </c>
      <c r="JG12" s="31">
        <v>456758981</v>
      </c>
      <c r="JH12" s="31">
        <v>328718434</v>
      </c>
      <c r="JI12" s="31">
        <v>397850012</v>
      </c>
      <c r="JJ12" s="31">
        <v>546388105</v>
      </c>
      <c r="JK12" s="31">
        <v>77628265</v>
      </c>
      <c r="JL12" s="31">
        <v>649400000</v>
      </c>
      <c r="JM12" s="31">
        <v>562800000</v>
      </c>
      <c r="JN12" s="31">
        <v>1027000000</v>
      </c>
      <c r="JO12" s="31">
        <v>848800000</v>
      </c>
      <c r="JP12" s="31">
        <v>427343298</v>
      </c>
      <c r="JQ12" s="31">
        <v>450717150</v>
      </c>
      <c r="JR12" s="31">
        <v>383500000</v>
      </c>
      <c r="JS12" s="31">
        <v>72178895</v>
      </c>
      <c r="JT12" s="31">
        <v>211398413</v>
      </c>
      <c r="JU12" s="31">
        <v>478336279</v>
      </c>
      <c r="JV12" s="31">
        <v>214608827</v>
      </c>
      <c r="JW12" s="31">
        <v>87713825</v>
      </c>
      <c r="JX12" s="31">
        <v>347234916</v>
      </c>
      <c r="JY12" s="31">
        <v>358300000</v>
      </c>
      <c r="JZ12" s="31">
        <v>516816151</v>
      </c>
      <c r="KA12" s="31">
        <v>82102379</v>
      </c>
      <c r="KB12" s="31">
        <v>266465037</v>
      </c>
      <c r="KC12" s="31">
        <v>171407179</v>
      </c>
      <c r="KD12" s="31">
        <v>457600000</v>
      </c>
      <c r="KE12" s="31">
        <v>378882411</v>
      </c>
      <c r="KF12" s="31">
        <v>193772504</v>
      </c>
      <c r="KG12" s="31">
        <v>172989651</v>
      </c>
      <c r="KH12" s="31">
        <v>258022233</v>
      </c>
      <c r="KI12" s="31">
        <v>347425832</v>
      </c>
      <c r="KJ12" s="31">
        <v>589390539</v>
      </c>
      <c r="KK12" s="31">
        <v>289847354</v>
      </c>
      <c r="KL12" s="31">
        <v>366101666</v>
      </c>
      <c r="KM12" s="31">
        <v>108539911</v>
      </c>
      <c r="KN12" s="31">
        <v>288500000</v>
      </c>
      <c r="KO12" s="31">
        <v>137298489</v>
      </c>
      <c r="KP12" s="31">
        <v>427230516</v>
      </c>
      <c r="KQ12" s="31">
        <v>362744280</v>
      </c>
      <c r="KR12" s="31">
        <v>237681299</v>
      </c>
      <c r="KS12" s="31">
        <v>484592874</v>
      </c>
      <c r="KT12" s="31">
        <v>457696359</v>
      </c>
      <c r="KU12" s="31">
        <v>349464664</v>
      </c>
      <c r="KV12" s="31">
        <v>181000000</v>
      </c>
      <c r="KW12" s="31">
        <v>313542341</v>
      </c>
      <c r="KX12" s="31">
        <v>69900000</v>
      </c>
      <c r="KY12" s="31">
        <v>130358911</v>
      </c>
      <c r="KZ12" s="31">
        <v>817400891</v>
      </c>
      <c r="LA12" s="31">
        <v>296339527</v>
      </c>
      <c r="LB12" s="31">
        <v>407711549</v>
      </c>
      <c r="LC12" s="31">
        <v>335100000</v>
      </c>
      <c r="LD12" s="31">
        <v>230884728</v>
      </c>
      <c r="LE12" s="31">
        <v>248118121</v>
      </c>
      <c r="LF12" s="31">
        <v>162966177</v>
      </c>
      <c r="LG12" s="31">
        <v>527000000</v>
      </c>
      <c r="LH12" s="31">
        <v>210409945</v>
      </c>
      <c r="LI12" s="31">
        <v>96889998</v>
      </c>
      <c r="LJ12" s="31">
        <v>256697520</v>
      </c>
      <c r="LK12" s="31">
        <v>799000000</v>
      </c>
      <c r="LL12" s="31">
        <v>919838758</v>
      </c>
      <c r="LM12" s="31">
        <v>90000098</v>
      </c>
      <c r="LN12" s="31">
        <v>112587658</v>
      </c>
      <c r="LO12" s="31">
        <v>329800000</v>
      </c>
      <c r="LP12" s="31">
        <v>206071502</v>
      </c>
      <c r="LQ12" s="31">
        <v>277448382</v>
      </c>
      <c r="LR12" s="31">
        <v>240031094</v>
      </c>
      <c r="LS12" s="31">
        <v>89456761</v>
      </c>
      <c r="LT12" s="31">
        <v>355237933</v>
      </c>
      <c r="LU12" s="31">
        <v>481840909</v>
      </c>
      <c r="LV12" s="31">
        <v>100900000</v>
      </c>
      <c r="LW12" s="31">
        <v>463500000</v>
      </c>
      <c r="LX12" s="31">
        <v>261300000</v>
      </c>
      <c r="LY12" s="31">
        <v>255325036</v>
      </c>
      <c r="LZ12" s="31">
        <v>215887717</v>
      </c>
      <c r="MA12" s="31">
        <v>49332692</v>
      </c>
      <c r="MB12" s="31">
        <v>264118201</v>
      </c>
      <c r="MC12" s="31">
        <v>47073851</v>
      </c>
      <c r="MD12" s="31">
        <v>214034224</v>
      </c>
      <c r="ME12" s="31">
        <v>99318987</v>
      </c>
      <c r="MF12" s="31">
        <v>170268750</v>
      </c>
      <c r="MG12" s="31">
        <v>120217409</v>
      </c>
      <c r="MH12" s="31">
        <v>456000000</v>
      </c>
      <c r="MI12" s="31">
        <v>67312826</v>
      </c>
      <c r="MJ12" s="31">
        <v>300218018</v>
      </c>
      <c r="MK12" s="31">
        <v>157387195</v>
      </c>
      <c r="ML12" s="31">
        <v>180557550</v>
      </c>
      <c r="MM12" s="31">
        <v>130293714</v>
      </c>
      <c r="MN12" s="31">
        <v>250649836</v>
      </c>
      <c r="MO12" s="31">
        <v>180900000</v>
      </c>
      <c r="MP12" s="31">
        <v>159800000</v>
      </c>
      <c r="MQ12" s="31">
        <v>99274467</v>
      </c>
      <c r="MR12" s="31">
        <v>152159461</v>
      </c>
      <c r="MS12" s="31">
        <v>155010032</v>
      </c>
      <c r="MT12" s="31">
        <v>65900249</v>
      </c>
      <c r="MU12" s="31">
        <v>116112375</v>
      </c>
      <c r="MV12" s="31">
        <v>390493908</v>
      </c>
      <c r="MW12" s="31">
        <v>484409218</v>
      </c>
      <c r="MX12" s="31">
        <v>88323487</v>
      </c>
      <c r="MY12" s="31">
        <v>474200000</v>
      </c>
      <c r="MZ12" s="31">
        <v>146027888</v>
      </c>
      <c r="NA12" s="31">
        <v>131183530</v>
      </c>
      <c r="NB12" s="31">
        <v>178051587</v>
      </c>
      <c r="NC12" s="31">
        <v>368875760</v>
      </c>
      <c r="ND12" s="31">
        <v>109700000</v>
      </c>
      <c r="NE12" s="31">
        <v>75505856</v>
      </c>
      <c r="NF12" s="31">
        <v>120600000</v>
      </c>
      <c r="NG12" s="31">
        <v>285176741</v>
      </c>
      <c r="NH12" s="31">
        <v>244500000</v>
      </c>
      <c r="NI12" s="31">
        <v>331900000</v>
      </c>
      <c r="NJ12" s="31">
        <v>158800000</v>
      </c>
      <c r="NK12" s="31">
        <v>38869464</v>
      </c>
      <c r="NL12" s="31">
        <v>118071125</v>
      </c>
      <c r="NM12" s="31">
        <v>160000000</v>
      </c>
      <c r="NN12" s="31">
        <v>139000000</v>
      </c>
      <c r="NO12" s="31">
        <v>244386864</v>
      </c>
      <c r="NP12" s="31">
        <v>321731527</v>
      </c>
      <c r="NQ12" s="31">
        <v>475100000</v>
      </c>
      <c r="NR12" s="31">
        <v>60740827</v>
      </c>
      <c r="NS12" s="31">
        <v>115101622</v>
      </c>
      <c r="NT12" s="31">
        <v>15000000</v>
      </c>
      <c r="NU12" s="31">
        <v>216800000</v>
      </c>
      <c r="NV12" s="31">
        <v>327300000</v>
      </c>
      <c r="NW12" s="31">
        <v>200512643</v>
      </c>
      <c r="NX12" s="31">
        <v>295200000</v>
      </c>
      <c r="NY12" s="31">
        <v>63000000</v>
      </c>
      <c r="NZ12" s="31">
        <v>333107271</v>
      </c>
      <c r="OA12" s="31">
        <v>33800000</v>
      </c>
      <c r="OB12" s="31">
        <v>140700000</v>
      </c>
      <c r="OC12" s="31">
        <v>183700000</v>
      </c>
      <c r="OD12" s="31">
        <v>96888996</v>
      </c>
      <c r="OE12" s="31">
        <v>38122105</v>
      </c>
      <c r="OF12" s="31">
        <v>68296293</v>
      </c>
      <c r="OG12" s="31">
        <v>201957688</v>
      </c>
      <c r="OH12" s="31">
        <v>71900000</v>
      </c>
      <c r="OI12" s="31">
        <v>46800000</v>
      </c>
      <c r="OJ12" s="31">
        <v>611900000</v>
      </c>
      <c r="OK12" s="31">
        <v>106240936</v>
      </c>
      <c r="OL12" s="31">
        <v>321200000</v>
      </c>
      <c r="OM12" s="31">
        <v>90600000</v>
      </c>
      <c r="ON12" s="31">
        <v>65900000</v>
      </c>
      <c r="OO12" s="31">
        <v>133000000</v>
      </c>
      <c r="OP12" s="31">
        <v>90614445</v>
      </c>
      <c r="OQ12" s="31">
        <v>538400000</v>
      </c>
      <c r="OR12" s="31">
        <v>5345000</v>
      </c>
      <c r="OS12" s="31">
        <v>25728961</v>
      </c>
      <c r="OT12" s="31">
        <v>389900000</v>
      </c>
      <c r="OU12" s="31">
        <v>392000000</v>
      </c>
      <c r="OV12" s="31">
        <v>424208848</v>
      </c>
      <c r="OW12" s="31">
        <v>87000000</v>
      </c>
      <c r="OX12" s="31">
        <v>23400000</v>
      </c>
      <c r="OY12" s="31">
        <v>183300000</v>
      </c>
      <c r="OZ12" s="31">
        <v>15700000</v>
      </c>
      <c r="PA12" s="31">
        <v>217800000</v>
      </c>
      <c r="PB12" s="31">
        <v>356296601</v>
      </c>
      <c r="PC12" s="31">
        <v>120207127</v>
      </c>
      <c r="PD12" s="31">
        <v>227853986</v>
      </c>
      <c r="PE12" s="31">
        <v>178000000</v>
      </c>
      <c r="PF12" s="31">
        <v>245300000</v>
      </c>
      <c r="PG12" s="31">
        <v>635096</v>
      </c>
      <c r="PH12" s="31">
        <v>216614388</v>
      </c>
      <c r="PI12" s="31">
        <v>68673228</v>
      </c>
      <c r="PJ12" s="31">
        <v>97000000</v>
      </c>
      <c r="PK12" s="31">
        <v>775400000</v>
      </c>
      <c r="PL12" s="31">
        <v>792900000</v>
      </c>
      <c r="PM12" s="31">
        <v>111000000</v>
      </c>
      <c r="PN12" s="31">
        <v>203600000</v>
      </c>
      <c r="PO12" s="31">
        <v>213900000</v>
      </c>
      <c r="PP12" s="31">
        <v>60611975</v>
      </c>
      <c r="PQ12" s="31">
        <v>56500000</v>
      </c>
      <c r="PR12" s="31">
        <v>41410568</v>
      </c>
      <c r="PS12" s="31">
        <v>78400000</v>
      </c>
      <c r="PT12" s="31">
        <v>42000000</v>
      </c>
      <c r="PU12" s="31">
        <v>23300000</v>
      </c>
      <c r="PV12" s="31">
        <v>39700000</v>
      </c>
      <c r="PW12" s="31">
        <v>124900000</v>
      </c>
      <c r="PX12" s="31">
        <v>22000000</v>
      </c>
      <c r="PY12" s="31">
        <v>2847000</v>
      </c>
      <c r="PZ12" s="31">
        <v>29529368</v>
      </c>
      <c r="QA12" s="31">
        <v>786600000</v>
      </c>
      <c r="QB12" s="31">
        <v>1091000000</v>
      </c>
      <c r="QC12" s="31">
        <v>774200000</v>
      </c>
      <c r="QD12" s="31">
        <v>758400000</v>
      </c>
      <c r="QE12" s="31">
        <v>748100000</v>
      </c>
      <c r="QF12" s="31">
        <v>714400000</v>
      </c>
      <c r="QG12" s="31">
        <v>755400000</v>
      </c>
      <c r="QH12" s="31">
        <v>709000000</v>
      </c>
      <c r="QI12" s="31">
        <v>710600000</v>
      </c>
      <c r="QJ12" s="31">
        <v>675100000</v>
      </c>
      <c r="QK12" s="31">
        <v>1276000000</v>
      </c>
      <c r="QL12" s="31">
        <v>1215000000</v>
      </c>
      <c r="QM12" s="31">
        <v>970800000</v>
      </c>
      <c r="QN12" s="31">
        <v>865000000</v>
      </c>
      <c r="QO12" s="31">
        <v>788700000</v>
      </c>
      <c r="QP12" s="31">
        <v>743600000</v>
      </c>
      <c r="QQ12" s="31">
        <v>723200000</v>
      </c>
      <c r="QR12" s="31">
        <v>668000000</v>
      </c>
      <c r="QS12" s="31">
        <v>644600000</v>
      </c>
      <c r="QT12" s="31">
        <v>1520000000</v>
      </c>
      <c r="QU12" s="31">
        <v>1085000000</v>
      </c>
      <c r="QV12" s="31">
        <v>877200000</v>
      </c>
      <c r="QW12" s="31">
        <v>829700000</v>
      </c>
      <c r="QX12" s="31">
        <v>757900000</v>
      </c>
      <c r="QY12" s="31">
        <v>746900000</v>
      </c>
      <c r="QZ12" s="31">
        <v>694400000</v>
      </c>
      <c r="RA12" s="31">
        <v>624000000</v>
      </c>
      <c r="RB12" s="31">
        <v>1124000000</v>
      </c>
      <c r="RC12" s="31">
        <v>1046000000</v>
      </c>
      <c r="RD12" s="31">
        <v>712200000</v>
      </c>
      <c r="RE12" s="31">
        <v>694700000</v>
      </c>
      <c r="RF12" s="31">
        <v>665700000</v>
      </c>
      <c r="RG12" s="31">
        <v>626100000</v>
      </c>
      <c r="RH12" s="31">
        <v>586800000</v>
      </c>
      <c r="RI12" s="31">
        <v>563700000</v>
      </c>
      <c r="RJ12" s="31">
        <v>559900000</v>
      </c>
      <c r="RK12" s="31">
        <v>1063000000</v>
      </c>
      <c r="RL12" s="31">
        <v>825500000</v>
      </c>
      <c r="RM12" s="31">
        <v>753000000</v>
      </c>
      <c r="RN12" s="31">
        <v>698500000</v>
      </c>
      <c r="RO12" s="31">
        <v>623900000</v>
      </c>
      <c r="RP12" s="31">
        <v>591800000</v>
      </c>
      <c r="RQ12" s="31">
        <v>543200000</v>
      </c>
      <c r="RR12" s="31">
        <v>494900000</v>
      </c>
      <c r="RS12" s="31">
        <v>2788000000</v>
      </c>
      <c r="RT12" s="31">
        <v>886700000</v>
      </c>
      <c r="RU12" s="31">
        <v>836300000</v>
      </c>
      <c r="RV12" s="31">
        <v>769700000</v>
      </c>
      <c r="RW12" s="31">
        <v>731400000</v>
      </c>
      <c r="RX12" s="31">
        <v>709700000</v>
      </c>
      <c r="RY12" s="31">
        <v>485900000</v>
      </c>
      <c r="RZ12" s="31">
        <v>467500000</v>
      </c>
      <c r="SA12" s="31">
        <v>1005000000</v>
      </c>
      <c r="SB12" s="31">
        <v>631700000</v>
      </c>
      <c r="SC12" s="31">
        <v>624300000</v>
      </c>
      <c r="SD12" s="31">
        <v>602300000</v>
      </c>
      <c r="SE12" s="31">
        <v>585200000</v>
      </c>
      <c r="SF12" s="31">
        <v>521300000</v>
      </c>
      <c r="SG12" s="31">
        <v>457400000</v>
      </c>
      <c r="SH12" s="31">
        <v>27400000</v>
      </c>
      <c r="SI12" s="31">
        <v>660900000</v>
      </c>
      <c r="SJ12" s="31">
        <v>574500000</v>
      </c>
      <c r="SK12" s="31">
        <v>462000000</v>
      </c>
      <c r="SL12" s="31">
        <v>532700000</v>
      </c>
      <c r="SM12" s="31">
        <v>368100000</v>
      </c>
      <c r="SN12" s="31">
        <v>633000000</v>
      </c>
      <c r="SO12" s="31">
        <v>516000000</v>
      </c>
      <c r="SP12" s="31">
        <v>367300000</v>
      </c>
      <c r="SQ12" s="31">
        <v>940300000</v>
      </c>
      <c r="SR12" s="31">
        <v>433400000</v>
      </c>
      <c r="SS12" s="31">
        <v>273300000</v>
      </c>
      <c r="ST12" s="31">
        <v>408200000</v>
      </c>
      <c r="SU12" s="31">
        <v>383300000</v>
      </c>
      <c r="SV12" s="31">
        <v>433000000</v>
      </c>
      <c r="SW12" s="31">
        <v>368800000</v>
      </c>
      <c r="SX12" s="31">
        <v>351600000</v>
      </c>
      <c r="SY12" s="31">
        <v>374111707</v>
      </c>
      <c r="SZ12" s="31">
        <v>349800000</v>
      </c>
      <c r="TA12" s="31">
        <v>345100000</v>
      </c>
      <c r="TB12" s="31">
        <v>330400000</v>
      </c>
      <c r="TC12" s="31">
        <v>291400000</v>
      </c>
      <c r="TD12" s="31">
        <v>497400000</v>
      </c>
      <c r="TE12" s="31">
        <v>448200000</v>
      </c>
      <c r="TF12" s="31">
        <v>415900000</v>
      </c>
      <c r="TG12" s="31">
        <v>312000000</v>
      </c>
      <c r="TH12" s="31">
        <v>379000000</v>
      </c>
      <c r="TI12" s="31">
        <v>369900000</v>
      </c>
      <c r="TJ12" s="31">
        <v>363300000</v>
      </c>
      <c r="TK12" s="31">
        <v>304300000</v>
      </c>
      <c r="TL12" s="31">
        <v>294400000</v>
      </c>
      <c r="TM12" s="31">
        <v>618600000</v>
      </c>
      <c r="TN12" s="31">
        <v>315100000</v>
      </c>
      <c r="TO12" s="31">
        <v>302700000</v>
      </c>
      <c r="TP12" s="31">
        <v>299300000</v>
      </c>
      <c r="TQ12" s="31">
        <v>494400000</v>
      </c>
      <c r="TR12" s="31">
        <v>325300000</v>
      </c>
      <c r="TS12" s="31">
        <v>320600000</v>
      </c>
      <c r="TT12" s="31">
        <v>309500000</v>
      </c>
      <c r="TU12" s="31">
        <v>274000000</v>
      </c>
      <c r="TV12" s="31">
        <v>273600000</v>
      </c>
      <c r="TW12" s="31">
        <v>242300000</v>
      </c>
      <c r="TX12" s="31">
        <v>373600000</v>
      </c>
      <c r="TY12" s="31">
        <v>346100000</v>
      </c>
      <c r="TZ12" s="31">
        <v>336500000</v>
      </c>
      <c r="UA12" s="31">
        <v>287900000</v>
      </c>
      <c r="UB12" s="31">
        <v>262800000</v>
      </c>
      <c r="UC12" s="31">
        <v>968500000</v>
      </c>
      <c r="UD12" s="31">
        <v>351600000</v>
      </c>
      <c r="UE12" s="31">
        <v>350400000</v>
      </c>
      <c r="UF12" s="31">
        <v>341600000</v>
      </c>
      <c r="UG12" s="31">
        <v>247000000</v>
      </c>
      <c r="UH12" s="31">
        <v>124900000</v>
      </c>
      <c r="UI12" s="31">
        <v>223700000</v>
      </c>
      <c r="UJ12" s="31">
        <v>441300000</v>
      </c>
      <c r="UK12" s="31">
        <v>270248367</v>
      </c>
      <c r="UL12" s="31">
        <v>266600000</v>
      </c>
      <c r="UM12" s="31">
        <v>227800000</v>
      </c>
      <c r="UN12" s="31">
        <v>206700000</v>
      </c>
      <c r="UO12" s="31">
        <v>195300000</v>
      </c>
      <c r="UP12" s="31">
        <v>504100000</v>
      </c>
      <c r="UQ12" s="31">
        <v>411000000</v>
      </c>
      <c r="UR12" s="31">
        <v>359000000</v>
      </c>
      <c r="US12" s="31">
        <v>352900000</v>
      </c>
      <c r="UT12" s="31">
        <v>266800000</v>
      </c>
      <c r="UU12" s="31">
        <v>243200000</v>
      </c>
      <c r="UV12" s="31">
        <v>231600000</v>
      </c>
      <c r="UW12" s="31">
        <v>215900000</v>
      </c>
      <c r="UX12" s="31">
        <v>183100000</v>
      </c>
      <c r="UY12" s="31">
        <v>425000000</v>
      </c>
      <c r="UZ12" s="31">
        <v>300900000</v>
      </c>
      <c r="VA12" s="31">
        <v>272700000</v>
      </c>
      <c r="VB12" s="31">
        <v>205400000</v>
      </c>
      <c r="VC12" s="31">
        <v>191500000</v>
      </c>
      <c r="VD12" s="31">
        <v>182300000</v>
      </c>
      <c r="VE12" s="31">
        <v>181100000</v>
      </c>
      <c r="VF12" s="31">
        <v>179033791</v>
      </c>
      <c r="VG12" s="31">
        <v>505700000</v>
      </c>
      <c r="VH12" s="31">
        <v>476700000</v>
      </c>
      <c r="VI12" s="31">
        <v>463400000</v>
      </c>
      <c r="VJ12" s="31">
        <v>201900000</v>
      </c>
      <c r="VK12" s="31">
        <v>411300000</v>
      </c>
      <c r="VL12" s="31">
        <v>297000000</v>
      </c>
      <c r="VM12" s="31">
        <v>235800000</v>
      </c>
      <c r="VN12" s="31">
        <v>222700000</v>
      </c>
      <c r="VO12" s="31">
        <v>215400000</v>
      </c>
      <c r="VP12" s="31">
        <v>211300000</v>
      </c>
      <c r="VQ12" s="31">
        <v>161000000</v>
      </c>
      <c r="VR12" s="31">
        <v>354800000</v>
      </c>
      <c r="VS12" s="31">
        <v>288752301</v>
      </c>
      <c r="VT12" s="31">
        <v>151700000</v>
      </c>
      <c r="VU12" s="31">
        <v>78800000</v>
      </c>
      <c r="VV12" s="31">
        <v>171500000</v>
      </c>
      <c r="VW12" s="31">
        <v>73700000</v>
      </c>
      <c r="VX12" s="31">
        <v>168800000</v>
      </c>
      <c r="VY12" s="31">
        <v>320100000</v>
      </c>
      <c r="VZ12" s="31">
        <v>300000000</v>
      </c>
      <c r="WA12" s="31">
        <v>123900000</v>
      </c>
      <c r="WB12" s="31">
        <v>91640528</v>
      </c>
      <c r="WC12" s="31">
        <v>110996879</v>
      </c>
      <c r="WD12" s="31">
        <v>65673233</v>
      </c>
      <c r="WE12" s="31">
        <v>63800000</v>
      </c>
      <c r="WF12" s="31">
        <v>356800000</v>
      </c>
      <c r="WG12" s="31">
        <v>138500000</v>
      </c>
      <c r="WH12" s="31">
        <v>115100000</v>
      </c>
      <c r="WI12" s="31">
        <v>79800000</v>
      </c>
      <c r="WJ12" s="31">
        <v>70100000</v>
      </c>
      <c r="WK12" s="31">
        <v>300400000</v>
      </c>
      <c r="WL12" s="31">
        <v>300400000</v>
      </c>
      <c r="WM12" s="31">
        <v>142000000</v>
      </c>
      <c r="WN12" s="31">
        <v>128500000</v>
      </c>
      <c r="WO12" s="31">
        <v>85300000</v>
      </c>
      <c r="WP12" s="31">
        <v>96700000</v>
      </c>
      <c r="WQ12" s="31">
        <v>61500000</v>
      </c>
      <c r="WR12" s="31">
        <v>60000000</v>
      </c>
      <c r="WS12" s="31">
        <v>316400000</v>
      </c>
      <c r="WT12" s="31">
        <v>153100000</v>
      </c>
      <c r="WU12" s="31">
        <v>90800000</v>
      </c>
      <c r="WV12" s="31">
        <v>146000000</v>
      </c>
      <c r="WW12" s="31">
        <v>80000000</v>
      </c>
      <c r="WX12" s="31">
        <v>86500000</v>
      </c>
      <c r="WY12" s="31">
        <v>108400000</v>
      </c>
      <c r="WZ12" s="31">
        <v>201500000</v>
      </c>
      <c r="XA12" s="31">
        <v>90400000</v>
      </c>
      <c r="XB12" s="31">
        <v>79600000</v>
      </c>
      <c r="XC12" s="31">
        <v>67642693</v>
      </c>
      <c r="XD12" s="31">
        <v>64800000</v>
      </c>
      <c r="XE12" s="31">
        <v>177200000</v>
      </c>
      <c r="XF12" s="31">
        <v>129800000</v>
      </c>
      <c r="XG12" s="31">
        <v>270000000</v>
      </c>
      <c r="XH12" s="31">
        <v>78900000</v>
      </c>
      <c r="XI12" s="31">
        <v>121700000</v>
      </c>
      <c r="XJ12" s="31">
        <v>57000000</v>
      </c>
      <c r="XK12" s="31">
        <v>95461682</v>
      </c>
      <c r="XL12" s="31">
        <v>72179579</v>
      </c>
      <c r="XM12" s="31">
        <v>103290500</v>
      </c>
      <c r="XN12" s="31">
        <v>101300000</v>
      </c>
      <c r="XO12" s="31">
        <v>130000000</v>
      </c>
      <c r="XP12" s="31">
        <v>70700000</v>
      </c>
      <c r="XQ12" s="31">
        <v>69847348</v>
      </c>
      <c r="XR12" s="31">
        <v>66100000</v>
      </c>
      <c r="XS12" s="31">
        <v>115200000</v>
      </c>
      <c r="XT12" s="31">
        <v>106260000</v>
      </c>
      <c r="XU12" s="31">
        <v>86400000</v>
      </c>
      <c r="XV12" s="31">
        <v>200100000</v>
      </c>
      <c r="XW12" s="31">
        <v>150000000</v>
      </c>
      <c r="XX12" s="31">
        <v>74800000</v>
      </c>
      <c r="XY12" s="31">
        <v>73700000</v>
      </c>
      <c r="XZ12" s="31">
        <v>76600000</v>
      </c>
      <c r="YA12" s="31">
        <v>395000000</v>
      </c>
      <c r="YB12" s="31">
        <v>141600000</v>
      </c>
      <c r="YC12" s="31">
        <v>85000000</v>
      </c>
      <c r="YD12" s="31">
        <v>208900000</v>
      </c>
      <c r="YE12" s="31">
        <v>55000000</v>
      </c>
      <c r="YF12" s="31">
        <v>49000000</v>
      </c>
      <c r="YG12" s="31">
        <v>300000000</v>
      </c>
      <c r="YH12" s="31">
        <v>303800000</v>
      </c>
      <c r="YI12" s="31">
        <v>237100000</v>
      </c>
      <c r="YJ12" s="31">
        <v>47300000</v>
      </c>
      <c r="YK12" s="31">
        <v>38300000</v>
      </c>
      <c r="YL12" s="31">
        <v>225000000</v>
      </c>
      <c r="YM12" s="31">
        <v>70600000</v>
      </c>
      <c r="YN12" s="31">
        <v>60900000</v>
      </c>
      <c r="YO12" s="31">
        <v>51100000</v>
      </c>
      <c r="YP12" s="31">
        <v>46236000</v>
      </c>
      <c r="YQ12" s="31">
        <v>43200000</v>
      </c>
      <c r="YR12" s="31">
        <v>470700000</v>
      </c>
      <c r="YS12" s="31">
        <v>109000000</v>
      </c>
      <c r="YT12" s="31">
        <v>50000000</v>
      </c>
      <c r="YU12" s="31">
        <v>60000000</v>
      </c>
      <c r="YV12" s="31">
        <v>119600000</v>
      </c>
      <c r="YW12" s="31">
        <v>139700000</v>
      </c>
      <c r="YX12" s="31">
        <v>86200000</v>
      </c>
      <c r="YY12" s="31">
        <v>79666653</v>
      </c>
      <c r="YZ12" s="31">
        <v>57300000</v>
      </c>
      <c r="ZA12" s="31">
        <v>47285152</v>
      </c>
      <c r="ZB12" s="31">
        <v>43008075</v>
      </c>
      <c r="ZC12" s="31">
        <v>159600000</v>
      </c>
      <c r="ZD12" s="31">
        <v>441300000</v>
      </c>
      <c r="ZE12" s="31">
        <v>140000000</v>
      </c>
      <c r="ZF12" s="31">
        <v>53267000</v>
      </c>
      <c r="ZG12" s="31">
        <v>32000000</v>
      </c>
      <c r="ZH12" s="31">
        <v>245100000</v>
      </c>
      <c r="ZI12" s="31">
        <v>127300000</v>
      </c>
      <c r="ZJ12" s="31">
        <v>4610000</v>
      </c>
      <c r="ZK12" s="31">
        <v>42765000</v>
      </c>
      <c r="ZL12" s="31">
        <v>83300000</v>
      </c>
      <c r="ZM12" s="31">
        <v>51700000</v>
      </c>
      <c r="ZN12" s="31">
        <v>36000000</v>
      </c>
      <c r="ZO12" s="31">
        <v>136400000</v>
      </c>
      <c r="ZP12" s="31">
        <v>100500000</v>
      </c>
      <c r="ZQ12" s="31">
        <v>61800000</v>
      </c>
      <c r="ZR12" s="31">
        <v>102300000</v>
      </c>
      <c r="ZS12" s="31">
        <v>44800000</v>
      </c>
      <c r="ZT12" s="31">
        <v>60000000</v>
      </c>
      <c r="ZU12" s="31">
        <v>31678778</v>
      </c>
      <c r="ZV12" s="31">
        <v>51264000</v>
      </c>
      <c r="ZW12" s="31">
        <v>44527234</v>
      </c>
      <c r="ZX12" s="31">
        <v>42300000</v>
      </c>
      <c r="ZY12" s="31">
        <v>33400000</v>
      </c>
      <c r="ZZ12" s="31">
        <v>104900000</v>
      </c>
      <c r="AAA12" s="31">
        <v>205800000</v>
      </c>
      <c r="AAB12" s="31">
        <v>70000000</v>
      </c>
      <c r="AAC12" s="31">
        <v>45300000</v>
      </c>
      <c r="AAD12" s="31">
        <v>30000000</v>
      </c>
      <c r="AAE12" s="31">
        <v>20800000</v>
      </c>
      <c r="AAF12" s="31">
        <v>286200000</v>
      </c>
      <c r="AAG12" s="31">
        <v>17111111</v>
      </c>
      <c r="AAH12" s="31">
        <v>72000000</v>
      </c>
      <c r="AAI12" s="31">
        <v>57800000</v>
      </c>
      <c r="AAJ12" s="31">
        <v>50000000</v>
      </c>
      <c r="AAK12" s="31">
        <v>60000000</v>
      </c>
      <c r="AAL12" s="31">
        <v>22200000</v>
      </c>
      <c r="AAM12" s="31">
        <v>11400000</v>
      </c>
      <c r="AAN12" s="31">
        <v>50100000</v>
      </c>
      <c r="AAO12" s="31">
        <v>13680000</v>
      </c>
      <c r="AAP12" s="31">
        <v>13100000</v>
      </c>
      <c r="AAQ12" s="31">
        <v>43700000</v>
      </c>
      <c r="AAR12" s="31">
        <v>30000000</v>
      </c>
      <c r="AAS12" s="31">
        <v>215800000</v>
      </c>
      <c r="AAT12" s="31">
        <v>60000000</v>
      </c>
      <c r="AAU12" s="31">
        <v>50000000</v>
      </c>
      <c r="AAV12" s="31">
        <v>40000000</v>
      </c>
      <c r="AAW12" s="31">
        <v>17260000</v>
      </c>
      <c r="AAX12" s="31">
        <v>5650000</v>
      </c>
      <c r="AAY12" s="31">
        <v>146900000</v>
      </c>
      <c r="AAZ12" s="31">
        <v>51600000</v>
      </c>
      <c r="ABA12" s="31">
        <v>9800000</v>
      </c>
      <c r="ABB12" s="31">
        <v>40000000</v>
      </c>
      <c r="ABC12" s="31">
        <v>36800000</v>
      </c>
      <c r="ABD12" s="31">
        <v>6000000</v>
      </c>
      <c r="ABE12" s="31">
        <v>7300000</v>
      </c>
      <c r="ABF12" s="31">
        <v>20000000</v>
      </c>
      <c r="ABG12" s="31">
        <v>10700000</v>
      </c>
      <c r="ABH12" s="31">
        <v>80000000</v>
      </c>
      <c r="ABI12" s="31">
        <v>12500000</v>
      </c>
      <c r="ABJ12" s="31">
        <v>21300000</v>
      </c>
      <c r="ABK12" s="31">
        <v>37500000</v>
      </c>
      <c r="ABL12" s="31">
        <v>8258000</v>
      </c>
      <c r="ABM12" s="31">
        <v>7100000</v>
      </c>
      <c r="ABN12" s="31">
        <v>20000000</v>
      </c>
      <c r="ABO12" s="31">
        <v>93600000</v>
      </c>
      <c r="ABP12" s="31">
        <v>28200000</v>
      </c>
      <c r="ABQ12" s="31">
        <v>36000000</v>
      </c>
      <c r="ABR12" s="31">
        <v>30500000</v>
      </c>
      <c r="ABS12" s="31">
        <v>20000000</v>
      </c>
      <c r="ABT12" s="31">
        <v>87400000</v>
      </c>
      <c r="ABU12" s="31">
        <v>5300000</v>
      </c>
      <c r="ABV12" s="31">
        <v>12400000</v>
      </c>
      <c r="ABW12" s="31">
        <v>5232000</v>
      </c>
      <c r="ABX12" s="31">
        <v>8000000</v>
      </c>
      <c r="ABY12" s="31">
        <v>10750000</v>
      </c>
      <c r="ABZ12" s="31">
        <v>7000000</v>
      </c>
      <c r="ACA12" s="31">
        <v>263600000</v>
      </c>
      <c r="ACB12" s="31">
        <v>15100000</v>
      </c>
      <c r="ACC12" s="31">
        <v>7756000</v>
      </c>
      <c r="ACD12" s="31">
        <v>5000000</v>
      </c>
      <c r="ACE12" s="31">
        <v>7100000</v>
      </c>
      <c r="ACF12" s="31">
        <v>3700000</v>
      </c>
      <c r="ACG12" s="31">
        <v>5000000</v>
      </c>
      <c r="ACH12" s="31">
        <v>2500000</v>
      </c>
      <c r="ACI12" s="31">
        <v>198000000</v>
      </c>
      <c r="ACJ12" s="31">
        <v>22300000</v>
      </c>
      <c r="ACK12" s="31">
        <v>184925485</v>
      </c>
      <c r="ACL12" s="31">
        <v>2304000</v>
      </c>
      <c r="ACM12" s="31">
        <v>12000000</v>
      </c>
      <c r="ACN12" s="31">
        <v>355000</v>
      </c>
      <c r="ACO12" s="31">
        <v>3000000</v>
      </c>
      <c r="ACP12" s="31">
        <v>2500000</v>
      </c>
      <c r="ACQ12" s="31">
        <v>2066000000</v>
      </c>
      <c r="ACR12" s="31">
        <v>1670000000</v>
      </c>
      <c r="ACS12" s="31">
        <v>1516000000</v>
      </c>
      <c r="ACT12" s="31">
        <v>1405000000</v>
      </c>
      <c r="ACU12" s="31">
        <v>1159000000</v>
      </c>
      <c r="ACV12" s="31">
        <v>857400000</v>
      </c>
      <c r="ACW12" s="31">
        <v>682300000</v>
      </c>
      <c r="ACX12" s="31">
        <v>653400000</v>
      </c>
      <c r="ACY12" s="31">
        <v>630200000</v>
      </c>
      <c r="ACZ12" s="31">
        <v>1153000000</v>
      </c>
      <c r="ADA12" s="31">
        <v>1025000000</v>
      </c>
      <c r="ADB12" s="31">
        <v>1024000000</v>
      </c>
      <c r="ADC12" s="31">
        <v>966500000</v>
      </c>
      <c r="ADD12" s="31">
        <v>873300000</v>
      </c>
      <c r="ADE12" s="31">
        <v>873400000</v>
      </c>
      <c r="ADF12" s="31">
        <v>782600000</v>
      </c>
      <c r="ADG12" s="31">
        <v>745600000</v>
      </c>
      <c r="ADH12" s="31">
        <v>543900000</v>
      </c>
      <c r="ADI12" s="31">
        <v>571500000</v>
      </c>
      <c r="ADJ12" s="31">
        <v>83900000</v>
      </c>
      <c r="ADK12" s="31">
        <v>3100000</v>
      </c>
      <c r="ADL12" s="31">
        <v>3981000</v>
      </c>
      <c r="ADM12" s="31">
        <v>3300000</v>
      </c>
      <c r="ADN12" s="31">
        <v>4460000</v>
      </c>
      <c r="ADO12" s="31">
        <v>4100000</v>
      </c>
      <c r="ADP12" s="31">
        <v>1140769</v>
      </c>
      <c r="ADQ12" s="31">
        <v>151000</v>
      </c>
      <c r="ADR12" s="31">
        <v>3300000</v>
      </c>
      <c r="ADS12" s="31">
        <v>9000000</v>
      </c>
      <c r="ADT12" s="31">
        <v>2650000</v>
      </c>
      <c r="ADU12" s="31">
        <v>5768142</v>
      </c>
      <c r="ADV12" s="31">
        <v>8412000</v>
      </c>
      <c r="ADW12" s="31">
        <v>28000000</v>
      </c>
      <c r="ADX12" s="31">
        <v>91000000</v>
      </c>
      <c r="ADY12" s="31">
        <v>72700000</v>
      </c>
      <c r="ADZ12" s="31">
        <v>56500000</v>
      </c>
      <c r="AEA12" s="31">
        <v>128000000</v>
      </c>
      <c r="AEB12" s="31">
        <v>401100000</v>
      </c>
      <c r="AEC12" s="31">
        <v>274500000</v>
      </c>
      <c r="AED12" s="31">
        <v>305400000</v>
      </c>
      <c r="AEE12" s="31">
        <v>206200000</v>
      </c>
      <c r="AEF12" s="31">
        <v>263400000</v>
      </c>
      <c r="AEG12" s="31">
        <v>351700000</v>
      </c>
      <c r="AEH12" s="31">
        <v>493200000</v>
      </c>
      <c r="AEI12" s="31">
        <v>74200000</v>
      </c>
      <c r="AEJ12" s="31">
        <v>150200000</v>
      </c>
      <c r="AEK12" s="31">
        <v>245700000</v>
      </c>
      <c r="AEL12" s="31">
        <v>96300000</v>
      </c>
      <c r="AEM12" s="31">
        <v>31000000</v>
      </c>
      <c r="AEN12" s="31">
        <v>151800000</v>
      </c>
      <c r="AEO12" s="31">
        <v>449300000</v>
      </c>
      <c r="AEP12" s="31">
        <v>303000000</v>
      </c>
      <c r="AEQ12" s="31">
        <v>119000000</v>
      </c>
      <c r="AER12" s="31">
        <v>154800000</v>
      </c>
      <c r="AES12" s="31">
        <v>117300000</v>
      </c>
      <c r="AET12" s="31">
        <v>158500000</v>
      </c>
      <c r="AEU12" s="31">
        <v>24200000</v>
      </c>
      <c r="AEV12" s="31">
        <v>35300000</v>
      </c>
      <c r="AEW12" s="31">
        <v>286100000</v>
      </c>
      <c r="AEX12" s="31">
        <v>102100000</v>
      </c>
      <c r="AEY12" s="31">
        <v>284100000</v>
      </c>
      <c r="AEZ12" s="31">
        <v>117500000</v>
      </c>
      <c r="AFA12" s="31">
        <v>34400000</v>
      </c>
      <c r="AFB12" s="31">
        <v>609000000</v>
      </c>
      <c r="AFC12" s="31">
        <v>440600000</v>
      </c>
      <c r="AFD12" s="31">
        <v>1400000</v>
      </c>
      <c r="AFE12" s="31">
        <v>18400000</v>
      </c>
      <c r="AFF12" s="31">
        <v>137300000</v>
      </c>
      <c r="AFG12" s="31">
        <v>48300000</v>
      </c>
      <c r="AFH12" s="31">
        <v>371400000</v>
      </c>
      <c r="AFI12" s="31">
        <v>78300000</v>
      </c>
      <c r="AFJ12" s="31">
        <v>96100000</v>
      </c>
      <c r="AFK12" s="31">
        <v>212000000</v>
      </c>
      <c r="AFL12" s="31">
        <v>238200000</v>
      </c>
      <c r="AFM12" s="31">
        <v>129800000</v>
      </c>
      <c r="AFN12" s="31">
        <v>108400000</v>
      </c>
      <c r="AFO12" s="31">
        <v>198500000</v>
      </c>
      <c r="AFP12" s="31">
        <v>252300000</v>
      </c>
      <c r="AFQ12" s="31">
        <v>35000000</v>
      </c>
      <c r="AFR12" s="31">
        <v>98300000</v>
      </c>
      <c r="AFS12" s="31">
        <v>18100000</v>
      </c>
      <c r="AFT12" s="31">
        <v>57500000</v>
      </c>
      <c r="AFU12" s="31">
        <v>459400000</v>
      </c>
      <c r="AFV12" s="31">
        <v>100000000</v>
      </c>
      <c r="AFW12" s="31">
        <v>130000000</v>
      </c>
      <c r="AFX12" s="31">
        <v>48800000</v>
      </c>
      <c r="AFY12" s="31">
        <v>1000000</v>
      </c>
      <c r="AFZ12" s="31">
        <v>156500000</v>
      </c>
      <c r="AGA12" s="31">
        <v>43500000</v>
      </c>
      <c r="AGB12" s="31">
        <v>353600000</v>
      </c>
      <c r="AGC12" s="31">
        <v>264100000</v>
      </c>
      <c r="AGD12" s="31">
        <v>259100000</v>
      </c>
      <c r="AGE12" s="31">
        <v>5300000</v>
      </c>
      <c r="AGF12" s="31">
        <v>91300000</v>
      </c>
      <c r="AGG12" s="31">
        <v>160000000</v>
      </c>
      <c r="AGH12" s="31">
        <v>196600000</v>
      </c>
      <c r="AGI12" s="31">
        <v>156600000</v>
      </c>
      <c r="AGJ12" s="31">
        <v>165500000</v>
      </c>
      <c r="AGK12" s="31">
        <v>450000</v>
      </c>
      <c r="AGL12" s="31">
        <v>66700000</v>
      </c>
      <c r="AGM12" s="31">
        <v>44200000</v>
      </c>
      <c r="AGN12" s="31">
        <v>235900000</v>
      </c>
      <c r="AGO12" s="31">
        <v>352100000</v>
      </c>
      <c r="AGP12" s="31">
        <v>219400000</v>
      </c>
      <c r="AGQ12" s="31">
        <v>275300000</v>
      </c>
      <c r="AGR12" s="31">
        <v>116400000</v>
      </c>
      <c r="AGS12" s="31">
        <v>178000000</v>
      </c>
      <c r="AGT12" s="31">
        <v>163400000</v>
      </c>
      <c r="AGU12" s="31">
        <v>32900000</v>
      </c>
      <c r="AGV12" s="31">
        <v>76700000</v>
      </c>
      <c r="AGW12" s="31">
        <v>46200000</v>
      </c>
      <c r="AGX12" s="31">
        <v>5080000</v>
      </c>
      <c r="AGY12" s="31">
        <v>7033000</v>
      </c>
      <c r="AGZ12" s="31">
        <v>101646581</v>
      </c>
      <c r="AHA12" s="31">
        <v>519900000</v>
      </c>
      <c r="AHB12" s="31">
        <v>36300000</v>
      </c>
      <c r="AHC12" s="31">
        <v>80500000</v>
      </c>
      <c r="AHD12" s="31">
        <v>46700000</v>
      </c>
      <c r="AHE12" s="31">
        <v>14700000</v>
      </c>
      <c r="AHF12" s="31">
        <v>10200000</v>
      </c>
      <c r="AHG12" s="31">
        <v>65000000</v>
      </c>
      <c r="AHH12" s="31">
        <v>36400000</v>
      </c>
      <c r="AHI12" s="31">
        <v>900000</v>
      </c>
      <c r="AHJ12" s="31">
        <v>4307000</v>
      </c>
      <c r="AHK12" s="31">
        <v>3200000</v>
      </c>
      <c r="AHL12" s="31">
        <v>159200000</v>
      </c>
      <c r="AHM12" s="31">
        <v>6800000</v>
      </c>
      <c r="AHN12" s="31">
        <v>3110000</v>
      </c>
      <c r="AHO12" s="31">
        <v>5200000</v>
      </c>
      <c r="AHP12" s="31">
        <v>31800000</v>
      </c>
      <c r="AHQ12" s="31">
        <v>121700000</v>
      </c>
      <c r="AHR12" s="31">
        <v>37903000</v>
      </c>
      <c r="AHS12" s="31">
        <v>128900000</v>
      </c>
      <c r="AHT12" s="31">
        <v>270000000</v>
      </c>
      <c r="AHU12" s="31">
        <v>122200000</v>
      </c>
      <c r="AHV12" s="31">
        <v>547400000</v>
      </c>
      <c r="AHW12" s="31">
        <v>200700000</v>
      </c>
      <c r="AHX12" s="31">
        <v>84600000</v>
      </c>
      <c r="AHY12" s="31">
        <v>113000000</v>
      </c>
      <c r="AHZ12" s="31">
        <v>128900000</v>
      </c>
      <c r="AIA12" s="31">
        <v>102400000</v>
      </c>
      <c r="AIB12" s="31">
        <v>28735000</v>
      </c>
      <c r="AIC12" s="31">
        <v>159100000</v>
      </c>
      <c r="AID12" s="31">
        <v>44065000</v>
      </c>
      <c r="AIE12" s="31">
        <v>30900000</v>
      </c>
      <c r="AIF12" s="31">
        <v>15795000</v>
      </c>
      <c r="AIG12" s="31">
        <v>11138000</v>
      </c>
      <c r="AIH12" s="31">
        <v>23900000</v>
      </c>
      <c r="AII12" s="31">
        <v>45000000</v>
      </c>
      <c r="AIJ12" s="31">
        <v>36734000</v>
      </c>
      <c r="AIK12" s="31">
        <v>8000000</v>
      </c>
      <c r="AIL12" s="31">
        <v>10000000</v>
      </c>
      <c r="AIM12" s="31">
        <v>11744000</v>
      </c>
      <c r="AIN12" s="31">
        <v>343500000</v>
      </c>
      <c r="AIO12" s="31">
        <v>467400000</v>
      </c>
      <c r="AIP12" s="31">
        <v>385700000</v>
      </c>
      <c r="AIQ12" s="31">
        <v>53400000</v>
      </c>
      <c r="AIR12" s="31">
        <v>242700000</v>
      </c>
      <c r="AIS12" s="31">
        <v>3200000</v>
      </c>
      <c r="AIT12" s="31">
        <v>22100000</v>
      </c>
      <c r="AIU12" s="31">
        <v>12000000</v>
      </c>
      <c r="AIV12" s="31">
        <v>31400000</v>
      </c>
      <c r="AIW12" s="31">
        <v>78100000</v>
      </c>
      <c r="AIX12" s="31">
        <v>28300000</v>
      </c>
      <c r="AIY12" s="31">
        <v>3000000</v>
      </c>
      <c r="AIZ12" s="31">
        <v>13800000</v>
      </c>
      <c r="AJA12" s="31">
        <v>2500000</v>
      </c>
      <c r="AJB12" s="31">
        <v>52200000</v>
      </c>
      <c r="AJC12" s="31">
        <v>8900000</v>
      </c>
      <c r="AJD12" s="31">
        <v>32300000</v>
      </c>
      <c r="AJE12" s="31">
        <v>50000000</v>
      </c>
      <c r="AJF12" s="31">
        <v>392000000</v>
      </c>
      <c r="AJG12" s="31">
        <v>294800000</v>
      </c>
      <c r="AJH12" s="31">
        <v>60800000</v>
      </c>
      <c r="AJI12" s="31">
        <v>57300000</v>
      </c>
      <c r="AJJ12" s="31">
        <v>150400000</v>
      </c>
      <c r="AJK12" s="31">
        <v>56000000</v>
      </c>
      <c r="AJL12" s="31">
        <v>30900000</v>
      </c>
      <c r="AJM12" s="31">
        <v>57300000</v>
      </c>
      <c r="AJN12" s="31">
        <v>15800000</v>
      </c>
      <c r="AJO12" s="31">
        <v>389700000</v>
      </c>
      <c r="AJP12" s="31">
        <v>229100000</v>
      </c>
      <c r="AJQ12" s="31">
        <v>415200000</v>
      </c>
      <c r="AJR12" s="31">
        <v>140200000</v>
      </c>
      <c r="AJS12" s="31">
        <v>74700000</v>
      </c>
      <c r="AJT12" s="31">
        <v>321500000</v>
      </c>
      <c r="AJU12" s="31">
        <v>425400000</v>
      </c>
      <c r="AJV12" s="31">
        <v>155800000</v>
      </c>
      <c r="AJW12" s="31">
        <v>40500000</v>
      </c>
      <c r="AJX12" s="31">
        <v>38000000</v>
      </c>
      <c r="AJY12" s="31">
        <v>2250000</v>
      </c>
      <c r="AJZ12" s="31">
        <v>161000000</v>
      </c>
      <c r="AKA12" s="31">
        <v>19200000</v>
      </c>
      <c r="AKB12" s="31">
        <v>104900000</v>
      </c>
      <c r="AKC12" s="31">
        <v>86500000</v>
      </c>
      <c r="AKD12" s="31">
        <v>203600000</v>
      </c>
      <c r="AKE12" s="31">
        <v>95700000</v>
      </c>
      <c r="AKF12" s="31">
        <v>161000000</v>
      </c>
      <c r="AKG12" s="31">
        <v>192300000</v>
      </c>
      <c r="AKH12" s="31">
        <v>92000000</v>
      </c>
      <c r="AKI12" s="31">
        <v>271900000</v>
      </c>
      <c r="AKJ12" s="31">
        <v>101400000</v>
      </c>
      <c r="AKK12" s="31">
        <v>362200000</v>
      </c>
      <c r="AKL12" s="31">
        <v>122900000</v>
      </c>
      <c r="AKM12" s="31">
        <v>245500000</v>
      </c>
      <c r="AKN12" s="31">
        <v>185300000</v>
      </c>
      <c r="AKO12" s="31">
        <v>668000000</v>
      </c>
      <c r="AKP12" s="31">
        <v>89800000</v>
      </c>
      <c r="AKQ12" s="31">
        <v>102400000</v>
      </c>
      <c r="AKR12" s="31">
        <v>156200000</v>
      </c>
      <c r="AKS12" s="31">
        <v>218300000</v>
      </c>
      <c r="AKT12" s="31">
        <v>13069000</v>
      </c>
      <c r="AKU12" s="31">
        <v>190100000</v>
      </c>
      <c r="AKV12" s="31">
        <v>76500000</v>
      </c>
      <c r="AKW12" s="31">
        <v>22800000</v>
      </c>
      <c r="AKX12" s="31">
        <v>388100000</v>
      </c>
      <c r="AKY12" s="31">
        <v>110000000</v>
      </c>
      <c r="AKZ12" s="31">
        <v>233600000</v>
      </c>
      <c r="ALA12" s="31">
        <v>529100000</v>
      </c>
      <c r="ALB12" s="31">
        <v>3400000</v>
      </c>
      <c r="ALC12" s="31">
        <v>83500000</v>
      </c>
      <c r="ALD12" s="31">
        <v>133700000</v>
      </c>
      <c r="ALE12" s="31">
        <v>58500000</v>
      </c>
      <c r="ALF12" s="31">
        <v>8000000</v>
      </c>
      <c r="ALG12" s="31">
        <v>65700000</v>
      </c>
      <c r="ALH12" s="31">
        <v>49200000</v>
      </c>
      <c r="ALI12" s="31">
        <v>132800000</v>
      </c>
      <c r="ALJ12" s="31">
        <v>109800000</v>
      </c>
      <c r="ALK12" s="31">
        <v>403400000</v>
      </c>
      <c r="ALL12" s="31">
        <v>15500000</v>
      </c>
      <c r="ALM12" s="31">
        <v>134200000</v>
      </c>
      <c r="ALN12" s="31">
        <v>45400000</v>
      </c>
      <c r="ALO12" s="31">
        <v>7200000</v>
      </c>
      <c r="ALP12" s="31">
        <v>97100000</v>
      </c>
      <c r="ALQ12" s="31">
        <v>65600000</v>
      </c>
      <c r="ALR12" s="31">
        <v>115100000</v>
      </c>
      <c r="ALS12" s="31">
        <v>321700000</v>
      </c>
      <c r="ALT12" s="31">
        <v>268200000</v>
      </c>
      <c r="ALU12" s="31">
        <v>393616000</v>
      </c>
      <c r="ALV12" s="31">
        <v>18100000</v>
      </c>
      <c r="ALW12" s="31">
        <v>232600000</v>
      </c>
      <c r="ALX12" s="31">
        <v>86000000</v>
      </c>
      <c r="ALY12" s="31">
        <v>533000000</v>
      </c>
      <c r="ALZ12" s="31">
        <v>103200000</v>
      </c>
      <c r="AMA12" s="31">
        <v>60400000</v>
      </c>
      <c r="AMB12" s="31">
        <v>549400000</v>
      </c>
      <c r="AMC12" s="31">
        <v>216700000</v>
      </c>
      <c r="AMD12" s="31">
        <v>87200000</v>
      </c>
      <c r="AME12" s="31">
        <v>226300000</v>
      </c>
      <c r="AMF12" s="31">
        <v>76200000</v>
      </c>
      <c r="AMG12" s="31">
        <v>24700000</v>
      </c>
      <c r="AMH12" s="31">
        <v>28300000</v>
      </c>
      <c r="AMI12" s="31">
        <v>14700000</v>
      </c>
      <c r="AMJ12" s="31">
        <v>43100000</v>
      </c>
      <c r="AMK12" s="31">
        <v>41500000</v>
      </c>
      <c r="AML12" s="31">
        <v>54700000</v>
      </c>
      <c r="AMM12" s="31">
        <v>176500000</v>
      </c>
      <c r="AMN12" s="31">
        <v>187700000</v>
      </c>
      <c r="AMO12" s="31">
        <v>122100000</v>
      </c>
      <c r="AMP12" s="31">
        <v>174800000</v>
      </c>
      <c r="AMQ12" s="31">
        <v>261900000</v>
      </c>
      <c r="AMR12" s="31">
        <v>184000000</v>
      </c>
      <c r="AMS12" s="31">
        <v>85000000</v>
      </c>
      <c r="AMT12" s="31">
        <v>370500000</v>
      </c>
      <c r="AMU12" s="31">
        <v>127900000</v>
      </c>
      <c r="AMV12" s="31">
        <v>139800000</v>
      </c>
      <c r="AMW12" s="31">
        <v>119000000</v>
      </c>
      <c r="AMX12" s="31">
        <v>39400000</v>
      </c>
      <c r="AMY12" s="31">
        <v>519300000</v>
      </c>
      <c r="AMZ12" s="31">
        <v>70000000</v>
      </c>
      <c r="ANA12" s="31">
        <v>414800000</v>
      </c>
      <c r="ANB12" s="31">
        <v>30000000</v>
      </c>
      <c r="ANC12" s="31">
        <v>167200000</v>
      </c>
      <c r="AND12" s="31">
        <v>53900000</v>
      </c>
      <c r="ANE12" s="31">
        <v>106269000</v>
      </c>
      <c r="ANF12" s="31">
        <v>50700000</v>
      </c>
      <c r="ANG12" s="31">
        <v>45661000</v>
      </c>
      <c r="ANH12" s="31">
        <v>44143000</v>
      </c>
      <c r="ANI12" s="31">
        <v>32200000</v>
      </c>
      <c r="ANJ12" s="31">
        <v>61500000</v>
      </c>
      <c r="ANK12" s="31">
        <v>201500000</v>
      </c>
      <c r="ANL12" s="31">
        <v>243000000</v>
      </c>
      <c r="ANM12" s="31">
        <v>5000000</v>
      </c>
      <c r="ANN12" s="31">
        <v>14334000</v>
      </c>
      <c r="ANO12" s="31">
        <v>274300000</v>
      </c>
      <c r="ANP12" s="31">
        <v>469200000</v>
      </c>
      <c r="ANQ12" s="31">
        <v>141400000</v>
      </c>
      <c r="ANR12" s="31">
        <v>331300000</v>
      </c>
      <c r="ANS12" s="31">
        <v>407700000</v>
      </c>
      <c r="ANT12" s="31">
        <v>39600000</v>
      </c>
      <c r="ANU12" s="31">
        <v>142400000</v>
      </c>
      <c r="ANV12" s="31">
        <v>12000000</v>
      </c>
      <c r="ANW12" s="31">
        <v>3920000</v>
      </c>
      <c r="ANX12" s="31">
        <v>15057000</v>
      </c>
      <c r="ANY12" s="31">
        <v>39000000</v>
      </c>
      <c r="ANZ12" s="31">
        <v>4500000</v>
      </c>
      <c r="AOA12" s="31">
        <v>7800000</v>
      </c>
      <c r="AOB12" s="31">
        <v>1900000</v>
      </c>
      <c r="AOC12" s="31">
        <v>9600000</v>
      </c>
      <c r="AOD12" s="31">
        <v>2300000</v>
      </c>
      <c r="AOE12" s="31">
        <v>15473000</v>
      </c>
      <c r="AOF12" s="31">
        <v>7000000</v>
      </c>
      <c r="AOG12" s="31">
        <v>1100000</v>
      </c>
      <c r="AOH12" s="31">
        <v>25600000</v>
      </c>
      <c r="AOI12" s="31">
        <v>12300000</v>
      </c>
      <c r="AOJ12" s="31">
        <v>177000000</v>
      </c>
    </row>
    <row r="13" spans="1:1076" x14ac:dyDescent="0.3">
      <c r="A13" s="47" t="s">
        <v>12</v>
      </c>
      <c r="B13" s="44">
        <v>1</v>
      </c>
      <c r="C13" s="31">
        <v>0</v>
      </c>
      <c r="D13" s="31">
        <v>1</v>
      </c>
      <c r="E13" s="31">
        <v>0</v>
      </c>
      <c r="F13" s="31">
        <v>0</v>
      </c>
      <c r="G13" s="31">
        <v>0</v>
      </c>
      <c r="H13" s="31">
        <v>10</v>
      </c>
      <c r="I13" s="31">
        <v>4</v>
      </c>
      <c r="J13" s="31">
        <v>1</v>
      </c>
      <c r="K13" s="31">
        <v>0</v>
      </c>
      <c r="L13" s="31">
        <v>1</v>
      </c>
      <c r="M13" s="31">
        <v>10</v>
      </c>
      <c r="N13" s="31">
        <v>1</v>
      </c>
      <c r="O13" s="31">
        <v>0</v>
      </c>
      <c r="P13" s="31">
        <v>0</v>
      </c>
      <c r="Q13" s="31">
        <v>0</v>
      </c>
      <c r="R13" s="31">
        <v>0</v>
      </c>
      <c r="S13" s="31">
        <v>0</v>
      </c>
      <c r="T13" s="31">
        <v>0</v>
      </c>
      <c r="U13" s="31">
        <v>1</v>
      </c>
      <c r="V13" s="31">
        <v>0</v>
      </c>
      <c r="W13" s="31">
        <v>5</v>
      </c>
      <c r="X13" s="31">
        <v>0</v>
      </c>
      <c r="Y13" s="31">
        <v>0</v>
      </c>
      <c r="Z13" s="31">
        <v>0</v>
      </c>
      <c r="AA13" s="31">
        <v>0</v>
      </c>
      <c r="AB13" s="31">
        <v>0</v>
      </c>
      <c r="AC13" s="31">
        <v>0</v>
      </c>
      <c r="AD13" s="31">
        <v>0</v>
      </c>
      <c r="AE13" s="31">
        <v>0</v>
      </c>
      <c r="AF13" s="31">
        <v>0</v>
      </c>
      <c r="AG13" s="31">
        <v>0</v>
      </c>
      <c r="AH13" s="31">
        <v>0</v>
      </c>
      <c r="AI13" s="31">
        <v>1</v>
      </c>
      <c r="AJ13" s="31">
        <v>6</v>
      </c>
      <c r="AK13" s="31">
        <v>1</v>
      </c>
      <c r="AL13" s="31">
        <v>0</v>
      </c>
      <c r="AM13" s="31">
        <v>0</v>
      </c>
      <c r="AN13" s="31">
        <v>0</v>
      </c>
      <c r="AO13" s="31">
        <v>0</v>
      </c>
      <c r="AP13" s="31">
        <v>0</v>
      </c>
      <c r="AQ13" s="31">
        <v>0</v>
      </c>
      <c r="AR13" s="31">
        <v>0</v>
      </c>
      <c r="AS13" s="31">
        <v>0</v>
      </c>
      <c r="AT13" s="31">
        <v>0</v>
      </c>
      <c r="AU13" s="31">
        <v>0</v>
      </c>
      <c r="AV13" s="31">
        <v>0</v>
      </c>
      <c r="AW13" s="31">
        <v>0</v>
      </c>
      <c r="AX13" s="31">
        <v>0</v>
      </c>
      <c r="AY13" s="31">
        <v>0</v>
      </c>
      <c r="AZ13" s="31">
        <v>0</v>
      </c>
      <c r="BA13" s="31">
        <v>0</v>
      </c>
      <c r="BB13" s="31">
        <v>0</v>
      </c>
      <c r="BC13" s="31">
        <v>0</v>
      </c>
      <c r="BD13" s="31">
        <v>0</v>
      </c>
      <c r="BE13" s="31">
        <v>0</v>
      </c>
      <c r="BF13" s="31">
        <v>0</v>
      </c>
      <c r="BG13" s="31">
        <v>0</v>
      </c>
      <c r="BH13" s="31">
        <v>0</v>
      </c>
      <c r="BI13" s="31">
        <v>0</v>
      </c>
      <c r="BJ13" s="31">
        <v>0</v>
      </c>
      <c r="BK13" s="31">
        <v>2</v>
      </c>
      <c r="BL13" s="31">
        <v>2</v>
      </c>
      <c r="BM13" s="31">
        <v>4</v>
      </c>
      <c r="BN13" s="31">
        <v>5</v>
      </c>
      <c r="BO13" s="31">
        <v>1</v>
      </c>
      <c r="BP13" s="31">
        <v>0</v>
      </c>
      <c r="BQ13" s="31">
        <v>0</v>
      </c>
      <c r="BR13" s="31">
        <v>0</v>
      </c>
      <c r="BS13" s="31">
        <v>0</v>
      </c>
      <c r="BT13" s="31">
        <v>1</v>
      </c>
      <c r="BU13" s="31">
        <v>0</v>
      </c>
      <c r="BV13" s="31">
        <v>0</v>
      </c>
      <c r="BW13" s="31">
        <v>0</v>
      </c>
      <c r="BX13" s="31">
        <v>4</v>
      </c>
      <c r="BY13" s="31">
        <v>13</v>
      </c>
      <c r="BZ13" s="31">
        <v>11</v>
      </c>
      <c r="CA13" s="31">
        <v>6</v>
      </c>
      <c r="CB13" s="31">
        <v>0</v>
      </c>
      <c r="CC13" s="31">
        <v>1</v>
      </c>
      <c r="CD13" s="31">
        <v>3</v>
      </c>
      <c r="CE13" s="31">
        <v>3</v>
      </c>
      <c r="CF13" s="31">
        <v>8</v>
      </c>
      <c r="CG13" s="31">
        <v>0</v>
      </c>
      <c r="CH13" s="31">
        <v>0</v>
      </c>
      <c r="CI13" s="31">
        <v>0</v>
      </c>
      <c r="CJ13" s="31">
        <v>4</v>
      </c>
      <c r="CK13" s="31">
        <v>0</v>
      </c>
      <c r="CL13" s="31">
        <v>0</v>
      </c>
      <c r="CM13" s="31">
        <v>0</v>
      </c>
      <c r="CN13" s="31">
        <v>0</v>
      </c>
      <c r="CO13" s="31">
        <v>0</v>
      </c>
      <c r="CP13" s="31">
        <v>0</v>
      </c>
      <c r="CQ13" s="31">
        <v>0</v>
      </c>
      <c r="CR13" s="31">
        <v>0</v>
      </c>
      <c r="CS13" s="31">
        <v>1</v>
      </c>
      <c r="CT13" s="31">
        <v>0</v>
      </c>
      <c r="CU13" s="31">
        <v>0</v>
      </c>
      <c r="CV13" s="31">
        <v>2</v>
      </c>
      <c r="CW13" s="31">
        <v>3</v>
      </c>
      <c r="CX13" s="31">
        <v>0</v>
      </c>
      <c r="CY13" s="31">
        <v>0</v>
      </c>
      <c r="CZ13" s="31">
        <v>0</v>
      </c>
      <c r="DA13" s="31">
        <v>0</v>
      </c>
      <c r="DB13" s="31">
        <v>0</v>
      </c>
      <c r="DC13" s="31">
        <v>0</v>
      </c>
      <c r="DD13" s="31">
        <v>1</v>
      </c>
      <c r="DE13" s="31">
        <v>1</v>
      </c>
      <c r="DF13" s="31">
        <v>11</v>
      </c>
      <c r="DG13" s="31">
        <v>1</v>
      </c>
      <c r="DH13" s="31">
        <v>0</v>
      </c>
      <c r="DI13" s="31">
        <v>7</v>
      </c>
      <c r="DJ13" s="31">
        <v>0</v>
      </c>
      <c r="DK13" s="31">
        <v>0</v>
      </c>
      <c r="DL13" s="31">
        <v>1</v>
      </c>
      <c r="DM13" s="31">
        <v>3</v>
      </c>
      <c r="DN13" s="31">
        <v>1</v>
      </c>
      <c r="DO13" s="31">
        <v>1</v>
      </c>
      <c r="DP13" s="31">
        <v>0</v>
      </c>
      <c r="DQ13" s="31">
        <v>1</v>
      </c>
      <c r="DR13" s="31">
        <v>1</v>
      </c>
      <c r="DS13" s="31">
        <v>0</v>
      </c>
      <c r="DT13" s="31">
        <v>0</v>
      </c>
      <c r="DU13" s="31">
        <v>2</v>
      </c>
      <c r="DV13" s="31">
        <v>0</v>
      </c>
      <c r="DW13" s="31">
        <v>0</v>
      </c>
      <c r="DX13" s="31">
        <v>0</v>
      </c>
      <c r="DY13" s="31">
        <v>0</v>
      </c>
      <c r="DZ13" s="31">
        <v>5</v>
      </c>
      <c r="EA13" s="31">
        <v>3</v>
      </c>
      <c r="EB13" s="31">
        <v>3</v>
      </c>
      <c r="EC13" s="31">
        <v>2</v>
      </c>
      <c r="ED13" s="31">
        <v>1</v>
      </c>
      <c r="EE13" s="31">
        <v>2</v>
      </c>
      <c r="EF13" s="31">
        <v>0</v>
      </c>
      <c r="EG13" s="31">
        <v>0</v>
      </c>
      <c r="EH13" s="31">
        <v>0</v>
      </c>
      <c r="EI13" s="31">
        <v>3</v>
      </c>
      <c r="EJ13" s="31">
        <v>0</v>
      </c>
      <c r="EK13" s="31">
        <v>13</v>
      </c>
      <c r="EL13" s="31">
        <v>4</v>
      </c>
      <c r="EM13" s="31">
        <v>0</v>
      </c>
      <c r="EN13" s="31">
        <v>7</v>
      </c>
      <c r="EO13" s="31">
        <v>0</v>
      </c>
      <c r="EP13" s="31">
        <v>0</v>
      </c>
      <c r="EQ13" s="31">
        <v>0</v>
      </c>
      <c r="ER13" s="31">
        <v>0</v>
      </c>
      <c r="ES13" s="31">
        <v>0</v>
      </c>
      <c r="ET13" s="31">
        <v>4</v>
      </c>
      <c r="EU13" s="31">
        <v>5</v>
      </c>
      <c r="EV13" s="31">
        <v>4</v>
      </c>
      <c r="EW13" s="31">
        <v>4</v>
      </c>
      <c r="EX13" s="31">
        <v>11</v>
      </c>
      <c r="EY13" s="31">
        <v>10</v>
      </c>
      <c r="EZ13" s="31">
        <v>2</v>
      </c>
      <c r="FA13" s="31">
        <v>10</v>
      </c>
      <c r="FB13" s="31">
        <v>7</v>
      </c>
      <c r="FC13" s="31">
        <v>8</v>
      </c>
      <c r="FD13" s="31">
        <v>3</v>
      </c>
      <c r="FE13" s="31">
        <v>7</v>
      </c>
      <c r="FF13" s="31">
        <v>7</v>
      </c>
      <c r="FG13" s="31">
        <v>1</v>
      </c>
      <c r="FH13" s="31">
        <v>1</v>
      </c>
      <c r="FI13" s="31">
        <v>0</v>
      </c>
      <c r="FJ13" s="31">
        <v>0</v>
      </c>
      <c r="FK13" s="31">
        <v>3</v>
      </c>
      <c r="FL13" s="31">
        <v>1</v>
      </c>
      <c r="FM13" s="31">
        <v>5</v>
      </c>
      <c r="FN13" s="31">
        <v>7</v>
      </c>
      <c r="FO13" s="31">
        <v>0</v>
      </c>
      <c r="FP13" s="31">
        <v>0</v>
      </c>
      <c r="FQ13" s="31">
        <v>0</v>
      </c>
      <c r="FR13" s="31">
        <v>0</v>
      </c>
      <c r="FS13" s="31">
        <v>0</v>
      </c>
      <c r="FT13" s="31">
        <v>0</v>
      </c>
      <c r="FU13" s="31">
        <v>0</v>
      </c>
      <c r="FV13" s="31">
        <v>0</v>
      </c>
      <c r="FW13" s="31">
        <v>0</v>
      </c>
      <c r="FX13" s="31">
        <v>0</v>
      </c>
      <c r="FY13" s="31">
        <v>10</v>
      </c>
      <c r="FZ13" s="31">
        <v>0</v>
      </c>
      <c r="GA13" s="31">
        <v>0</v>
      </c>
      <c r="GB13" s="31">
        <v>0</v>
      </c>
      <c r="GC13" s="31">
        <v>0</v>
      </c>
      <c r="GD13" s="31">
        <v>0</v>
      </c>
      <c r="GE13" s="31">
        <v>0</v>
      </c>
      <c r="GF13" s="31">
        <v>6</v>
      </c>
      <c r="GG13" s="31">
        <v>0</v>
      </c>
      <c r="GH13" s="31">
        <v>0</v>
      </c>
      <c r="GI13" s="31">
        <v>0</v>
      </c>
      <c r="GJ13" s="31">
        <v>0</v>
      </c>
      <c r="GK13" s="31">
        <v>0</v>
      </c>
      <c r="GL13" s="31">
        <v>0</v>
      </c>
      <c r="GM13" s="31">
        <v>0</v>
      </c>
      <c r="GN13" s="31">
        <v>1</v>
      </c>
      <c r="GO13" s="31">
        <v>1</v>
      </c>
      <c r="GP13" s="31">
        <v>0</v>
      </c>
      <c r="GQ13" s="31">
        <v>0</v>
      </c>
      <c r="GR13" s="31">
        <v>4</v>
      </c>
      <c r="GS13" s="31">
        <v>6</v>
      </c>
      <c r="GT13" s="31">
        <v>0</v>
      </c>
      <c r="GU13" s="31">
        <v>0</v>
      </c>
      <c r="GV13" s="31">
        <v>0</v>
      </c>
      <c r="GW13" s="31">
        <v>0</v>
      </c>
      <c r="GX13" s="31">
        <v>0</v>
      </c>
      <c r="GY13" s="31">
        <v>11</v>
      </c>
      <c r="GZ13" s="31">
        <v>0</v>
      </c>
      <c r="HA13" s="31">
        <v>0</v>
      </c>
      <c r="HB13" s="31">
        <v>0</v>
      </c>
      <c r="HC13" s="31">
        <v>2</v>
      </c>
      <c r="HD13" s="31">
        <v>4</v>
      </c>
      <c r="HE13" s="31">
        <v>5</v>
      </c>
      <c r="HF13" s="31">
        <v>12</v>
      </c>
      <c r="HG13" s="31">
        <v>0</v>
      </c>
      <c r="HH13" s="31">
        <v>0</v>
      </c>
      <c r="HI13" s="31">
        <v>0</v>
      </c>
      <c r="HJ13" s="31">
        <v>0</v>
      </c>
      <c r="HK13" s="31">
        <v>0</v>
      </c>
      <c r="HL13" s="31">
        <v>5</v>
      </c>
      <c r="HM13" s="31">
        <v>1</v>
      </c>
      <c r="HN13" s="31">
        <v>4</v>
      </c>
      <c r="HO13" s="31">
        <v>0</v>
      </c>
      <c r="HP13" s="31">
        <v>1</v>
      </c>
      <c r="HQ13" s="31">
        <v>8</v>
      </c>
      <c r="HR13" s="31">
        <v>12</v>
      </c>
      <c r="HS13" s="31">
        <v>0</v>
      </c>
      <c r="HT13" s="31">
        <v>0</v>
      </c>
      <c r="HU13" s="31">
        <v>0</v>
      </c>
      <c r="HV13" s="31">
        <v>1</v>
      </c>
      <c r="HW13" s="31">
        <v>0</v>
      </c>
      <c r="HX13" s="31">
        <v>0</v>
      </c>
      <c r="HY13" s="31">
        <v>0</v>
      </c>
      <c r="HZ13" s="31">
        <v>0</v>
      </c>
      <c r="IA13" s="31">
        <v>3</v>
      </c>
      <c r="IB13" s="31">
        <v>2</v>
      </c>
      <c r="IC13" s="31">
        <v>1</v>
      </c>
      <c r="ID13" s="31">
        <v>14</v>
      </c>
      <c r="IE13" s="31">
        <v>0</v>
      </c>
      <c r="IF13" s="31">
        <v>1</v>
      </c>
      <c r="IG13" s="31">
        <v>4</v>
      </c>
      <c r="IH13" s="31">
        <v>3</v>
      </c>
      <c r="II13" s="31">
        <v>0</v>
      </c>
      <c r="IJ13" s="31">
        <v>0</v>
      </c>
      <c r="IK13" s="31">
        <v>2</v>
      </c>
      <c r="IL13" s="31">
        <v>0</v>
      </c>
      <c r="IM13" s="31">
        <v>5</v>
      </c>
      <c r="IN13" s="31">
        <v>1</v>
      </c>
      <c r="IO13" s="31">
        <v>1</v>
      </c>
      <c r="IP13" s="31">
        <v>1</v>
      </c>
      <c r="IQ13" s="31">
        <v>4</v>
      </c>
      <c r="IR13" s="31">
        <v>0</v>
      </c>
      <c r="IS13" s="31">
        <v>4</v>
      </c>
      <c r="IT13" s="31">
        <v>0</v>
      </c>
      <c r="IU13" s="31">
        <v>0</v>
      </c>
      <c r="IV13" s="31">
        <v>3</v>
      </c>
      <c r="IW13" s="31">
        <v>0</v>
      </c>
      <c r="IX13" s="31">
        <v>0</v>
      </c>
      <c r="IY13" s="31">
        <v>0</v>
      </c>
      <c r="IZ13" s="31">
        <v>10</v>
      </c>
      <c r="JA13" s="31">
        <v>3</v>
      </c>
      <c r="JB13" s="31">
        <v>3</v>
      </c>
      <c r="JC13" s="31">
        <v>0</v>
      </c>
      <c r="JD13" s="31">
        <v>0</v>
      </c>
      <c r="JE13" s="31">
        <v>0</v>
      </c>
      <c r="JF13" s="31">
        <v>5</v>
      </c>
      <c r="JG13" s="31">
        <v>4</v>
      </c>
      <c r="JH13" s="31">
        <v>2</v>
      </c>
      <c r="JI13" s="31">
        <v>0</v>
      </c>
      <c r="JJ13" s="31">
        <v>0</v>
      </c>
      <c r="JK13" s="31">
        <v>0</v>
      </c>
      <c r="JL13" s="31">
        <v>1</v>
      </c>
      <c r="JM13" s="31">
        <v>4</v>
      </c>
      <c r="JN13" s="31">
        <v>3</v>
      </c>
      <c r="JO13" s="31">
        <v>1</v>
      </c>
      <c r="JP13" s="31">
        <v>0</v>
      </c>
      <c r="JQ13" s="31">
        <v>0</v>
      </c>
      <c r="JR13" s="31">
        <v>0</v>
      </c>
      <c r="JS13" s="31">
        <v>0</v>
      </c>
      <c r="JT13" s="31">
        <v>0</v>
      </c>
      <c r="JU13" s="31">
        <v>0</v>
      </c>
      <c r="JV13" s="31">
        <v>11</v>
      </c>
      <c r="JW13" s="31">
        <v>0</v>
      </c>
      <c r="JX13" s="31">
        <v>1</v>
      </c>
      <c r="JY13" s="31">
        <v>1</v>
      </c>
      <c r="JZ13" s="31">
        <v>4</v>
      </c>
      <c r="KA13" s="31">
        <v>0</v>
      </c>
      <c r="KB13" s="31">
        <v>2</v>
      </c>
      <c r="KC13" s="31">
        <v>5</v>
      </c>
      <c r="KD13" s="31">
        <v>12</v>
      </c>
      <c r="KE13" s="31">
        <v>1</v>
      </c>
      <c r="KF13" s="31">
        <v>10</v>
      </c>
      <c r="KG13" s="31">
        <v>4</v>
      </c>
      <c r="KH13" s="31">
        <v>0</v>
      </c>
      <c r="KI13" s="31">
        <v>0</v>
      </c>
      <c r="KJ13" s="31">
        <v>3</v>
      </c>
      <c r="KK13" s="31">
        <v>5</v>
      </c>
      <c r="KL13" s="31">
        <v>0</v>
      </c>
      <c r="KM13" s="31">
        <v>3</v>
      </c>
      <c r="KN13" s="31">
        <v>0</v>
      </c>
      <c r="KO13" s="31">
        <v>0</v>
      </c>
      <c r="KP13" s="31">
        <v>2</v>
      </c>
      <c r="KQ13" s="31">
        <v>0</v>
      </c>
      <c r="KR13" s="31">
        <v>1</v>
      </c>
      <c r="KS13" s="31">
        <v>0</v>
      </c>
      <c r="KT13" s="31">
        <v>0</v>
      </c>
      <c r="KU13" s="31">
        <v>0</v>
      </c>
      <c r="KV13" s="31">
        <v>6</v>
      </c>
      <c r="KW13" s="31">
        <v>8</v>
      </c>
      <c r="KX13" s="31">
        <v>3</v>
      </c>
      <c r="KY13" s="31">
        <v>5</v>
      </c>
      <c r="KZ13" s="31">
        <v>2</v>
      </c>
      <c r="LA13" s="31">
        <v>0</v>
      </c>
      <c r="LB13" s="31">
        <v>0</v>
      </c>
      <c r="LC13" s="31">
        <v>1</v>
      </c>
      <c r="LD13" s="31">
        <v>0</v>
      </c>
      <c r="LE13" s="31">
        <v>0</v>
      </c>
      <c r="LF13" s="31">
        <v>0</v>
      </c>
      <c r="LG13" s="31">
        <v>0</v>
      </c>
      <c r="LH13" s="31">
        <v>10</v>
      </c>
      <c r="LI13" s="31">
        <v>0</v>
      </c>
      <c r="LJ13" s="31">
        <v>1</v>
      </c>
      <c r="LK13" s="31">
        <v>0</v>
      </c>
      <c r="LL13" s="31">
        <v>2</v>
      </c>
      <c r="LM13" s="31">
        <v>4</v>
      </c>
      <c r="LN13" s="31">
        <v>0</v>
      </c>
      <c r="LO13" s="31">
        <v>6</v>
      </c>
      <c r="LP13" s="31">
        <v>3</v>
      </c>
      <c r="LQ13" s="31">
        <v>0</v>
      </c>
      <c r="LR13" s="31">
        <v>0</v>
      </c>
      <c r="LS13" s="31">
        <v>0</v>
      </c>
      <c r="LT13" s="31">
        <v>9</v>
      </c>
      <c r="LU13" s="31">
        <v>11</v>
      </c>
      <c r="LV13" s="31">
        <v>1</v>
      </c>
      <c r="LW13" s="31">
        <v>4</v>
      </c>
      <c r="LX13" s="31">
        <v>2</v>
      </c>
      <c r="LY13" s="31">
        <v>3</v>
      </c>
      <c r="LZ13" s="31">
        <v>2</v>
      </c>
      <c r="MA13" s="31">
        <v>1</v>
      </c>
      <c r="MB13" s="31">
        <v>3</v>
      </c>
      <c r="MC13" s="31">
        <v>0</v>
      </c>
      <c r="MD13" s="31">
        <v>0</v>
      </c>
      <c r="ME13" s="31">
        <v>0</v>
      </c>
      <c r="MF13" s="31">
        <v>0</v>
      </c>
      <c r="MG13" s="31">
        <v>0</v>
      </c>
      <c r="MH13" s="31">
        <v>0</v>
      </c>
      <c r="MI13" s="31">
        <v>0</v>
      </c>
      <c r="MJ13" s="31">
        <v>3</v>
      </c>
      <c r="MK13" s="31">
        <v>3</v>
      </c>
      <c r="ML13" s="31">
        <v>0</v>
      </c>
      <c r="MM13" s="31">
        <v>0</v>
      </c>
      <c r="MN13" s="31">
        <v>0</v>
      </c>
      <c r="MO13" s="31">
        <v>0</v>
      </c>
      <c r="MP13" s="31">
        <v>1</v>
      </c>
      <c r="MQ13" s="31">
        <v>0</v>
      </c>
      <c r="MR13" s="31">
        <v>0</v>
      </c>
      <c r="MS13" s="31">
        <v>0</v>
      </c>
      <c r="MT13" s="31">
        <v>2</v>
      </c>
      <c r="MU13" s="31">
        <v>1</v>
      </c>
      <c r="MV13" s="31">
        <v>1</v>
      </c>
      <c r="MW13" s="31">
        <v>2</v>
      </c>
      <c r="MX13" s="31">
        <v>0</v>
      </c>
      <c r="MY13" s="31">
        <v>3</v>
      </c>
      <c r="MZ13" s="31">
        <v>1</v>
      </c>
      <c r="NA13" s="31">
        <v>0</v>
      </c>
      <c r="NB13" s="31">
        <v>0</v>
      </c>
      <c r="NC13" s="31">
        <v>7</v>
      </c>
      <c r="ND13" s="31">
        <v>2</v>
      </c>
      <c r="NE13" s="31">
        <v>1</v>
      </c>
      <c r="NF13" s="31">
        <v>3</v>
      </c>
      <c r="NG13" s="31">
        <v>0</v>
      </c>
      <c r="NH13" s="31">
        <v>0</v>
      </c>
      <c r="NI13" s="31">
        <v>1</v>
      </c>
      <c r="NJ13" s="31">
        <v>0</v>
      </c>
      <c r="NK13" s="31">
        <v>0</v>
      </c>
      <c r="NL13" s="31">
        <v>0</v>
      </c>
      <c r="NM13" s="31">
        <v>0</v>
      </c>
      <c r="NN13" s="31">
        <v>3</v>
      </c>
      <c r="NO13" s="31">
        <v>0</v>
      </c>
      <c r="NP13" s="31">
        <v>0</v>
      </c>
      <c r="NQ13" s="31">
        <v>4</v>
      </c>
      <c r="NR13" s="31">
        <v>2</v>
      </c>
      <c r="NS13" s="31">
        <v>0</v>
      </c>
      <c r="NT13" s="31">
        <v>2</v>
      </c>
      <c r="NU13" s="31">
        <v>7</v>
      </c>
      <c r="NV13" s="31">
        <v>1</v>
      </c>
      <c r="NW13" s="31">
        <v>3</v>
      </c>
      <c r="NX13" s="31">
        <v>2</v>
      </c>
      <c r="NY13" s="31">
        <v>0</v>
      </c>
      <c r="NZ13" s="31">
        <v>2</v>
      </c>
      <c r="OA13" s="31">
        <v>2</v>
      </c>
      <c r="OB13" s="31">
        <v>4</v>
      </c>
      <c r="OC13" s="31">
        <v>0</v>
      </c>
      <c r="OD13" s="31">
        <v>2</v>
      </c>
      <c r="OE13" s="31">
        <v>0</v>
      </c>
      <c r="OF13" s="31">
        <v>0</v>
      </c>
      <c r="OG13" s="31">
        <v>0</v>
      </c>
      <c r="OH13" s="31">
        <v>2</v>
      </c>
      <c r="OI13" s="31">
        <v>6</v>
      </c>
      <c r="OJ13" s="31">
        <v>3</v>
      </c>
      <c r="OK13" s="31">
        <v>4</v>
      </c>
      <c r="OL13" s="31">
        <v>12</v>
      </c>
      <c r="OM13" s="31">
        <v>0</v>
      </c>
      <c r="ON13" s="31">
        <v>0</v>
      </c>
      <c r="OO13" s="31">
        <v>4</v>
      </c>
      <c r="OP13" s="31">
        <v>2</v>
      </c>
      <c r="OQ13" s="31">
        <v>4</v>
      </c>
      <c r="OR13" s="31">
        <v>0</v>
      </c>
      <c r="OS13" s="31">
        <v>0</v>
      </c>
      <c r="OT13" s="31">
        <v>9</v>
      </c>
      <c r="OU13" s="31">
        <v>4</v>
      </c>
      <c r="OV13" s="31">
        <v>12</v>
      </c>
      <c r="OW13" s="31">
        <v>0</v>
      </c>
      <c r="OX13" s="31">
        <v>8</v>
      </c>
      <c r="OY13" s="31">
        <v>7</v>
      </c>
      <c r="OZ13" s="31">
        <v>0</v>
      </c>
      <c r="PA13" s="31">
        <v>2</v>
      </c>
      <c r="PB13" s="31">
        <v>8</v>
      </c>
      <c r="PC13" s="31">
        <v>1</v>
      </c>
      <c r="PD13" s="31">
        <v>1</v>
      </c>
      <c r="PE13" s="31">
        <v>8</v>
      </c>
      <c r="PF13" s="31">
        <v>0</v>
      </c>
      <c r="PG13" s="31">
        <v>0</v>
      </c>
      <c r="PH13" s="31">
        <v>0</v>
      </c>
      <c r="PI13" s="31">
        <v>4</v>
      </c>
      <c r="PJ13" s="31">
        <v>0</v>
      </c>
      <c r="PK13" s="31">
        <v>11</v>
      </c>
      <c r="PL13" s="31">
        <v>9</v>
      </c>
      <c r="PM13" s="31">
        <v>0</v>
      </c>
      <c r="PN13" s="31">
        <v>2</v>
      </c>
      <c r="PO13" s="31">
        <v>7</v>
      </c>
      <c r="PP13" s="31">
        <v>7</v>
      </c>
      <c r="PQ13" s="31">
        <v>6</v>
      </c>
      <c r="PR13" s="31">
        <v>0</v>
      </c>
      <c r="PS13" s="31">
        <v>0</v>
      </c>
      <c r="PT13" s="31">
        <v>8</v>
      </c>
      <c r="PU13" s="31">
        <v>2</v>
      </c>
      <c r="PV13" s="31">
        <v>2</v>
      </c>
      <c r="PW13" s="31">
        <v>1</v>
      </c>
      <c r="PX13" s="31">
        <v>0</v>
      </c>
      <c r="PY13" s="31">
        <v>0</v>
      </c>
      <c r="PZ13" s="31">
        <v>1</v>
      </c>
      <c r="QA13" s="31">
        <v>0</v>
      </c>
      <c r="QB13" s="31">
        <v>0</v>
      </c>
      <c r="QC13" s="31">
        <v>2</v>
      </c>
      <c r="QD13" s="31">
        <v>1</v>
      </c>
      <c r="QE13" s="31">
        <v>0</v>
      </c>
      <c r="QF13" s="31">
        <v>1</v>
      </c>
      <c r="QG13" s="31">
        <v>0</v>
      </c>
      <c r="QH13" s="31">
        <v>0</v>
      </c>
      <c r="QI13" s="31">
        <v>1</v>
      </c>
      <c r="QJ13" s="31">
        <v>5</v>
      </c>
      <c r="QK13" s="31">
        <v>2</v>
      </c>
      <c r="QL13" s="31">
        <v>1</v>
      </c>
      <c r="QM13" s="31">
        <v>2</v>
      </c>
      <c r="QN13" s="31">
        <v>0</v>
      </c>
      <c r="QO13" s="31">
        <v>0</v>
      </c>
      <c r="QP13" s="31">
        <v>0</v>
      </c>
      <c r="QQ13" s="31">
        <v>10</v>
      </c>
      <c r="QR13" s="31">
        <v>0</v>
      </c>
      <c r="QS13" s="31">
        <v>0</v>
      </c>
      <c r="QT13" s="31">
        <v>1</v>
      </c>
      <c r="QU13" s="31">
        <v>0</v>
      </c>
      <c r="QV13" s="31">
        <v>0</v>
      </c>
      <c r="QW13" s="31">
        <v>0</v>
      </c>
      <c r="QX13" s="31">
        <v>0</v>
      </c>
      <c r="QY13" s="31">
        <v>0</v>
      </c>
      <c r="QZ13" s="31">
        <v>0</v>
      </c>
      <c r="RA13" s="31">
        <v>0</v>
      </c>
      <c r="RB13" s="31">
        <v>3</v>
      </c>
      <c r="RC13" s="31">
        <v>0</v>
      </c>
      <c r="RD13" s="31">
        <v>0</v>
      </c>
      <c r="RE13" s="31">
        <v>0</v>
      </c>
      <c r="RF13" s="31">
        <v>1</v>
      </c>
      <c r="RG13" s="31">
        <v>0</v>
      </c>
      <c r="RH13" s="31">
        <v>0</v>
      </c>
      <c r="RI13" s="31">
        <v>0</v>
      </c>
      <c r="RJ13" s="31">
        <v>0</v>
      </c>
      <c r="RK13" s="31">
        <v>5</v>
      </c>
      <c r="RL13" s="31">
        <v>8</v>
      </c>
      <c r="RM13" s="31">
        <v>0</v>
      </c>
      <c r="RN13" s="31">
        <v>0</v>
      </c>
      <c r="RO13" s="31">
        <v>1</v>
      </c>
      <c r="RP13" s="31">
        <v>1</v>
      </c>
      <c r="RQ13" s="31">
        <v>0</v>
      </c>
      <c r="RR13" s="31">
        <v>2</v>
      </c>
      <c r="RS13" s="31">
        <v>9</v>
      </c>
      <c r="RT13" s="31">
        <v>0</v>
      </c>
      <c r="RU13" s="31">
        <v>1</v>
      </c>
      <c r="RV13" s="31">
        <v>0</v>
      </c>
      <c r="RW13" s="31">
        <v>5</v>
      </c>
      <c r="RX13" s="31">
        <v>0</v>
      </c>
      <c r="RY13" s="31">
        <v>0</v>
      </c>
      <c r="RZ13" s="31">
        <v>0</v>
      </c>
      <c r="SA13" s="31">
        <v>8</v>
      </c>
      <c r="SB13" s="31">
        <v>1</v>
      </c>
      <c r="SC13" s="31">
        <v>0</v>
      </c>
      <c r="SD13" s="31">
        <v>0</v>
      </c>
      <c r="SE13" s="31">
        <v>2</v>
      </c>
      <c r="SF13" s="31">
        <v>6</v>
      </c>
      <c r="SG13" s="31">
        <v>0</v>
      </c>
      <c r="SH13" s="31">
        <v>5</v>
      </c>
      <c r="SI13" s="31">
        <v>0</v>
      </c>
      <c r="SJ13" s="31">
        <v>0</v>
      </c>
      <c r="SK13" s="31">
        <v>2</v>
      </c>
      <c r="SL13" s="31">
        <v>0</v>
      </c>
      <c r="SM13" s="31">
        <v>0</v>
      </c>
      <c r="SN13" s="31">
        <v>4</v>
      </c>
      <c r="SO13" s="31">
        <v>0</v>
      </c>
      <c r="SP13" s="31">
        <v>1</v>
      </c>
      <c r="SQ13" s="31">
        <v>4</v>
      </c>
      <c r="SR13" s="31">
        <v>0</v>
      </c>
      <c r="SS13" s="31">
        <v>0</v>
      </c>
      <c r="ST13" s="31">
        <v>0</v>
      </c>
      <c r="SU13" s="31">
        <v>1</v>
      </c>
      <c r="SV13" s="31">
        <v>0</v>
      </c>
      <c r="SW13" s="31">
        <v>0</v>
      </c>
      <c r="SX13" s="31">
        <v>0</v>
      </c>
      <c r="SY13" s="31">
        <v>0</v>
      </c>
      <c r="SZ13" s="31">
        <v>0</v>
      </c>
      <c r="TA13" s="31">
        <v>3</v>
      </c>
      <c r="TB13" s="31">
        <v>1</v>
      </c>
      <c r="TC13" s="31">
        <v>0</v>
      </c>
      <c r="TD13" s="31">
        <v>1</v>
      </c>
      <c r="TE13" s="31">
        <v>1</v>
      </c>
      <c r="TF13" s="31">
        <v>1</v>
      </c>
      <c r="TG13" s="31">
        <v>1</v>
      </c>
      <c r="TH13" s="31">
        <v>0</v>
      </c>
      <c r="TI13" s="31">
        <v>0</v>
      </c>
      <c r="TJ13" s="31">
        <v>1</v>
      </c>
      <c r="TK13" s="31">
        <v>1</v>
      </c>
      <c r="TL13" s="31">
        <v>0</v>
      </c>
      <c r="TM13" s="31">
        <v>1</v>
      </c>
      <c r="TN13" s="31">
        <v>2</v>
      </c>
      <c r="TO13" s="31">
        <v>0</v>
      </c>
      <c r="TP13" s="31">
        <v>1</v>
      </c>
      <c r="TQ13" s="31">
        <v>2</v>
      </c>
      <c r="TR13" s="31">
        <v>1</v>
      </c>
      <c r="TS13" s="31">
        <v>0</v>
      </c>
      <c r="TT13" s="31">
        <v>0</v>
      </c>
      <c r="TU13" s="31">
        <v>1</v>
      </c>
      <c r="TV13" s="31">
        <v>5</v>
      </c>
      <c r="TW13" s="31">
        <v>1</v>
      </c>
      <c r="TX13" s="31">
        <v>3</v>
      </c>
      <c r="TY13" s="31">
        <v>2</v>
      </c>
      <c r="TZ13" s="31">
        <v>3</v>
      </c>
      <c r="UA13" s="31">
        <v>0</v>
      </c>
      <c r="UB13" s="31">
        <v>0</v>
      </c>
      <c r="UC13" s="31">
        <v>4</v>
      </c>
      <c r="UD13" s="31">
        <v>1</v>
      </c>
      <c r="UE13" s="31">
        <v>3</v>
      </c>
      <c r="UF13" s="31">
        <v>0</v>
      </c>
      <c r="UG13" s="31">
        <v>0</v>
      </c>
      <c r="UH13" s="31">
        <v>1</v>
      </c>
      <c r="UI13" s="31">
        <v>2</v>
      </c>
      <c r="UJ13" s="31">
        <v>1</v>
      </c>
      <c r="UK13" s="31">
        <v>2</v>
      </c>
      <c r="UL13" s="31">
        <v>0</v>
      </c>
      <c r="UM13" s="31">
        <v>2</v>
      </c>
      <c r="UN13" s="31">
        <v>5</v>
      </c>
      <c r="UO13" s="31">
        <v>0</v>
      </c>
      <c r="UP13" s="31">
        <v>5</v>
      </c>
      <c r="UQ13" s="31">
        <v>2</v>
      </c>
      <c r="UR13" s="31">
        <v>0</v>
      </c>
      <c r="US13" s="31">
        <v>2</v>
      </c>
      <c r="UT13" s="31">
        <v>2</v>
      </c>
      <c r="UU13" s="31">
        <v>4</v>
      </c>
      <c r="UV13" s="31">
        <v>0</v>
      </c>
      <c r="UW13" s="31">
        <v>4</v>
      </c>
      <c r="UX13" s="31">
        <v>0</v>
      </c>
      <c r="UY13" s="31">
        <v>6</v>
      </c>
      <c r="UZ13" s="31">
        <v>5</v>
      </c>
      <c r="VA13" s="31">
        <v>7</v>
      </c>
      <c r="VB13" s="31">
        <v>8</v>
      </c>
      <c r="VC13" s="31">
        <v>1</v>
      </c>
      <c r="VD13" s="31">
        <v>2</v>
      </c>
      <c r="VE13" s="31">
        <v>0</v>
      </c>
      <c r="VF13" s="31">
        <v>1</v>
      </c>
      <c r="VG13" s="31">
        <v>5</v>
      </c>
      <c r="VH13" s="31">
        <v>2</v>
      </c>
      <c r="VI13" s="31">
        <v>1</v>
      </c>
      <c r="VJ13" s="31">
        <v>0</v>
      </c>
      <c r="VK13" s="31">
        <v>1</v>
      </c>
      <c r="VL13" s="31">
        <v>0</v>
      </c>
      <c r="VM13" s="31">
        <v>4</v>
      </c>
      <c r="VN13" s="31">
        <v>0</v>
      </c>
      <c r="VO13" s="31">
        <v>0</v>
      </c>
      <c r="VP13" s="31">
        <v>3</v>
      </c>
      <c r="VQ13" s="31">
        <v>8</v>
      </c>
      <c r="VR13" s="31">
        <v>8</v>
      </c>
      <c r="VS13" s="31">
        <v>2</v>
      </c>
      <c r="VT13" s="31">
        <v>2</v>
      </c>
      <c r="VU13" s="31">
        <v>0</v>
      </c>
      <c r="VV13" s="31">
        <v>0</v>
      </c>
      <c r="VW13" s="31">
        <v>1</v>
      </c>
      <c r="VX13" s="31">
        <v>0</v>
      </c>
      <c r="VY13" s="31">
        <v>6</v>
      </c>
      <c r="VZ13" s="31">
        <v>1</v>
      </c>
      <c r="WA13" s="31">
        <v>1</v>
      </c>
      <c r="WB13" s="31">
        <v>6</v>
      </c>
      <c r="WC13" s="31">
        <v>0</v>
      </c>
      <c r="WD13" s="31">
        <v>0</v>
      </c>
      <c r="WE13" s="31">
        <v>2</v>
      </c>
      <c r="WF13" s="31">
        <v>4</v>
      </c>
      <c r="WG13" s="31">
        <v>8</v>
      </c>
      <c r="WH13" s="31">
        <v>1</v>
      </c>
      <c r="WI13" s="31">
        <v>0</v>
      </c>
      <c r="WJ13" s="31">
        <v>0</v>
      </c>
      <c r="WK13" s="31">
        <v>1</v>
      </c>
      <c r="WL13" s="31">
        <v>0</v>
      </c>
      <c r="WM13" s="31">
        <v>11</v>
      </c>
      <c r="WN13" s="31">
        <v>11</v>
      </c>
      <c r="WO13" s="31">
        <v>2</v>
      </c>
      <c r="WP13" s="31">
        <v>0</v>
      </c>
      <c r="WQ13" s="31">
        <v>0</v>
      </c>
      <c r="WR13" s="31">
        <v>0</v>
      </c>
      <c r="WS13" s="31">
        <v>1</v>
      </c>
      <c r="WT13" s="31">
        <v>0</v>
      </c>
      <c r="WU13" s="31">
        <v>1</v>
      </c>
      <c r="WV13" s="31">
        <v>0</v>
      </c>
      <c r="WW13" s="31">
        <v>2</v>
      </c>
      <c r="WX13" s="31">
        <v>1</v>
      </c>
      <c r="WY13" s="31">
        <v>11</v>
      </c>
      <c r="WZ13" s="31">
        <v>4</v>
      </c>
      <c r="XA13" s="31">
        <v>1</v>
      </c>
      <c r="XB13" s="31">
        <v>3</v>
      </c>
      <c r="XC13" s="31">
        <v>0</v>
      </c>
      <c r="XD13" s="31">
        <v>0</v>
      </c>
      <c r="XE13" s="31">
        <v>10</v>
      </c>
      <c r="XF13" s="31">
        <v>6</v>
      </c>
      <c r="XG13" s="31">
        <v>1</v>
      </c>
      <c r="XH13" s="31">
        <v>0</v>
      </c>
      <c r="XI13" s="31">
        <v>3</v>
      </c>
      <c r="XJ13" s="31">
        <v>2</v>
      </c>
      <c r="XK13" s="31">
        <v>4</v>
      </c>
      <c r="XL13" s="31">
        <v>0</v>
      </c>
      <c r="XM13" s="31">
        <v>1</v>
      </c>
      <c r="XN13" s="31">
        <v>0</v>
      </c>
      <c r="XO13" s="31">
        <v>0</v>
      </c>
      <c r="XP13" s="31">
        <v>0</v>
      </c>
      <c r="XQ13" s="31">
        <v>3</v>
      </c>
      <c r="XR13" s="31">
        <v>0</v>
      </c>
      <c r="XS13" s="31">
        <v>0</v>
      </c>
      <c r="XT13" s="31">
        <v>9</v>
      </c>
      <c r="XU13" s="31">
        <v>1</v>
      </c>
      <c r="XV13" s="31">
        <v>0</v>
      </c>
      <c r="XW13" s="31">
        <v>8</v>
      </c>
      <c r="XX13" s="31">
        <v>2</v>
      </c>
      <c r="XY13" s="31">
        <v>0</v>
      </c>
      <c r="XZ13" s="31">
        <v>2</v>
      </c>
      <c r="YA13" s="31">
        <v>1</v>
      </c>
      <c r="YB13" s="31">
        <v>0</v>
      </c>
      <c r="YC13" s="31">
        <v>0</v>
      </c>
      <c r="YD13" s="31">
        <v>0</v>
      </c>
      <c r="YE13" s="31">
        <v>0</v>
      </c>
      <c r="YF13" s="31">
        <v>9</v>
      </c>
      <c r="YG13" s="31">
        <v>1</v>
      </c>
      <c r="YH13" s="31">
        <v>8</v>
      </c>
      <c r="YI13" s="31">
        <v>1</v>
      </c>
      <c r="YJ13" s="31">
        <v>1</v>
      </c>
      <c r="YK13" s="31">
        <v>5</v>
      </c>
      <c r="YL13" s="31">
        <v>10</v>
      </c>
      <c r="YM13" s="31">
        <v>8</v>
      </c>
      <c r="YN13" s="31">
        <v>2</v>
      </c>
      <c r="YO13" s="31">
        <v>1</v>
      </c>
      <c r="YP13" s="31">
        <v>0</v>
      </c>
      <c r="YQ13" s="31">
        <v>0</v>
      </c>
      <c r="YR13" s="31">
        <v>4</v>
      </c>
      <c r="YS13" s="31">
        <v>9</v>
      </c>
      <c r="YT13" s="31">
        <v>6</v>
      </c>
      <c r="YU13" s="31">
        <v>4</v>
      </c>
      <c r="YV13" s="31">
        <v>3</v>
      </c>
      <c r="YW13" s="31">
        <v>8</v>
      </c>
      <c r="YX13" s="31">
        <v>2</v>
      </c>
      <c r="YY13" s="31">
        <v>4</v>
      </c>
      <c r="YZ13" s="31">
        <v>11</v>
      </c>
      <c r="ZA13" s="31">
        <v>0</v>
      </c>
      <c r="ZB13" s="31">
        <v>1</v>
      </c>
      <c r="ZC13" s="31">
        <v>10</v>
      </c>
      <c r="ZD13" s="31">
        <v>10</v>
      </c>
      <c r="ZE13" s="31">
        <v>5</v>
      </c>
      <c r="ZF13" s="31">
        <v>1</v>
      </c>
      <c r="ZG13" s="31">
        <v>1</v>
      </c>
      <c r="ZH13" s="31">
        <v>11</v>
      </c>
      <c r="ZI13" s="31">
        <v>8</v>
      </c>
      <c r="ZJ13" s="31">
        <v>3</v>
      </c>
      <c r="ZK13" s="31">
        <v>10</v>
      </c>
      <c r="ZL13" s="31">
        <v>8</v>
      </c>
      <c r="ZM13" s="31">
        <v>8</v>
      </c>
      <c r="ZN13" s="31">
        <v>0</v>
      </c>
      <c r="ZO13" s="31">
        <v>7</v>
      </c>
      <c r="ZP13" s="31">
        <v>10</v>
      </c>
      <c r="ZQ13" s="31">
        <v>10</v>
      </c>
      <c r="ZR13" s="31">
        <v>7</v>
      </c>
      <c r="ZS13" s="31">
        <v>7</v>
      </c>
      <c r="ZT13" s="31">
        <v>2</v>
      </c>
      <c r="ZU13" s="31">
        <v>1</v>
      </c>
      <c r="ZV13" s="31">
        <v>0</v>
      </c>
      <c r="ZW13" s="31">
        <v>2</v>
      </c>
      <c r="ZX13" s="31">
        <v>2</v>
      </c>
      <c r="ZY13" s="31">
        <v>2</v>
      </c>
      <c r="ZZ13" s="31">
        <v>7</v>
      </c>
      <c r="AAA13" s="31">
        <v>1</v>
      </c>
      <c r="AAB13" s="31">
        <v>10</v>
      </c>
      <c r="AAC13" s="31">
        <v>4</v>
      </c>
      <c r="AAD13" s="31">
        <v>0</v>
      </c>
      <c r="AAE13" s="31">
        <v>3</v>
      </c>
      <c r="AAF13" s="31">
        <v>10</v>
      </c>
      <c r="AAG13" s="31">
        <v>1</v>
      </c>
      <c r="AAH13" s="31">
        <v>12</v>
      </c>
      <c r="AAI13" s="31">
        <v>9</v>
      </c>
      <c r="AAJ13" s="31">
        <v>8</v>
      </c>
      <c r="AAK13" s="31">
        <v>6</v>
      </c>
      <c r="AAL13" s="31">
        <v>1</v>
      </c>
      <c r="AAM13" s="31">
        <v>1</v>
      </c>
      <c r="AAN13" s="31">
        <v>5</v>
      </c>
      <c r="AAO13" s="31">
        <v>7</v>
      </c>
      <c r="AAP13" s="31">
        <v>8</v>
      </c>
      <c r="AAQ13" s="31">
        <v>11</v>
      </c>
      <c r="AAR13" s="31">
        <v>3</v>
      </c>
      <c r="AAS13" s="31">
        <v>0</v>
      </c>
      <c r="AAT13" s="31">
        <v>6</v>
      </c>
      <c r="AAU13" s="31">
        <v>4</v>
      </c>
      <c r="AAV13" s="31">
        <v>0</v>
      </c>
      <c r="AAW13" s="31">
        <v>7</v>
      </c>
      <c r="AAX13" s="31">
        <v>0</v>
      </c>
      <c r="AAY13" s="31">
        <v>12</v>
      </c>
      <c r="AAZ13" s="31">
        <v>1</v>
      </c>
      <c r="ABA13" s="31">
        <v>3</v>
      </c>
      <c r="ABB13" s="31">
        <v>6</v>
      </c>
      <c r="ABC13" s="31">
        <v>3</v>
      </c>
      <c r="ABD13" s="31">
        <v>0</v>
      </c>
      <c r="ABE13" s="31">
        <v>2</v>
      </c>
      <c r="ABF13" s="31">
        <v>1</v>
      </c>
      <c r="ABG13" s="31">
        <v>2</v>
      </c>
      <c r="ABH13" s="31">
        <v>7</v>
      </c>
      <c r="ABI13" s="31">
        <v>3</v>
      </c>
      <c r="ABJ13" s="31">
        <v>9</v>
      </c>
      <c r="ABK13" s="31">
        <v>0</v>
      </c>
      <c r="ABL13" s="31">
        <v>2</v>
      </c>
      <c r="ABM13" s="31">
        <v>4</v>
      </c>
      <c r="ABN13" s="31">
        <v>4</v>
      </c>
      <c r="ABO13" s="31">
        <v>0</v>
      </c>
      <c r="ABP13" s="31">
        <v>3</v>
      </c>
      <c r="ABQ13" s="31">
        <v>5</v>
      </c>
      <c r="ABR13" s="31">
        <v>13</v>
      </c>
      <c r="ABS13" s="31">
        <v>6</v>
      </c>
      <c r="ABT13" s="31">
        <v>0</v>
      </c>
      <c r="ABU13" s="31">
        <v>0</v>
      </c>
      <c r="ABV13" s="31">
        <v>2</v>
      </c>
      <c r="ABW13" s="31">
        <v>1</v>
      </c>
      <c r="ABX13" s="31">
        <v>12</v>
      </c>
      <c r="ABY13" s="31">
        <v>4</v>
      </c>
      <c r="ABZ13" s="31">
        <v>1</v>
      </c>
      <c r="ACA13" s="31">
        <v>3</v>
      </c>
      <c r="ACB13" s="31">
        <v>3</v>
      </c>
      <c r="ACC13" s="31">
        <v>4</v>
      </c>
      <c r="ACD13" s="31">
        <v>4</v>
      </c>
      <c r="ACE13" s="31">
        <v>9</v>
      </c>
      <c r="ACF13" s="31">
        <v>8</v>
      </c>
      <c r="ACG13" s="31">
        <v>5</v>
      </c>
      <c r="ACH13" s="31">
        <v>7</v>
      </c>
      <c r="ACI13" s="31">
        <v>13</v>
      </c>
      <c r="ACJ13" s="31">
        <v>6</v>
      </c>
      <c r="ACK13" s="31">
        <v>1</v>
      </c>
      <c r="ACL13" s="31">
        <v>0</v>
      </c>
      <c r="ACM13" s="31">
        <v>0</v>
      </c>
      <c r="ACN13" s="31">
        <v>0</v>
      </c>
      <c r="ACO13" s="31">
        <v>4</v>
      </c>
      <c r="ACP13" s="31">
        <v>0</v>
      </c>
      <c r="ACQ13" s="31">
        <v>5</v>
      </c>
      <c r="ACR13" s="31">
        <v>0</v>
      </c>
      <c r="ACS13" s="31">
        <v>0</v>
      </c>
      <c r="ACT13" s="31">
        <v>0</v>
      </c>
      <c r="ACU13" s="31">
        <v>0</v>
      </c>
      <c r="ACV13" s="31">
        <v>2</v>
      </c>
      <c r="ACW13" s="31">
        <v>0</v>
      </c>
      <c r="ACX13" s="31">
        <v>0</v>
      </c>
      <c r="ACY13" s="31">
        <v>7</v>
      </c>
      <c r="ACZ13" s="31">
        <v>0</v>
      </c>
      <c r="ADA13" s="31">
        <v>0</v>
      </c>
      <c r="ADB13" s="31">
        <v>0</v>
      </c>
      <c r="ADC13" s="31">
        <v>0</v>
      </c>
      <c r="ADD13" s="31">
        <v>0</v>
      </c>
      <c r="ADE13" s="31">
        <v>0</v>
      </c>
      <c r="ADF13" s="31">
        <v>0</v>
      </c>
      <c r="ADG13" s="31">
        <v>0</v>
      </c>
      <c r="ADH13" s="31">
        <v>0</v>
      </c>
      <c r="ADI13" s="31">
        <v>0</v>
      </c>
      <c r="ADJ13" s="31">
        <v>0</v>
      </c>
      <c r="ADK13" s="31">
        <v>5</v>
      </c>
      <c r="ADL13" s="31">
        <v>4</v>
      </c>
      <c r="ADM13" s="31">
        <v>3</v>
      </c>
      <c r="ADN13" s="31">
        <v>8</v>
      </c>
      <c r="ADO13" s="31">
        <v>0</v>
      </c>
      <c r="ADP13" s="31">
        <v>9</v>
      </c>
      <c r="ADQ13" s="31">
        <v>1</v>
      </c>
      <c r="ADR13" s="31">
        <v>5</v>
      </c>
      <c r="ADS13" s="31">
        <v>11</v>
      </c>
      <c r="ADT13" s="31">
        <v>4</v>
      </c>
      <c r="ADU13" s="31">
        <v>7</v>
      </c>
      <c r="ADV13" s="31">
        <v>1</v>
      </c>
      <c r="ADW13" s="31">
        <v>0</v>
      </c>
      <c r="ADX13" s="31">
        <v>0</v>
      </c>
      <c r="ADY13" s="31">
        <v>0</v>
      </c>
      <c r="ADZ13" s="31">
        <v>0</v>
      </c>
      <c r="AEA13" s="31">
        <v>0</v>
      </c>
      <c r="AEB13" s="31">
        <v>0</v>
      </c>
      <c r="AEC13" s="31">
        <v>0</v>
      </c>
      <c r="AED13" s="31">
        <v>0</v>
      </c>
      <c r="AEE13" s="31">
        <v>0</v>
      </c>
      <c r="AEF13" s="31">
        <v>0</v>
      </c>
      <c r="AEG13" s="31">
        <v>0</v>
      </c>
      <c r="AEH13" s="31">
        <v>0</v>
      </c>
      <c r="AEI13" s="31">
        <v>0</v>
      </c>
      <c r="AEJ13" s="31">
        <v>0</v>
      </c>
      <c r="AEK13" s="31">
        <v>1</v>
      </c>
      <c r="AEL13" s="31">
        <v>0</v>
      </c>
      <c r="AEM13" s="31">
        <v>0</v>
      </c>
      <c r="AEN13" s="31">
        <v>0</v>
      </c>
      <c r="AEO13" s="31">
        <v>0</v>
      </c>
      <c r="AEP13" s="31">
        <v>0</v>
      </c>
      <c r="AEQ13" s="31">
        <v>0</v>
      </c>
      <c r="AER13" s="31">
        <v>2</v>
      </c>
      <c r="AES13" s="31">
        <v>0</v>
      </c>
      <c r="AET13" s="31">
        <v>0</v>
      </c>
      <c r="AEU13" s="31">
        <v>0</v>
      </c>
      <c r="AEV13" s="31">
        <v>0</v>
      </c>
      <c r="AEW13" s="31">
        <v>0</v>
      </c>
      <c r="AEX13" s="31">
        <v>0</v>
      </c>
      <c r="AEY13" s="31">
        <v>0</v>
      </c>
      <c r="AEZ13" s="31">
        <v>0</v>
      </c>
      <c r="AFA13" s="31">
        <v>2</v>
      </c>
      <c r="AFB13" s="31">
        <v>11</v>
      </c>
      <c r="AFC13" s="31">
        <v>0</v>
      </c>
      <c r="AFD13" s="31">
        <v>0</v>
      </c>
      <c r="AFE13" s="31">
        <v>0</v>
      </c>
      <c r="AFF13" s="31">
        <v>0</v>
      </c>
      <c r="AFG13" s="31">
        <v>0</v>
      </c>
      <c r="AFH13" s="31">
        <v>0</v>
      </c>
      <c r="AFI13" s="31">
        <v>0</v>
      </c>
      <c r="AFJ13" s="31">
        <v>0</v>
      </c>
      <c r="AFK13" s="31">
        <v>0</v>
      </c>
      <c r="AFL13" s="31">
        <v>0</v>
      </c>
      <c r="AFM13" s="31">
        <v>0</v>
      </c>
      <c r="AFN13" s="31">
        <v>1</v>
      </c>
      <c r="AFO13" s="31">
        <v>0</v>
      </c>
      <c r="AFP13" s="31">
        <v>10</v>
      </c>
      <c r="AFQ13" s="31">
        <v>0</v>
      </c>
      <c r="AFR13" s="31">
        <v>1</v>
      </c>
      <c r="AFS13" s="31">
        <v>0</v>
      </c>
      <c r="AFT13" s="31">
        <v>0</v>
      </c>
      <c r="AFU13" s="31">
        <v>0</v>
      </c>
      <c r="AFV13" s="31">
        <v>0</v>
      </c>
      <c r="AFW13" s="31">
        <v>0</v>
      </c>
      <c r="AFX13" s="31">
        <v>0</v>
      </c>
      <c r="AFY13" s="31">
        <v>0</v>
      </c>
      <c r="AFZ13" s="31">
        <v>0</v>
      </c>
      <c r="AGA13" s="31">
        <v>0</v>
      </c>
      <c r="AGB13" s="31">
        <v>0</v>
      </c>
      <c r="AGC13" s="31">
        <v>0</v>
      </c>
      <c r="AGD13" s="31">
        <v>0</v>
      </c>
      <c r="AGE13" s="31">
        <v>0</v>
      </c>
      <c r="AGF13" s="31">
        <v>0</v>
      </c>
      <c r="AGG13" s="31">
        <v>0</v>
      </c>
      <c r="AGH13" s="31">
        <v>0</v>
      </c>
      <c r="AGI13" s="31">
        <v>2</v>
      </c>
      <c r="AGJ13" s="31">
        <v>6</v>
      </c>
      <c r="AGK13" s="31">
        <v>0</v>
      </c>
      <c r="AGL13" s="31">
        <v>6</v>
      </c>
      <c r="AGM13" s="31">
        <v>4</v>
      </c>
      <c r="AGN13" s="31">
        <v>2</v>
      </c>
      <c r="AGO13" s="31">
        <v>2</v>
      </c>
      <c r="AGP13" s="31">
        <v>0</v>
      </c>
      <c r="AGQ13" s="31">
        <v>12</v>
      </c>
      <c r="AGR13" s="31">
        <v>0</v>
      </c>
      <c r="AGS13" s="31">
        <v>0</v>
      </c>
      <c r="AGT13" s="31">
        <v>3</v>
      </c>
      <c r="AGU13" s="31">
        <v>2</v>
      </c>
      <c r="AGV13" s="31">
        <v>0</v>
      </c>
      <c r="AGW13" s="31">
        <v>0</v>
      </c>
      <c r="AGX13" s="31">
        <v>0</v>
      </c>
      <c r="AGY13" s="31">
        <v>0</v>
      </c>
      <c r="AGZ13" s="31">
        <v>0</v>
      </c>
      <c r="AHA13" s="31">
        <v>0</v>
      </c>
      <c r="AHB13" s="31">
        <v>0</v>
      </c>
      <c r="AHC13" s="31">
        <v>0</v>
      </c>
      <c r="AHD13" s="31">
        <v>0</v>
      </c>
      <c r="AHE13" s="31">
        <v>0</v>
      </c>
      <c r="AHF13" s="31">
        <v>0</v>
      </c>
      <c r="AHG13" s="31">
        <v>0</v>
      </c>
      <c r="AHH13" s="31">
        <v>0</v>
      </c>
      <c r="AHI13" s="31">
        <v>0</v>
      </c>
      <c r="AHJ13" s="31">
        <v>4</v>
      </c>
      <c r="AHK13" s="31">
        <v>0</v>
      </c>
      <c r="AHL13" s="31">
        <v>9</v>
      </c>
      <c r="AHM13" s="31">
        <v>0</v>
      </c>
      <c r="AHN13" s="31">
        <v>0</v>
      </c>
      <c r="AHO13" s="31">
        <v>0</v>
      </c>
      <c r="AHP13" s="31">
        <v>1</v>
      </c>
      <c r="AHQ13" s="31">
        <v>1</v>
      </c>
      <c r="AHR13" s="31">
        <v>0</v>
      </c>
      <c r="AHS13" s="31">
        <v>1</v>
      </c>
      <c r="AHT13" s="31">
        <v>0</v>
      </c>
      <c r="AHU13" s="31">
        <v>0</v>
      </c>
      <c r="AHV13" s="31">
        <v>6</v>
      </c>
      <c r="AHW13" s="31">
        <v>0</v>
      </c>
      <c r="AHX13" s="31">
        <v>0</v>
      </c>
      <c r="AHY13" s="31">
        <v>3</v>
      </c>
      <c r="AHZ13" s="31">
        <v>0</v>
      </c>
      <c r="AIA13" s="31">
        <v>0</v>
      </c>
      <c r="AIB13" s="31">
        <v>0</v>
      </c>
      <c r="AIC13" s="31">
        <v>0</v>
      </c>
      <c r="AID13" s="31">
        <v>0</v>
      </c>
      <c r="AIE13" s="31">
        <v>1</v>
      </c>
      <c r="AIF13" s="31">
        <v>0</v>
      </c>
      <c r="AIG13" s="31">
        <v>2</v>
      </c>
      <c r="AIH13" s="31">
        <v>1</v>
      </c>
      <c r="AII13" s="31">
        <v>0</v>
      </c>
      <c r="AIJ13" s="31">
        <v>0</v>
      </c>
      <c r="AIK13" s="31">
        <v>1</v>
      </c>
      <c r="AIL13" s="31">
        <v>11</v>
      </c>
      <c r="AIM13" s="31">
        <v>1</v>
      </c>
      <c r="AIN13" s="31">
        <v>0</v>
      </c>
      <c r="AIO13" s="31">
        <v>1</v>
      </c>
      <c r="AIP13" s="31">
        <v>4</v>
      </c>
      <c r="AIQ13" s="31">
        <v>2</v>
      </c>
      <c r="AIR13" s="31">
        <v>0</v>
      </c>
      <c r="AIS13" s="31">
        <v>0</v>
      </c>
      <c r="AIT13" s="31">
        <v>0</v>
      </c>
      <c r="AIU13" s="31">
        <v>0</v>
      </c>
      <c r="AIV13" s="31">
        <v>0</v>
      </c>
      <c r="AIW13" s="31">
        <v>1</v>
      </c>
      <c r="AIX13" s="31">
        <v>4</v>
      </c>
      <c r="AIY13" s="31">
        <v>0</v>
      </c>
      <c r="AIZ13" s="31">
        <v>0</v>
      </c>
      <c r="AJA13" s="31">
        <v>0</v>
      </c>
      <c r="AJB13" s="31">
        <v>4</v>
      </c>
      <c r="AJC13" s="31">
        <v>1</v>
      </c>
      <c r="AJD13" s="31">
        <v>5</v>
      </c>
      <c r="AJE13" s="31">
        <v>0</v>
      </c>
      <c r="AJF13" s="31">
        <v>5</v>
      </c>
      <c r="AJG13" s="31">
        <v>0</v>
      </c>
      <c r="AJH13" s="31">
        <v>0</v>
      </c>
      <c r="AJI13" s="31">
        <v>2</v>
      </c>
      <c r="AJJ13" s="31">
        <v>0</v>
      </c>
      <c r="AJK13" s="31">
        <v>0</v>
      </c>
      <c r="AJL13" s="31">
        <v>1</v>
      </c>
      <c r="AJM13" s="31">
        <v>0</v>
      </c>
      <c r="AJN13" s="31">
        <v>0</v>
      </c>
      <c r="AJO13" s="31">
        <v>0</v>
      </c>
      <c r="AJP13" s="31">
        <v>0</v>
      </c>
      <c r="AJQ13" s="31">
        <v>0</v>
      </c>
      <c r="AJR13" s="31">
        <v>0</v>
      </c>
      <c r="AJS13" s="31">
        <v>1</v>
      </c>
      <c r="AJT13" s="31">
        <v>8</v>
      </c>
      <c r="AJU13" s="31">
        <v>5</v>
      </c>
      <c r="AJV13" s="31">
        <v>3</v>
      </c>
      <c r="AJW13" s="31">
        <v>0</v>
      </c>
      <c r="AJX13" s="31">
        <v>0</v>
      </c>
      <c r="AJY13" s="31">
        <v>1</v>
      </c>
      <c r="AJZ13" s="31">
        <v>0</v>
      </c>
      <c r="AKA13" s="31">
        <v>0</v>
      </c>
      <c r="AKB13" s="31">
        <v>2</v>
      </c>
      <c r="AKC13" s="31">
        <v>0</v>
      </c>
      <c r="AKD13" s="31">
        <v>0</v>
      </c>
      <c r="AKE13" s="31">
        <v>0</v>
      </c>
      <c r="AKF13" s="31">
        <v>0</v>
      </c>
      <c r="AKG13" s="31">
        <v>0</v>
      </c>
      <c r="AKH13" s="31">
        <v>0</v>
      </c>
      <c r="AKI13" s="31">
        <v>0</v>
      </c>
      <c r="AKJ13" s="31">
        <v>0</v>
      </c>
      <c r="AKK13" s="31">
        <v>0</v>
      </c>
      <c r="AKL13" s="31">
        <v>1</v>
      </c>
      <c r="AKM13" s="31">
        <v>0</v>
      </c>
      <c r="AKN13" s="31">
        <v>0</v>
      </c>
      <c r="AKO13" s="31">
        <v>0</v>
      </c>
      <c r="AKP13" s="31">
        <v>0</v>
      </c>
      <c r="AKQ13" s="31">
        <v>0</v>
      </c>
      <c r="AKR13" s="31">
        <v>0</v>
      </c>
      <c r="AKS13" s="31">
        <v>0</v>
      </c>
      <c r="AKT13" s="31">
        <v>0</v>
      </c>
      <c r="AKU13" s="31">
        <v>0</v>
      </c>
      <c r="AKV13" s="31">
        <v>0</v>
      </c>
      <c r="AKW13" s="31">
        <v>0</v>
      </c>
      <c r="AKX13" s="31">
        <v>0</v>
      </c>
      <c r="AKY13" s="31">
        <v>0</v>
      </c>
      <c r="AKZ13" s="31">
        <v>8</v>
      </c>
      <c r="ALA13" s="31">
        <v>0</v>
      </c>
      <c r="ALB13" s="31">
        <v>0</v>
      </c>
      <c r="ALC13" s="31">
        <v>0</v>
      </c>
      <c r="ALD13" s="31">
        <v>0</v>
      </c>
      <c r="ALE13" s="31">
        <v>0</v>
      </c>
      <c r="ALF13" s="31">
        <v>0</v>
      </c>
      <c r="ALG13" s="31">
        <v>0</v>
      </c>
      <c r="ALH13" s="31">
        <v>9</v>
      </c>
      <c r="ALI13" s="31">
        <v>5</v>
      </c>
      <c r="ALJ13" s="31">
        <v>0</v>
      </c>
      <c r="ALK13" s="31">
        <v>1</v>
      </c>
      <c r="ALL13" s="31">
        <v>1</v>
      </c>
      <c r="ALM13" s="31">
        <v>2</v>
      </c>
      <c r="ALN13" s="31">
        <v>6</v>
      </c>
      <c r="ALO13" s="31">
        <v>0</v>
      </c>
      <c r="ALP13" s="31">
        <v>0</v>
      </c>
      <c r="ALQ13" s="31">
        <v>0</v>
      </c>
      <c r="ALR13" s="31">
        <v>0</v>
      </c>
      <c r="ALS13" s="31">
        <v>0</v>
      </c>
      <c r="ALT13" s="31">
        <v>0</v>
      </c>
      <c r="ALU13" s="31">
        <v>0</v>
      </c>
      <c r="ALV13" s="31">
        <v>0</v>
      </c>
      <c r="ALW13" s="31">
        <v>5</v>
      </c>
      <c r="ALX13" s="31">
        <v>0</v>
      </c>
      <c r="ALY13" s="31">
        <v>12</v>
      </c>
      <c r="ALZ13" s="31">
        <v>9</v>
      </c>
      <c r="AMA13" s="31">
        <v>2</v>
      </c>
      <c r="AMB13" s="31">
        <v>1</v>
      </c>
      <c r="AMC13" s="31">
        <v>0</v>
      </c>
      <c r="AMD13" s="31">
        <v>0</v>
      </c>
      <c r="AME13" s="31">
        <v>0</v>
      </c>
      <c r="AMF13" s="31">
        <v>8</v>
      </c>
      <c r="AMG13" s="31">
        <v>0</v>
      </c>
      <c r="AMH13" s="31">
        <v>3</v>
      </c>
      <c r="AMI13" s="31">
        <v>2</v>
      </c>
      <c r="AMJ13" s="31">
        <v>3</v>
      </c>
      <c r="AMK13" s="31">
        <v>0</v>
      </c>
      <c r="AML13" s="31">
        <v>0</v>
      </c>
      <c r="AMM13" s="31">
        <v>0</v>
      </c>
      <c r="AMN13" s="31">
        <v>9</v>
      </c>
      <c r="AMO13" s="31">
        <v>1</v>
      </c>
      <c r="AMP13" s="31">
        <v>0</v>
      </c>
      <c r="AMQ13" s="31">
        <v>0</v>
      </c>
      <c r="AMR13" s="31">
        <v>0</v>
      </c>
      <c r="AMS13" s="31">
        <v>3</v>
      </c>
      <c r="AMT13" s="31">
        <v>0</v>
      </c>
      <c r="AMU13" s="31">
        <v>0</v>
      </c>
      <c r="AMV13" s="31">
        <v>1</v>
      </c>
      <c r="AMW13" s="31">
        <v>1</v>
      </c>
      <c r="AMX13" s="31">
        <v>0</v>
      </c>
      <c r="AMY13" s="31">
        <v>0</v>
      </c>
      <c r="AMZ13" s="31">
        <v>2</v>
      </c>
      <c r="ANA13" s="31">
        <v>0</v>
      </c>
      <c r="ANB13" s="31">
        <v>0</v>
      </c>
      <c r="ANC13" s="31">
        <v>0</v>
      </c>
      <c r="AND13" s="31">
        <v>0</v>
      </c>
      <c r="ANE13" s="31">
        <v>1</v>
      </c>
      <c r="ANF13" s="31">
        <v>0</v>
      </c>
      <c r="ANG13" s="31">
        <v>0</v>
      </c>
      <c r="ANH13" s="31">
        <v>1</v>
      </c>
      <c r="ANI13" s="31">
        <v>0</v>
      </c>
      <c r="ANJ13" s="31">
        <v>1</v>
      </c>
      <c r="ANK13" s="31">
        <v>0</v>
      </c>
      <c r="ANL13" s="31">
        <v>0</v>
      </c>
      <c r="ANM13" s="31">
        <v>2</v>
      </c>
      <c r="ANN13" s="31">
        <v>0</v>
      </c>
      <c r="ANO13" s="31">
        <v>0</v>
      </c>
      <c r="ANP13" s="31">
        <v>1</v>
      </c>
      <c r="ANQ13" s="31">
        <v>0</v>
      </c>
      <c r="ANR13" s="31">
        <v>0</v>
      </c>
      <c r="ANS13" s="31">
        <v>0</v>
      </c>
      <c r="ANT13" s="31">
        <v>2</v>
      </c>
      <c r="ANU13" s="31">
        <v>0</v>
      </c>
      <c r="ANV13" s="31">
        <v>5</v>
      </c>
      <c r="ANW13" s="31">
        <v>5</v>
      </c>
      <c r="ANX13" s="31">
        <v>0</v>
      </c>
      <c r="ANY13" s="31">
        <v>10</v>
      </c>
      <c r="ANZ13" s="31">
        <v>3</v>
      </c>
      <c r="AOA13" s="31">
        <v>8</v>
      </c>
      <c r="AOB13" s="31">
        <v>5</v>
      </c>
      <c r="AOC13" s="31">
        <v>12</v>
      </c>
      <c r="AOD13" s="31">
        <v>8</v>
      </c>
      <c r="AOE13" s="31">
        <v>5</v>
      </c>
      <c r="AOF13" s="31">
        <v>9</v>
      </c>
      <c r="AOG13" s="31">
        <v>7</v>
      </c>
      <c r="AOH13" s="31">
        <v>5</v>
      </c>
      <c r="AOI13" s="31">
        <v>0</v>
      </c>
      <c r="AOJ13" s="31">
        <v>3</v>
      </c>
    </row>
    <row r="14" spans="1:1076" ht="15" thickBot="1" x14ac:dyDescent="0.35">
      <c r="A14" s="48" t="s">
        <v>13</v>
      </c>
      <c r="B14" s="44">
        <v>1</v>
      </c>
      <c r="C14" s="31">
        <v>0</v>
      </c>
      <c r="D14" s="31">
        <v>0</v>
      </c>
      <c r="E14" s="31">
        <v>0</v>
      </c>
      <c r="F14" s="31">
        <v>0</v>
      </c>
      <c r="G14" s="31">
        <v>0</v>
      </c>
      <c r="H14" s="31">
        <v>6</v>
      </c>
      <c r="I14" s="31">
        <v>0</v>
      </c>
      <c r="J14" s="31">
        <v>0</v>
      </c>
      <c r="K14" s="31">
        <v>0</v>
      </c>
      <c r="L14" s="31">
        <v>0</v>
      </c>
      <c r="M14" s="31">
        <v>4</v>
      </c>
      <c r="N14" s="31">
        <v>0</v>
      </c>
      <c r="O14" s="31">
        <v>0</v>
      </c>
      <c r="P14" s="31">
        <v>0</v>
      </c>
      <c r="Q14" s="31">
        <v>0</v>
      </c>
      <c r="R14" s="31">
        <v>0</v>
      </c>
      <c r="S14" s="31">
        <v>0</v>
      </c>
      <c r="T14" s="31">
        <v>0</v>
      </c>
      <c r="U14" s="31">
        <v>0</v>
      </c>
      <c r="V14" s="31">
        <v>0</v>
      </c>
      <c r="W14" s="31">
        <v>0</v>
      </c>
      <c r="X14" s="31">
        <v>0</v>
      </c>
      <c r="Y14" s="31">
        <v>0</v>
      </c>
      <c r="Z14" s="31">
        <v>0</v>
      </c>
      <c r="AA14" s="31">
        <v>0</v>
      </c>
      <c r="AB14" s="31">
        <v>0</v>
      </c>
      <c r="AC14" s="31">
        <v>0</v>
      </c>
      <c r="AD14" s="31">
        <v>0</v>
      </c>
      <c r="AE14" s="31">
        <v>0</v>
      </c>
      <c r="AF14" s="31">
        <v>0</v>
      </c>
      <c r="AG14" s="31">
        <v>0</v>
      </c>
      <c r="AH14" s="31">
        <v>0</v>
      </c>
      <c r="AI14" s="31">
        <v>0</v>
      </c>
      <c r="AJ14" s="31">
        <v>0</v>
      </c>
      <c r="AK14" s="31">
        <v>1</v>
      </c>
      <c r="AL14" s="31">
        <v>0</v>
      </c>
      <c r="AM14" s="31">
        <v>0</v>
      </c>
      <c r="AN14" s="31">
        <v>0</v>
      </c>
      <c r="AO14" s="31">
        <v>0</v>
      </c>
      <c r="AP14" s="31">
        <v>0</v>
      </c>
      <c r="AQ14" s="31">
        <v>0</v>
      </c>
      <c r="AR14" s="31">
        <v>0</v>
      </c>
      <c r="AS14" s="31">
        <v>0</v>
      </c>
      <c r="AT14" s="31">
        <v>0</v>
      </c>
      <c r="AU14" s="31">
        <v>0</v>
      </c>
      <c r="AV14" s="31">
        <v>0</v>
      </c>
      <c r="AW14" s="31">
        <v>0</v>
      </c>
      <c r="AX14" s="31">
        <v>0</v>
      </c>
      <c r="AY14" s="31">
        <v>0</v>
      </c>
      <c r="AZ14" s="31">
        <v>0</v>
      </c>
      <c r="BA14" s="31">
        <v>0</v>
      </c>
      <c r="BB14" s="31">
        <v>0</v>
      </c>
      <c r="BC14" s="31">
        <v>0</v>
      </c>
      <c r="BD14" s="31">
        <v>0</v>
      </c>
      <c r="BE14" s="31">
        <v>0</v>
      </c>
      <c r="BF14" s="31">
        <v>0</v>
      </c>
      <c r="BG14" s="31">
        <v>0</v>
      </c>
      <c r="BH14" s="31">
        <v>0</v>
      </c>
      <c r="BI14" s="31">
        <v>0</v>
      </c>
      <c r="BJ14" s="31">
        <v>0</v>
      </c>
      <c r="BK14" s="31">
        <v>0</v>
      </c>
      <c r="BL14" s="31">
        <v>0</v>
      </c>
      <c r="BM14" s="31">
        <v>1</v>
      </c>
      <c r="BN14" s="31">
        <v>1</v>
      </c>
      <c r="BO14" s="31">
        <v>0</v>
      </c>
      <c r="BP14" s="31">
        <v>0</v>
      </c>
      <c r="BQ14" s="31">
        <v>0</v>
      </c>
      <c r="BR14" s="31">
        <v>0</v>
      </c>
      <c r="BS14" s="31">
        <v>0</v>
      </c>
      <c r="BT14" s="31">
        <v>0</v>
      </c>
      <c r="BU14" s="31">
        <v>0</v>
      </c>
      <c r="BV14" s="31">
        <v>0</v>
      </c>
      <c r="BW14" s="31">
        <v>0</v>
      </c>
      <c r="BX14" s="31">
        <v>3</v>
      </c>
      <c r="BY14" s="31">
        <v>4</v>
      </c>
      <c r="BZ14" s="31">
        <v>11</v>
      </c>
      <c r="CA14" s="31">
        <v>2</v>
      </c>
      <c r="CB14" s="31">
        <v>0</v>
      </c>
      <c r="CC14" s="31">
        <v>0</v>
      </c>
      <c r="CD14" s="31">
        <v>0</v>
      </c>
      <c r="CE14" s="31">
        <v>0</v>
      </c>
      <c r="CF14" s="31">
        <v>4</v>
      </c>
      <c r="CG14" s="31">
        <v>0</v>
      </c>
      <c r="CH14" s="31">
        <v>0</v>
      </c>
      <c r="CI14" s="31">
        <v>0</v>
      </c>
      <c r="CJ14" s="31">
        <v>0</v>
      </c>
      <c r="CK14" s="31">
        <v>0</v>
      </c>
      <c r="CL14" s="31">
        <v>0</v>
      </c>
      <c r="CM14" s="31">
        <v>0</v>
      </c>
      <c r="CN14" s="31">
        <v>0</v>
      </c>
      <c r="CO14" s="31">
        <v>0</v>
      </c>
      <c r="CP14" s="31">
        <v>0</v>
      </c>
      <c r="CQ14" s="31">
        <v>0</v>
      </c>
      <c r="CR14" s="31">
        <v>0</v>
      </c>
      <c r="CS14" s="31">
        <v>0</v>
      </c>
      <c r="CT14" s="31">
        <v>0</v>
      </c>
      <c r="CU14" s="31">
        <v>0</v>
      </c>
      <c r="CV14" s="31">
        <v>0</v>
      </c>
      <c r="CW14" s="31">
        <v>0</v>
      </c>
      <c r="CX14" s="31">
        <v>0</v>
      </c>
      <c r="CY14" s="31">
        <v>0</v>
      </c>
      <c r="CZ14" s="31">
        <v>0</v>
      </c>
      <c r="DA14" s="31">
        <v>0</v>
      </c>
      <c r="DB14" s="31">
        <v>0</v>
      </c>
      <c r="DC14" s="31">
        <v>0</v>
      </c>
      <c r="DD14" s="31">
        <v>0</v>
      </c>
      <c r="DE14" s="31">
        <v>0</v>
      </c>
      <c r="DF14" s="31">
        <v>8</v>
      </c>
      <c r="DG14" s="31">
        <v>0</v>
      </c>
      <c r="DH14" s="31">
        <v>0</v>
      </c>
      <c r="DI14" s="31">
        <v>1</v>
      </c>
      <c r="DJ14" s="31">
        <v>0</v>
      </c>
      <c r="DK14" s="31">
        <v>0</v>
      </c>
      <c r="DL14" s="31">
        <v>0</v>
      </c>
      <c r="DM14" s="31">
        <v>0</v>
      </c>
      <c r="DN14" s="31">
        <v>0</v>
      </c>
      <c r="DO14" s="31">
        <v>1</v>
      </c>
      <c r="DP14" s="31">
        <v>0</v>
      </c>
      <c r="DQ14" s="31">
        <v>0</v>
      </c>
      <c r="DR14" s="31">
        <v>0</v>
      </c>
      <c r="DS14" s="31">
        <v>0</v>
      </c>
      <c r="DT14" s="31">
        <v>0</v>
      </c>
      <c r="DU14" s="31">
        <v>0</v>
      </c>
      <c r="DV14" s="31">
        <v>0</v>
      </c>
      <c r="DW14" s="31">
        <v>0</v>
      </c>
      <c r="DX14" s="31">
        <v>0</v>
      </c>
      <c r="DY14" s="31">
        <v>0</v>
      </c>
      <c r="DZ14" s="31">
        <v>2</v>
      </c>
      <c r="EA14" s="31">
        <v>0</v>
      </c>
      <c r="EB14" s="31">
        <v>2</v>
      </c>
      <c r="EC14" s="31">
        <v>0</v>
      </c>
      <c r="ED14" s="31">
        <v>0</v>
      </c>
      <c r="EE14" s="31">
        <v>0</v>
      </c>
      <c r="EF14" s="31">
        <v>0</v>
      </c>
      <c r="EG14" s="31">
        <v>0</v>
      </c>
      <c r="EH14" s="31">
        <v>0</v>
      </c>
      <c r="EI14" s="31">
        <v>1</v>
      </c>
      <c r="EJ14" s="31">
        <v>0</v>
      </c>
      <c r="EK14" s="31">
        <v>7</v>
      </c>
      <c r="EL14" s="31">
        <v>1</v>
      </c>
      <c r="EM14" s="31">
        <v>0</v>
      </c>
      <c r="EN14" s="31">
        <v>4</v>
      </c>
      <c r="EO14" s="31">
        <v>0</v>
      </c>
      <c r="EP14" s="31">
        <v>0</v>
      </c>
      <c r="EQ14" s="31">
        <v>0</v>
      </c>
      <c r="ER14" s="31">
        <v>0</v>
      </c>
      <c r="ES14" s="31">
        <v>0</v>
      </c>
      <c r="ET14" s="31">
        <v>0</v>
      </c>
      <c r="EU14" s="31">
        <v>1</v>
      </c>
      <c r="EV14" s="31">
        <v>1</v>
      </c>
      <c r="EW14" s="31">
        <v>2</v>
      </c>
      <c r="EX14" s="31">
        <v>5</v>
      </c>
      <c r="EY14" s="31">
        <v>5</v>
      </c>
      <c r="EZ14" s="31">
        <v>0</v>
      </c>
      <c r="FA14" s="31">
        <v>7</v>
      </c>
      <c r="FB14" s="31">
        <v>1</v>
      </c>
      <c r="FC14" s="31">
        <v>7</v>
      </c>
      <c r="FD14" s="31">
        <v>0</v>
      </c>
      <c r="FE14" s="31">
        <v>2</v>
      </c>
      <c r="FF14" s="31">
        <v>1</v>
      </c>
      <c r="FG14" s="31">
        <v>1</v>
      </c>
      <c r="FH14" s="31">
        <v>0</v>
      </c>
      <c r="FI14" s="31">
        <v>0</v>
      </c>
      <c r="FJ14" s="31">
        <v>0</v>
      </c>
      <c r="FK14" s="31">
        <v>0</v>
      </c>
      <c r="FL14" s="31">
        <v>1</v>
      </c>
      <c r="FM14" s="31">
        <v>2</v>
      </c>
      <c r="FN14" s="31">
        <v>4</v>
      </c>
      <c r="FO14" s="31">
        <v>0</v>
      </c>
      <c r="FP14" s="31">
        <v>0</v>
      </c>
      <c r="FQ14" s="31">
        <v>0</v>
      </c>
      <c r="FR14" s="31">
        <v>0</v>
      </c>
      <c r="FS14" s="31">
        <v>0</v>
      </c>
      <c r="FT14" s="31">
        <v>0</v>
      </c>
      <c r="FU14" s="31">
        <v>0</v>
      </c>
      <c r="FV14" s="31">
        <v>0</v>
      </c>
      <c r="FW14" s="31">
        <v>0</v>
      </c>
      <c r="FX14" s="31">
        <v>0</v>
      </c>
      <c r="FY14" s="31">
        <v>8</v>
      </c>
      <c r="FZ14" s="31">
        <v>0</v>
      </c>
      <c r="GA14" s="31">
        <v>0</v>
      </c>
      <c r="GB14" s="31">
        <v>0</v>
      </c>
      <c r="GC14" s="31">
        <v>0</v>
      </c>
      <c r="GD14" s="31">
        <v>0</v>
      </c>
      <c r="GE14" s="31">
        <v>0</v>
      </c>
      <c r="GF14" s="31">
        <v>0</v>
      </c>
      <c r="GG14" s="31">
        <v>0</v>
      </c>
      <c r="GH14" s="31">
        <v>0</v>
      </c>
      <c r="GI14" s="31">
        <v>0</v>
      </c>
      <c r="GJ14" s="31">
        <v>0</v>
      </c>
      <c r="GK14" s="31">
        <v>0</v>
      </c>
      <c r="GL14" s="31">
        <v>0</v>
      </c>
      <c r="GM14" s="31">
        <v>0</v>
      </c>
      <c r="GN14" s="31">
        <v>0</v>
      </c>
      <c r="GO14" s="31">
        <v>0</v>
      </c>
      <c r="GP14" s="31">
        <v>0</v>
      </c>
      <c r="GQ14" s="31">
        <v>0</v>
      </c>
      <c r="GR14" s="31">
        <v>0</v>
      </c>
      <c r="GS14" s="31">
        <v>1</v>
      </c>
      <c r="GT14" s="31">
        <v>0</v>
      </c>
      <c r="GU14" s="31">
        <v>0</v>
      </c>
      <c r="GV14" s="31">
        <v>0</v>
      </c>
      <c r="GW14" s="31">
        <v>0</v>
      </c>
      <c r="GX14" s="31">
        <v>0</v>
      </c>
      <c r="GY14" s="31">
        <v>5</v>
      </c>
      <c r="GZ14" s="31">
        <v>0</v>
      </c>
      <c r="HA14" s="31">
        <v>0</v>
      </c>
      <c r="HB14" s="31">
        <v>0</v>
      </c>
      <c r="HC14" s="31">
        <v>1</v>
      </c>
      <c r="HD14" s="31">
        <v>1</v>
      </c>
      <c r="HE14" s="31">
        <v>0</v>
      </c>
      <c r="HF14" s="31">
        <v>9</v>
      </c>
      <c r="HG14" s="31">
        <v>0</v>
      </c>
      <c r="HH14" s="31">
        <v>0</v>
      </c>
      <c r="HI14" s="31">
        <v>0</v>
      </c>
      <c r="HJ14" s="31">
        <v>0</v>
      </c>
      <c r="HK14" s="31">
        <v>0</v>
      </c>
      <c r="HL14" s="31">
        <v>1</v>
      </c>
      <c r="HM14" s="31">
        <v>1</v>
      </c>
      <c r="HN14" s="31">
        <v>1</v>
      </c>
      <c r="HO14" s="31">
        <v>0</v>
      </c>
      <c r="HP14" s="31">
        <v>0</v>
      </c>
      <c r="HQ14" s="31">
        <v>3</v>
      </c>
      <c r="HR14" s="31">
        <v>4</v>
      </c>
      <c r="HS14" s="31">
        <v>0</v>
      </c>
      <c r="HT14" s="31">
        <v>0</v>
      </c>
      <c r="HU14" s="31">
        <v>0</v>
      </c>
      <c r="HV14" s="31">
        <v>1</v>
      </c>
      <c r="HW14" s="31">
        <v>0</v>
      </c>
      <c r="HX14" s="31">
        <v>0</v>
      </c>
      <c r="HY14" s="31">
        <v>0</v>
      </c>
      <c r="HZ14" s="31">
        <v>0</v>
      </c>
      <c r="IA14" s="31">
        <v>3</v>
      </c>
      <c r="IB14" s="31">
        <v>0</v>
      </c>
      <c r="IC14" s="31">
        <v>0</v>
      </c>
      <c r="ID14" s="31">
        <v>11</v>
      </c>
      <c r="IE14" s="31">
        <v>0</v>
      </c>
      <c r="IF14" s="31">
        <v>0</v>
      </c>
      <c r="IG14" s="31">
        <v>1</v>
      </c>
      <c r="IH14" s="31">
        <v>0</v>
      </c>
      <c r="II14" s="31">
        <v>0</v>
      </c>
      <c r="IJ14" s="31">
        <v>0</v>
      </c>
      <c r="IK14" s="31">
        <v>0</v>
      </c>
      <c r="IL14" s="31">
        <v>0</v>
      </c>
      <c r="IM14" s="31">
        <v>1</v>
      </c>
      <c r="IN14" s="31">
        <v>0</v>
      </c>
      <c r="IO14" s="31">
        <v>0</v>
      </c>
      <c r="IP14" s="31">
        <v>0</v>
      </c>
      <c r="IQ14" s="31">
        <v>1</v>
      </c>
      <c r="IR14" s="31">
        <v>0</v>
      </c>
      <c r="IS14" s="31">
        <v>0</v>
      </c>
      <c r="IT14" s="31">
        <v>0</v>
      </c>
      <c r="IU14" s="31">
        <v>0</v>
      </c>
      <c r="IV14" s="31">
        <v>1</v>
      </c>
      <c r="IW14" s="31">
        <v>0</v>
      </c>
      <c r="IX14" s="31">
        <v>0</v>
      </c>
      <c r="IY14" s="31">
        <v>0</v>
      </c>
      <c r="IZ14" s="31">
        <v>2</v>
      </c>
      <c r="JA14" s="31">
        <v>0</v>
      </c>
      <c r="JB14" s="31">
        <v>3</v>
      </c>
      <c r="JC14" s="31">
        <v>0</v>
      </c>
      <c r="JD14" s="31">
        <v>0</v>
      </c>
      <c r="JE14" s="31">
        <v>0</v>
      </c>
      <c r="JF14" s="31">
        <v>0</v>
      </c>
      <c r="JG14" s="31">
        <v>0</v>
      </c>
      <c r="JH14" s="31">
        <v>0</v>
      </c>
      <c r="JI14" s="31">
        <v>0</v>
      </c>
      <c r="JJ14" s="31">
        <v>0</v>
      </c>
      <c r="JK14" s="31">
        <v>0</v>
      </c>
      <c r="JL14" s="31">
        <v>0</v>
      </c>
      <c r="JM14" s="31">
        <v>1</v>
      </c>
      <c r="JN14" s="31">
        <v>0</v>
      </c>
      <c r="JO14" s="31">
        <v>0</v>
      </c>
      <c r="JP14" s="31">
        <v>0</v>
      </c>
      <c r="JQ14" s="31">
        <v>0</v>
      </c>
      <c r="JR14" s="31">
        <v>0</v>
      </c>
      <c r="JS14" s="31">
        <v>0</v>
      </c>
      <c r="JT14" s="31">
        <v>0</v>
      </c>
      <c r="JU14" s="31">
        <v>0</v>
      </c>
      <c r="JV14" s="31">
        <v>5</v>
      </c>
      <c r="JW14" s="31">
        <v>0</v>
      </c>
      <c r="JX14" s="31">
        <v>0</v>
      </c>
      <c r="JY14" s="31">
        <v>0</v>
      </c>
      <c r="JZ14" s="31">
        <v>6</v>
      </c>
      <c r="KA14" s="31">
        <v>0</v>
      </c>
      <c r="KB14" s="31">
        <v>0</v>
      </c>
      <c r="KC14" s="31">
        <v>0</v>
      </c>
      <c r="KD14" s="31">
        <v>5</v>
      </c>
      <c r="KE14" s="31">
        <v>0</v>
      </c>
      <c r="KF14" s="31">
        <v>0</v>
      </c>
      <c r="KG14" s="31">
        <v>2</v>
      </c>
      <c r="KH14" s="31">
        <v>0</v>
      </c>
      <c r="KI14" s="31">
        <v>0</v>
      </c>
      <c r="KJ14" s="31">
        <v>1</v>
      </c>
      <c r="KK14" s="31">
        <v>4</v>
      </c>
      <c r="KL14" s="31">
        <v>0</v>
      </c>
      <c r="KM14" s="31">
        <v>0</v>
      </c>
      <c r="KN14" s="31">
        <v>0</v>
      </c>
      <c r="KO14" s="31">
        <v>0</v>
      </c>
      <c r="KP14" s="31">
        <v>0</v>
      </c>
      <c r="KQ14" s="31">
        <v>0</v>
      </c>
      <c r="KR14" s="31">
        <v>0</v>
      </c>
      <c r="KS14" s="31">
        <v>0</v>
      </c>
      <c r="KT14" s="31">
        <v>0</v>
      </c>
      <c r="KU14" s="31">
        <v>0</v>
      </c>
      <c r="KV14" s="31">
        <v>1</v>
      </c>
      <c r="KW14" s="31">
        <v>4</v>
      </c>
      <c r="KX14" s="31">
        <v>0</v>
      </c>
      <c r="KY14" s="31">
        <v>0</v>
      </c>
      <c r="KZ14" s="31">
        <v>1</v>
      </c>
      <c r="LA14" s="31">
        <v>0</v>
      </c>
      <c r="LB14" s="31">
        <v>0</v>
      </c>
      <c r="LC14" s="31">
        <v>0</v>
      </c>
      <c r="LD14" s="31">
        <v>0</v>
      </c>
      <c r="LE14" s="31">
        <v>0</v>
      </c>
      <c r="LF14" s="31">
        <v>0</v>
      </c>
      <c r="LG14" s="31">
        <v>0</v>
      </c>
      <c r="LH14" s="31">
        <v>5</v>
      </c>
      <c r="LI14" s="31">
        <v>0</v>
      </c>
      <c r="LJ14" s="31">
        <v>0</v>
      </c>
      <c r="LK14" s="31">
        <v>0</v>
      </c>
      <c r="LL14" s="31">
        <v>0</v>
      </c>
      <c r="LM14" s="31">
        <v>1</v>
      </c>
      <c r="LN14" s="31">
        <v>0</v>
      </c>
      <c r="LO14" s="31">
        <v>4</v>
      </c>
      <c r="LP14" s="31">
        <v>1</v>
      </c>
      <c r="LQ14" s="31">
        <v>0</v>
      </c>
      <c r="LR14" s="31">
        <v>0</v>
      </c>
      <c r="LS14" s="31">
        <v>0</v>
      </c>
      <c r="LT14" s="31">
        <v>2</v>
      </c>
      <c r="LU14" s="31">
        <v>5</v>
      </c>
      <c r="LV14" s="31">
        <v>0</v>
      </c>
      <c r="LW14" s="31">
        <v>4</v>
      </c>
      <c r="LX14" s="31">
        <v>1</v>
      </c>
      <c r="LY14" s="31">
        <v>0</v>
      </c>
      <c r="LZ14" s="31">
        <v>0</v>
      </c>
      <c r="MA14" s="31">
        <v>0</v>
      </c>
      <c r="MB14" s="31">
        <v>0</v>
      </c>
      <c r="MC14" s="31">
        <v>0</v>
      </c>
      <c r="MD14" s="31">
        <v>0</v>
      </c>
      <c r="ME14" s="31">
        <v>0</v>
      </c>
      <c r="MF14" s="31">
        <v>0</v>
      </c>
      <c r="MG14" s="31">
        <v>0</v>
      </c>
      <c r="MH14" s="31">
        <v>0</v>
      </c>
      <c r="MI14" s="31">
        <v>0</v>
      </c>
      <c r="MJ14" s="31">
        <v>0</v>
      </c>
      <c r="MK14" s="31">
        <v>0</v>
      </c>
      <c r="ML14" s="31">
        <v>0</v>
      </c>
      <c r="MM14" s="31">
        <v>0</v>
      </c>
      <c r="MN14" s="31">
        <v>0</v>
      </c>
      <c r="MO14" s="31">
        <v>0</v>
      </c>
      <c r="MP14" s="31">
        <v>0</v>
      </c>
      <c r="MQ14" s="31">
        <v>0</v>
      </c>
      <c r="MR14" s="31">
        <v>0</v>
      </c>
      <c r="MS14" s="31">
        <v>0</v>
      </c>
      <c r="MT14" s="31">
        <v>0</v>
      </c>
      <c r="MU14" s="31">
        <v>0</v>
      </c>
      <c r="MV14" s="31">
        <v>0</v>
      </c>
      <c r="MW14" s="31">
        <v>1</v>
      </c>
      <c r="MX14" s="31">
        <v>0</v>
      </c>
      <c r="MY14" s="31">
        <v>1</v>
      </c>
      <c r="MZ14" s="31">
        <v>0</v>
      </c>
      <c r="NA14" s="31">
        <v>0</v>
      </c>
      <c r="NB14" s="31">
        <v>0</v>
      </c>
      <c r="NC14" s="31">
        <v>1</v>
      </c>
      <c r="ND14" s="31">
        <v>0</v>
      </c>
      <c r="NE14" s="31">
        <v>1</v>
      </c>
      <c r="NF14" s="31">
        <v>0</v>
      </c>
      <c r="NG14" s="31">
        <v>0</v>
      </c>
      <c r="NH14" s="31">
        <v>0</v>
      </c>
      <c r="NI14" s="31">
        <v>0</v>
      </c>
      <c r="NJ14" s="31">
        <v>0</v>
      </c>
      <c r="NK14" s="31">
        <v>0</v>
      </c>
      <c r="NL14" s="31">
        <v>0</v>
      </c>
      <c r="NM14" s="31">
        <v>0</v>
      </c>
      <c r="NN14" s="31">
        <v>0</v>
      </c>
      <c r="NO14" s="31">
        <v>0</v>
      </c>
      <c r="NP14" s="31">
        <v>0</v>
      </c>
      <c r="NQ14" s="31">
        <v>0</v>
      </c>
      <c r="NR14" s="31">
        <v>0</v>
      </c>
      <c r="NS14" s="31">
        <v>0</v>
      </c>
      <c r="NT14" s="31">
        <v>0</v>
      </c>
      <c r="NU14" s="31">
        <v>4</v>
      </c>
      <c r="NV14" s="31">
        <v>0</v>
      </c>
      <c r="NW14" s="31">
        <v>1</v>
      </c>
      <c r="NX14" s="31">
        <v>0</v>
      </c>
      <c r="NY14" s="31">
        <v>0</v>
      </c>
      <c r="NZ14" s="31">
        <v>1</v>
      </c>
      <c r="OA14" s="31">
        <v>0</v>
      </c>
      <c r="OB14" s="31">
        <v>0</v>
      </c>
      <c r="OC14" s="31">
        <v>0</v>
      </c>
      <c r="OD14" s="31">
        <v>0</v>
      </c>
      <c r="OE14" s="31">
        <v>0</v>
      </c>
      <c r="OF14" s="31">
        <v>0</v>
      </c>
      <c r="OG14" s="31">
        <v>0</v>
      </c>
      <c r="OH14" s="31">
        <v>0</v>
      </c>
      <c r="OI14" s="31">
        <v>1</v>
      </c>
      <c r="OJ14" s="31">
        <v>0</v>
      </c>
      <c r="OK14" s="31">
        <v>1</v>
      </c>
      <c r="OL14" s="31">
        <v>7</v>
      </c>
      <c r="OM14" s="31">
        <v>0</v>
      </c>
      <c r="ON14" s="31">
        <v>0</v>
      </c>
      <c r="OO14" s="31">
        <v>0</v>
      </c>
      <c r="OP14" s="31">
        <v>0</v>
      </c>
      <c r="OQ14" s="31">
        <v>2</v>
      </c>
      <c r="OR14" s="31">
        <v>0</v>
      </c>
      <c r="OS14" s="31">
        <v>0</v>
      </c>
      <c r="OT14" s="31">
        <v>5</v>
      </c>
      <c r="OU14" s="31">
        <v>1</v>
      </c>
      <c r="OV14" s="31">
        <v>7</v>
      </c>
      <c r="OW14" s="31">
        <v>0</v>
      </c>
      <c r="OX14" s="31">
        <v>2</v>
      </c>
      <c r="OY14" s="31">
        <v>2</v>
      </c>
      <c r="OZ14" s="31">
        <v>0</v>
      </c>
      <c r="PA14" s="31">
        <v>0</v>
      </c>
      <c r="PB14" s="31">
        <v>5</v>
      </c>
      <c r="PC14" s="31">
        <v>0</v>
      </c>
      <c r="PD14" s="31">
        <v>0</v>
      </c>
      <c r="PE14" s="31">
        <v>3</v>
      </c>
      <c r="PF14" s="31">
        <v>0</v>
      </c>
      <c r="PG14" s="31">
        <v>0</v>
      </c>
      <c r="PH14" s="31">
        <v>0</v>
      </c>
      <c r="PI14" s="31">
        <v>1</v>
      </c>
      <c r="PJ14" s="31">
        <v>0</v>
      </c>
      <c r="PK14" s="31">
        <v>7</v>
      </c>
      <c r="PL14" s="31">
        <v>4</v>
      </c>
      <c r="PM14" s="31">
        <v>0</v>
      </c>
      <c r="PN14" s="31">
        <v>1</v>
      </c>
      <c r="PO14" s="31">
        <v>1</v>
      </c>
      <c r="PP14" s="31">
        <v>2</v>
      </c>
      <c r="PQ14" s="31">
        <v>0</v>
      </c>
      <c r="PR14" s="31">
        <v>0</v>
      </c>
      <c r="PS14" s="31">
        <v>0</v>
      </c>
      <c r="PT14" s="31">
        <v>5</v>
      </c>
      <c r="PU14" s="31">
        <v>2</v>
      </c>
      <c r="PV14" s="31">
        <v>0</v>
      </c>
      <c r="PW14" s="31">
        <v>1</v>
      </c>
      <c r="PX14" s="31">
        <v>0</v>
      </c>
      <c r="PY14" s="31">
        <v>0</v>
      </c>
      <c r="PZ14" s="31">
        <v>0</v>
      </c>
      <c r="QA14" s="31">
        <v>0</v>
      </c>
      <c r="QB14" s="31">
        <v>0</v>
      </c>
      <c r="QC14" s="31">
        <v>0</v>
      </c>
      <c r="QD14" s="31">
        <v>0</v>
      </c>
      <c r="QE14" s="31">
        <v>0</v>
      </c>
      <c r="QF14" s="31">
        <v>0</v>
      </c>
      <c r="QG14" s="31">
        <v>0</v>
      </c>
      <c r="QH14" s="31">
        <v>0</v>
      </c>
      <c r="QI14" s="31">
        <v>0</v>
      </c>
      <c r="QJ14" s="31">
        <v>1</v>
      </c>
      <c r="QK14" s="31">
        <v>2</v>
      </c>
      <c r="QL14" s="31">
        <v>0</v>
      </c>
      <c r="QM14" s="31">
        <v>0</v>
      </c>
      <c r="QN14" s="31">
        <v>0</v>
      </c>
      <c r="QO14" s="31">
        <v>0</v>
      </c>
      <c r="QP14" s="31">
        <v>0</v>
      </c>
      <c r="QQ14" s="31">
        <v>7</v>
      </c>
      <c r="QR14" s="31">
        <v>0</v>
      </c>
      <c r="QS14" s="31">
        <v>0</v>
      </c>
      <c r="QT14" s="31">
        <v>0</v>
      </c>
      <c r="QU14" s="31">
        <v>0</v>
      </c>
      <c r="QV14" s="31">
        <v>0</v>
      </c>
      <c r="QW14" s="31">
        <v>0</v>
      </c>
      <c r="QX14" s="31">
        <v>0</v>
      </c>
      <c r="QY14" s="31">
        <v>0</v>
      </c>
      <c r="QZ14" s="31">
        <v>0</v>
      </c>
      <c r="RA14" s="31">
        <v>0</v>
      </c>
      <c r="RB14" s="31">
        <v>0</v>
      </c>
      <c r="RC14" s="31">
        <v>0</v>
      </c>
      <c r="RD14" s="31">
        <v>0</v>
      </c>
      <c r="RE14" s="31">
        <v>0</v>
      </c>
      <c r="RF14" s="31">
        <v>0</v>
      </c>
      <c r="RG14" s="31">
        <v>0</v>
      </c>
      <c r="RH14" s="31">
        <v>0</v>
      </c>
      <c r="RI14" s="31">
        <v>0</v>
      </c>
      <c r="RJ14" s="31">
        <v>0</v>
      </c>
      <c r="RK14" s="31">
        <v>2</v>
      </c>
      <c r="RL14" s="31">
        <v>4</v>
      </c>
      <c r="RM14" s="31">
        <v>0</v>
      </c>
      <c r="RN14" s="31">
        <v>0</v>
      </c>
      <c r="RO14" s="31">
        <v>0</v>
      </c>
      <c r="RP14" s="31">
        <v>0</v>
      </c>
      <c r="RQ14" s="31">
        <v>0</v>
      </c>
      <c r="RR14" s="31">
        <v>0</v>
      </c>
      <c r="RS14" s="31">
        <v>3</v>
      </c>
      <c r="RT14" s="31">
        <v>0</v>
      </c>
      <c r="RU14" s="31">
        <v>0</v>
      </c>
      <c r="RV14" s="31">
        <v>0</v>
      </c>
      <c r="RW14" s="31">
        <v>2</v>
      </c>
      <c r="RX14" s="31">
        <v>0</v>
      </c>
      <c r="RY14" s="31">
        <v>0</v>
      </c>
      <c r="RZ14" s="31">
        <v>0</v>
      </c>
      <c r="SA14" s="31">
        <v>2</v>
      </c>
      <c r="SB14" s="31">
        <v>0</v>
      </c>
      <c r="SC14" s="31">
        <v>0</v>
      </c>
      <c r="SD14" s="31">
        <v>0</v>
      </c>
      <c r="SE14" s="31">
        <v>0</v>
      </c>
      <c r="SF14" s="31">
        <v>1</v>
      </c>
      <c r="SG14" s="31">
        <v>0</v>
      </c>
      <c r="SH14" s="31">
        <v>0</v>
      </c>
      <c r="SI14" s="31">
        <v>0</v>
      </c>
      <c r="SJ14" s="31">
        <v>0</v>
      </c>
      <c r="SK14" s="31">
        <v>0</v>
      </c>
      <c r="SL14" s="31">
        <v>0</v>
      </c>
      <c r="SM14" s="31">
        <v>0</v>
      </c>
      <c r="SN14" s="31">
        <v>2</v>
      </c>
      <c r="SO14" s="31">
        <v>0</v>
      </c>
      <c r="SP14" s="31">
        <v>0</v>
      </c>
      <c r="SQ14" s="31">
        <v>1</v>
      </c>
      <c r="SR14" s="31">
        <v>0</v>
      </c>
      <c r="SS14" s="31">
        <v>0</v>
      </c>
      <c r="ST14" s="31">
        <v>0</v>
      </c>
      <c r="SU14" s="31">
        <v>0</v>
      </c>
      <c r="SV14" s="31">
        <v>0</v>
      </c>
      <c r="SW14" s="31">
        <v>0</v>
      </c>
      <c r="SX14" s="31">
        <v>0</v>
      </c>
      <c r="SY14" s="31">
        <v>0</v>
      </c>
      <c r="SZ14" s="31">
        <v>0</v>
      </c>
      <c r="TA14" s="31">
        <v>1</v>
      </c>
      <c r="TB14" s="31">
        <v>0</v>
      </c>
      <c r="TC14" s="31">
        <v>0</v>
      </c>
      <c r="TD14" s="31">
        <v>0</v>
      </c>
      <c r="TE14" s="31">
        <v>1</v>
      </c>
      <c r="TF14" s="31">
        <v>0</v>
      </c>
      <c r="TG14" s="31">
        <v>0</v>
      </c>
      <c r="TH14" s="31">
        <v>0</v>
      </c>
      <c r="TI14" s="31">
        <v>0</v>
      </c>
      <c r="TJ14" s="31">
        <v>0</v>
      </c>
      <c r="TK14" s="31">
        <v>0</v>
      </c>
      <c r="TL14" s="31">
        <v>0</v>
      </c>
      <c r="TM14" s="31">
        <v>0</v>
      </c>
      <c r="TN14" s="31">
        <v>0</v>
      </c>
      <c r="TO14" s="31">
        <v>0</v>
      </c>
      <c r="TP14" s="31">
        <v>0</v>
      </c>
      <c r="TQ14" s="31">
        <v>0</v>
      </c>
      <c r="TR14" s="31">
        <v>0</v>
      </c>
      <c r="TS14" s="31">
        <v>0</v>
      </c>
      <c r="TT14" s="31">
        <v>0</v>
      </c>
      <c r="TU14" s="31">
        <v>1</v>
      </c>
      <c r="TV14" s="31">
        <v>1</v>
      </c>
      <c r="TW14" s="31">
        <v>0</v>
      </c>
      <c r="TX14" s="31">
        <v>0</v>
      </c>
      <c r="TY14" s="31">
        <v>2</v>
      </c>
      <c r="TZ14" s="31">
        <v>0</v>
      </c>
      <c r="UA14" s="31">
        <v>0</v>
      </c>
      <c r="UB14" s="31">
        <v>0</v>
      </c>
      <c r="UC14" s="31">
        <v>2</v>
      </c>
      <c r="UD14" s="31">
        <v>0</v>
      </c>
      <c r="UE14" s="31">
        <v>2</v>
      </c>
      <c r="UF14" s="31">
        <v>0</v>
      </c>
      <c r="UG14" s="31">
        <v>0</v>
      </c>
      <c r="UH14" s="31">
        <v>0</v>
      </c>
      <c r="UI14" s="31">
        <v>0</v>
      </c>
      <c r="UJ14" s="31">
        <v>1</v>
      </c>
      <c r="UK14" s="31">
        <v>0</v>
      </c>
      <c r="UL14" s="31">
        <v>0</v>
      </c>
      <c r="UM14" s="31">
        <v>0</v>
      </c>
      <c r="UN14" s="31">
        <v>2</v>
      </c>
      <c r="UO14" s="31">
        <v>0</v>
      </c>
      <c r="UP14" s="31">
        <v>2</v>
      </c>
      <c r="UQ14" s="31">
        <v>0</v>
      </c>
      <c r="UR14" s="31">
        <v>0</v>
      </c>
      <c r="US14" s="31">
        <v>0</v>
      </c>
      <c r="UT14" s="31">
        <v>0</v>
      </c>
      <c r="UU14" s="31">
        <v>0</v>
      </c>
      <c r="UV14" s="31">
        <v>0</v>
      </c>
      <c r="UW14" s="31">
        <v>3</v>
      </c>
      <c r="UX14" s="31">
        <v>0</v>
      </c>
      <c r="UY14" s="31">
        <v>2</v>
      </c>
      <c r="UZ14" s="31">
        <v>0</v>
      </c>
      <c r="VA14" s="31">
        <v>5</v>
      </c>
      <c r="VB14" s="31">
        <v>2</v>
      </c>
      <c r="VC14" s="31">
        <v>0</v>
      </c>
      <c r="VD14" s="31">
        <v>0</v>
      </c>
      <c r="VE14" s="31">
        <v>0</v>
      </c>
      <c r="VF14" s="31">
        <v>1</v>
      </c>
      <c r="VG14" s="31">
        <v>2</v>
      </c>
      <c r="VH14" s="31">
        <v>0</v>
      </c>
      <c r="VI14" s="31">
        <v>0</v>
      </c>
      <c r="VJ14" s="31">
        <v>0</v>
      </c>
      <c r="VK14" s="31">
        <v>1</v>
      </c>
      <c r="VL14" s="31">
        <v>0</v>
      </c>
      <c r="VM14" s="31">
        <v>1</v>
      </c>
      <c r="VN14" s="31">
        <v>0</v>
      </c>
      <c r="VO14" s="31">
        <v>0</v>
      </c>
      <c r="VP14" s="31">
        <v>2</v>
      </c>
      <c r="VQ14" s="31">
        <v>2</v>
      </c>
      <c r="VR14" s="31">
        <v>4</v>
      </c>
      <c r="VS14" s="31">
        <v>0</v>
      </c>
      <c r="VT14" s="31">
        <v>0</v>
      </c>
      <c r="VU14" s="31">
        <v>0</v>
      </c>
      <c r="VV14" s="31">
        <v>0</v>
      </c>
      <c r="VW14" s="31">
        <v>1</v>
      </c>
      <c r="VX14" s="31">
        <v>0</v>
      </c>
      <c r="VY14" s="31">
        <v>0</v>
      </c>
      <c r="VZ14" s="31">
        <v>0</v>
      </c>
      <c r="WA14" s="31">
        <v>0</v>
      </c>
      <c r="WB14" s="31">
        <v>3</v>
      </c>
      <c r="WC14" s="31">
        <v>0</v>
      </c>
      <c r="WD14" s="31">
        <v>0</v>
      </c>
      <c r="WE14" s="31">
        <v>0</v>
      </c>
      <c r="WF14" s="31">
        <v>1</v>
      </c>
      <c r="WG14" s="31">
        <v>4</v>
      </c>
      <c r="WH14" s="31">
        <v>0</v>
      </c>
      <c r="WI14" s="31">
        <v>0</v>
      </c>
      <c r="WJ14" s="31">
        <v>0</v>
      </c>
      <c r="WK14" s="31">
        <v>0</v>
      </c>
      <c r="WL14" s="31">
        <v>0</v>
      </c>
      <c r="WM14" s="31">
        <v>0</v>
      </c>
      <c r="WN14" s="31">
        <v>7</v>
      </c>
      <c r="WO14" s="31">
        <v>2</v>
      </c>
      <c r="WP14" s="31">
        <v>0</v>
      </c>
      <c r="WQ14" s="31">
        <v>0</v>
      </c>
      <c r="WR14" s="31">
        <v>0</v>
      </c>
      <c r="WS14" s="31">
        <v>0</v>
      </c>
      <c r="WT14" s="31">
        <v>0</v>
      </c>
      <c r="WU14" s="31">
        <v>0</v>
      </c>
      <c r="WV14" s="31">
        <v>0</v>
      </c>
      <c r="WW14" s="31">
        <v>0</v>
      </c>
      <c r="WX14" s="31">
        <v>0</v>
      </c>
      <c r="WY14" s="31">
        <v>5</v>
      </c>
      <c r="WZ14" s="31">
        <v>1</v>
      </c>
      <c r="XA14" s="31">
        <v>0</v>
      </c>
      <c r="XB14" s="31">
        <v>0</v>
      </c>
      <c r="XC14" s="31">
        <v>0</v>
      </c>
      <c r="XD14" s="31">
        <v>0</v>
      </c>
      <c r="XE14" s="31">
        <v>1</v>
      </c>
      <c r="XF14" s="31">
        <v>2</v>
      </c>
      <c r="XG14" s="31">
        <v>0</v>
      </c>
      <c r="XH14" s="31">
        <v>0</v>
      </c>
      <c r="XI14" s="31">
        <v>0</v>
      </c>
      <c r="XJ14" s="31">
        <v>0</v>
      </c>
      <c r="XK14" s="31">
        <v>2</v>
      </c>
      <c r="XL14" s="31">
        <v>0</v>
      </c>
      <c r="XM14" s="31">
        <v>0</v>
      </c>
      <c r="XN14" s="31">
        <v>0</v>
      </c>
      <c r="XO14" s="31">
        <v>0</v>
      </c>
      <c r="XP14" s="31">
        <v>0</v>
      </c>
      <c r="XQ14" s="31">
        <v>0</v>
      </c>
      <c r="XR14" s="31">
        <v>0</v>
      </c>
      <c r="XS14" s="31">
        <v>0</v>
      </c>
      <c r="XT14" s="31">
        <v>5</v>
      </c>
      <c r="XU14" s="31">
        <v>0</v>
      </c>
      <c r="XV14" s="31">
        <v>0</v>
      </c>
      <c r="XW14" s="31">
        <v>2</v>
      </c>
      <c r="XX14" s="31">
        <v>0</v>
      </c>
      <c r="XY14" s="31">
        <v>0</v>
      </c>
      <c r="XZ14" s="31">
        <v>0</v>
      </c>
      <c r="YA14" s="31">
        <v>0</v>
      </c>
      <c r="YB14" s="31">
        <v>0</v>
      </c>
      <c r="YC14" s="31">
        <v>0</v>
      </c>
      <c r="YD14" s="31">
        <v>0</v>
      </c>
      <c r="YE14" s="31">
        <v>0</v>
      </c>
      <c r="YF14" s="31">
        <v>5</v>
      </c>
      <c r="YG14" s="31">
        <v>0</v>
      </c>
      <c r="YH14" s="31">
        <v>1</v>
      </c>
      <c r="YI14" s="31">
        <v>0</v>
      </c>
      <c r="YJ14" s="31">
        <v>0</v>
      </c>
      <c r="YK14" s="31">
        <v>4</v>
      </c>
      <c r="YL14" s="31">
        <v>3</v>
      </c>
      <c r="YM14" s="31">
        <v>4</v>
      </c>
      <c r="YN14" s="31">
        <v>1</v>
      </c>
      <c r="YO14" s="31">
        <v>0</v>
      </c>
      <c r="YP14" s="31">
        <v>0</v>
      </c>
      <c r="YQ14" s="31">
        <v>0</v>
      </c>
      <c r="YR14" s="31">
        <v>3</v>
      </c>
      <c r="YS14" s="31">
        <v>5</v>
      </c>
      <c r="YT14" s="31">
        <v>1</v>
      </c>
      <c r="YU14" s="31">
        <v>1</v>
      </c>
      <c r="YV14" s="31">
        <v>0</v>
      </c>
      <c r="YW14" s="31">
        <v>3</v>
      </c>
      <c r="YX14" s="31">
        <v>0</v>
      </c>
      <c r="YY14" s="31">
        <v>1</v>
      </c>
      <c r="YZ14" s="31">
        <v>6</v>
      </c>
      <c r="ZA14" s="31">
        <v>0</v>
      </c>
      <c r="ZB14" s="31">
        <v>0</v>
      </c>
      <c r="ZC14" s="31">
        <v>7</v>
      </c>
      <c r="ZD14" s="31">
        <v>2</v>
      </c>
      <c r="ZE14" s="31">
        <v>0</v>
      </c>
      <c r="ZF14" s="31">
        <v>0</v>
      </c>
      <c r="ZG14" s="31">
        <v>0</v>
      </c>
      <c r="ZH14" s="31">
        <v>3</v>
      </c>
      <c r="ZI14" s="31">
        <v>1</v>
      </c>
      <c r="ZJ14" s="31">
        <v>0</v>
      </c>
      <c r="ZK14" s="31">
        <v>8</v>
      </c>
      <c r="ZL14" s="31">
        <v>3</v>
      </c>
      <c r="ZM14" s="31">
        <v>5</v>
      </c>
      <c r="ZN14" s="31">
        <v>0</v>
      </c>
      <c r="ZO14" s="31">
        <v>1</v>
      </c>
      <c r="ZP14" s="31">
        <v>1</v>
      </c>
      <c r="ZQ14" s="31">
        <v>7</v>
      </c>
      <c r="ZR14" s="31">
        <v>4</v>
      </c>
      <c r="ZS14" s="31">
        <v>3</v>
      </c>
      <c r="ZT14" s="31">
        <v>0</v>
      </c>
      <c r="ZU14" s="31">
        <v>0</v>
      </c>
      <c r="ZV14" s="31">
        <v>0</v>
      </c>
      <c r="ZW14" s="31">
        <v>0</v>
      </c>
      <c r="ZX14" s="31">
        <v>1</v>
      </c>
      <c r="ZY14" s="31">
        <v>0</v>
      </c>
      <c r="ZZ14" s="31">
        <v>1</v>
      </c>
      <c r="AAA14" s="31">
        <v>0</v>
      </c>
      <c r="AAB14" s="31">
        <v>2</v>
      </c>
      <c r="AAC14" s="31">
        <v>1</v>
      </c>
      <c r="AAD14" s="31">
        <v>0</v>
      </c>
      <c r="AAE14" s="31">
        <v>3</v>
      </c>
      <c r="AAF14" s="31">
        <v>5</v>
      </c>
      <c r="AAG14" s="31">
        <v>0</v>
      </c>
      <c r="AAH14" s="31">
        <v>8</v>
      </c>
      <c r="AAI14" s="31">
        <v>4</v>
      </c>
      <c r="AAJ14" s="31">
        <v>3</v>
      </c>
      <c r="AAK14" s="31">
        <v>1</v>
      </c>
      <c r="AAL14" s="31">
        <v>0</v>
      </c>
      <c r="AAM14" s="31">
        <v>0</v>
      </c>
      <c r="AAN14" s="31">
        <v>2</v>
      </c>
      <c r="AAO14" s="31">
        <v>0</v>
      </c>
      <c r="AAP14" s="31">
        <v>3</v>
      </c>
      <c r="AAQ14" s="31">
        <v>10</v>
      </c>
      <c r="AAR14" s="31">
        <v>0</v>
      </c>
      <c r="AAS14" s="31">
        <v>0</v>
      </c>
      <c r="AAT14" s="31">
        <v>4</v>
      </c>
      <c r="AAU14" s="31">
        <v>0</v>
      </c>
      <c r="AAV14" s="31">
        <v>0</v>
      </c>
      <c r="AAW14" s="31">
        <v>1</v>
      </c>
      <c r="AAX14" s="31">
        <v>0</v>
      </c>
      <c r="AAY14" s="31">
        <v>11</v>
      </c>
      <c r="AAZ14" s="31">
        <v>0</v>
      </c>
      <c r="ABA14" s="31">
        <v>0</v>
      </c>
      <c r="ABB14" s="31">
        <v>1</v>
      </c>
      <c r="ABC14" s="31">
        <v>1</v>
      </c>
      <c r="ABD14" s="31">
        <v>0</v>
      </c>
      <c r="ABE14" s="31">
        <v>0</v>
      </c>
      <c r="ABF14" s="31">
        <v>0</v>
      </c>
      <c r="ABG14" s="31">
        <v>0</v>
      </c>
      <c r="ABH14" s="31">
        <v>1</v>
      </c>
      <c r="ABI14" s="31">
        <v>0</v>
      </c>
      <c r="ABJ14" s="31">
        <v>5</v>
      </c>
      <c r="ABK14" s="31">
        <v>0</v>
      </c>
      <c r="ABL14" s="31">
        <v>0</v>
      </c>
      <c r="ABM14" s="31">
        <v>2</v>
      </c>
      <c r="ABN14" s="31">
        <v>0</v>
      </c>
      <c r="ABO14" s="31">
        <v>0</v>
      </c>
      <c r="ABP14" s="31">
        <v>2</v>
      </c>
      <c r="ABQ14" s="31">
        <v>2</v>
      </c>
      <c r="ABR14" s="31">
        <v>8</v>
      </c>
      <c r="ABS14" s="31">
        <v>1</v>
      </c>
      <c r="ABT14" s="31">
        <v>0</v>
      </c>
      <c r="ABU14" s="31">
        <v>0</v>
      </c>
      <c r="ABV14" s="31">
        <v>0</v>
      </c>
      <c r="ABW14" s="31">
        <v>0</v>
      </c>
      <c r="ABX14" s="31">
        <v>4</v>
      </c>
      <c r="ABY14" s="31">
        <v>1</v>
      </c>
      <c r="ABZ14" s="31">
        <v>0</v>
      </c>
      <c r="ACA14" s="31">
        <v>0</v>
      </c>
      <c r="ACB14" s="31">
        <v>2</v>
      </c>
      <c r="ACC14" s="31">
        <v>1</v>
      </c>
      <c r="ACD14" s="31">
        <v>0</v>
      </c>
      <c r="ACE14" s="31">
        <v>1</v>
      </c>
      <c r="ACF14" s="31">
        <v>3</v>
      </c>
      <c r="ACG14" s="31">
        <v>0</v>
      </c>
      <c r="ACH14" s="31">
        <v>2</v>
      </c>
      <c r="ACI14" s="31">
        <v>8</v>
      </c>
      <c r="ACJ14" s="31">
        <v>2</v>
      </c>
      <c r="ACK14" s="31">
        <v>0</v>
      </c>
      <c r="ACL14" s="31">
        <v>0</v>
      </c>
      <c r="ACM14" s="31">
        <v>0</v>
      </c>
      <c r="ACN14" s="31">
        <v>0</v>
      </c>
      <c r="ACO14" s="31">
        <v>2</v>
      </c>
      <c r="ACP14" s="31">
        <v>0</v>
      </c>
      <c r="ACQ14" s="31">
        <v>0</v>
      </c>
      <c r="ACR14" s="31">
        <v>0</v>
      </c>
      <c r="ACS14" s="31">
        <v>0</v>
      </c>
      <c r="ACT14" s="31">
        <v>0</v>
      </c>
      <c r="ACU14" s="31">
        <v>0</v>
      </c>
      <c r="ACV14" s="31">
        <v>1</v>
      </c>
      <c r="ACW14" s="31">
        <v>0</v>
      </c>
      <c r="ACX14" s="31">
        <v>0</v>
      </c>
      <c r="ACY14" s="31">
        <v>0</v>
      </c>
      <c r="ACZ14" s="31">
        <v>0</v>
      </c>
      <c r="ADA14" s="31">
        <v>0</v>
      </c>
      <c r="ADB14" s="31">
        <v>0</v>
      </c>
      <c r="ADC14" s="31">
        <v>0</v>
      </c>
      <c r="ADD14" s="31">
        <v>0</v>
      </c>
      <c r="ADE14" s="31">
        <v>0</v>
      </c>
      <c r="ADF14" s="31">
        <v>0</v>
      </c>
      <c r="ADG14" s="31">
        <v>0</v>
      </c>
      <c r="ADH14" s="31">
        <v>0</v>
      </c>
      <c r="ADI14" s="31">
        <v>0</v>
      </c>
      <c r="ADJ14" s="31">
        <v>0</v>
      </c>
      <c r="ADK14" s="31">
        <v>0</v>
      </c>
      <c r="ADL14" s="31">
        <v>3</v>
      </c>
      <c r="ADM14" s="31">
        <v>1</v>
      </c>
      <c r="ADN14" s="31">
        <v>1</v>
      </c>
      <c r="ADO14" s="31">
        <v>0</v>
      </c>
      <c r="ADP14" s="31">
        <v>1</v>
      </c>
      <c r="ADQ14" s="31">
        <v>0</v>
      </c>
      <c r="ADR14" s="31">
        <v>0</v>
      </c>
      <c r="ADS14" s="31">
        <v>1</v>
      </c>
      <c r="ADT14" s="31">
        <v>3</v>
      </c>
      <c r="ADU14" s="31">
        <v>2</v>
      </c>
      <c r="ADV14" s="31">
        <v>0</v>
      </c>
      <c r="ADW14" s="31">
        <v>0</v>
      </c>
      <c r="ADX14" s="31">
        <v>0</v>
      </c>
      <c r="ADY14" s="31">
        <v>0</v>
      </c>
      <c r="ADZ14" s="31">
        <v>0</v>
      </c>
      <c r="AEA14" s="31">
        <v>0</v>
      </c>
      <c r="AEB14" s="31">
        <v>0</v>
      </c>
      <c r="AEC14" s="31">
        <v>0</v>
      </c>
      <c r="AED14" s="31">
        <v>0</v>
      </c>
      <c r="AEE14" s="31">
        <v>0</v>
      </c>
      <c r="AEF14" s="31">
        <v>0</v>
      </c>
      <c r="AEG14" s="31">
        <v>0</v>
      </c>
      <c r="AEH14" s="31">
        <v>0</v>
      </c>
      <c r="AEI14" s="31">
        <v>0</v>
      </c>
      <c r="AEJ14" s="31">
        <v>0</v>
      </c>
      <c r="AEK14" s="31">
        <v>0</v>
      </c>
      <c r="AEL14" s="31">
        <v>0</v>
      </c>
      <c r="AEM14" s="31">
        <v>0</v>
      </c>
      <c r="AEN14" s="31">
        <v>0</v>
      </c>
      <c r="AEO14" s="31">
        <v>0</v>
      </c>
      <c r="AEP14" s="31">
        <v>0</v>
      </c>
      <c r="AEQ14" s="31">
        <v>0</v>
      </c>
      <c r="AER14" s="31">
        <v>0</v>
      </c>
      <c r="AES14" s="31">
        <v>0</v>
      </c>
      <c r="AET14" s="31">
        <v>0</v>
      </c>
      <c r="AEU14" s="31">
        <v>0</v>
      </c>
      <c r="AEV14" s="31">
        <v>0</v>
      </c>
      <c r="AEW14" s="31">
        <v>0</v>
      </c>
      <c r="AEX14" s="31">
        <v>0</v>
      </c>
      <c r="AEY14" s="31">
        <v>0</v>
      </c>
      <c r="AEZ14" s="31">
        <v>0</v>
      </c>
      <c r="AFA14" s="31">
        <v>0</v>
      </c>
      <c r="AFB14" s="31">
        <v>4</v>
      </c>
      <c r="AFC14" s="31">
        <v>0</v>
      </c>
      <c r="AFD14" s="31">
        <v>0</v>
      </c>
      <c r="AFE14" s="31">
        <v>0</v>
      </c>
      <c r="AFF14" s="31">
        <v>0</v>
      </c>
      <c r="AFG14" s="31">
        <v>0</v>
      </c>
      <c r="AFH14" s="31">
        <v>0</v>
      </c>
      <c r="AFI14" s="31">
        <v>0</v>
      </c>
      <c r="AFJ14" s="31">
        <v>0</v>
      </c>
      <c r="AFK14" s="31">
        <v>0</v>
      </c>
      <c r="AFL14" s="31">
        <v>0</v>
      </c>
      <c r="AFM14" s="31">
        <v>0</v>
      </c>
      <c r="AFN14" s="31">
        <v>0</v>
      </c>
      <c r="AFO14" s="31">
        <v>0</v>
      </c>
      <c r="AFP14" s="31">
        <v>0</v>
      </c>
      <c r="AFQ14" s="31">
        <v>0</v>
      </c>
      <c r="AFR14" s="31">
        <v>0</v>
      </c>
      <c r="AFS14" s="31">
        <v>0</v>
      </c>
      <c r="AFT14" s="31">
        <v>0</v>
      </c>
      <c r="AFU14" s="31">
        <v>0</v>
      </c>
      <c r="AFV14" s="31">
        <v>0</v>
      </c>
      <c r="AFW14" s="31">
        <v>0</v>
      </c>
      <c r="AFX14" s="31">
        <v>0</v>
      </c>
      <c r="AFY14" s="31">
        <v>0</v>
      </c>
      <c r="AFZ14" s="31">
        <v>0</v>
      </c>
      <c r="AGA14" s="31">
        <v>0</v>
      </c>
      <c r="AGB14" s="31">
        <v>0</v>
      </c>
      <c r="AGC14" s="31">
        <v>0</v>
      </c>
      <c r="AGD14" s="31">
        <v>0</v>
      </c>
      <c r="AGE14" s="31">
        <v>0</v>
      </c>
      <c r="AGF14" s="31">
        <v>0</v>
      </c>
      <c r="AGG14" s="31">
        <v>0</v>
      </c>
      <c r="AGH14" s="31">
        <v>0</v>
      </c>
      <c r="AGI14" s="31">
        <v>0</v>
      </c>
      <c r="AGJ14" s="31">
        <v>1</v>
      </c>
      <c r="AGK14" s="31">
        <v>0</v>
      </c>
      <c r="AGL14" s="31">
        <v>0</v>
      </c>
      <c r="AGM14" s="31">
        <v>0</v>
      </c>
      <c r="AGN14" s="31">
        <v>0</v>
      </c>
      <c r="AGO14" s="31">
        <v>0</v>
      </c>
      <c r="AGP14" s="31">
        <v>0</v>
      </c>
      <c r="AGQ14" s="31">
        <v>2</v>
      </c>
      <c r="AGR14" s="31">
        <v>0</v>
      </c>
      <c r="AGS14" s="31">
        <v>0</v>
      </c>
      <c r="AGT14" s="31">
        <v>0</v>
      </c>
      <c r="AGU14" s="31">
        <v>0</v>
      </c>
      <c r="AGV14" s="31">
        <v>0</v>
      </c>
      <c r="AGW14" s="31">
        <v>0</v>
      </c>
      <c r="AGX14" s="31">
        <v>0</v>
      </c>
      <c r="AGY14" s="31">
        <v>0</v>
      </c>
      <c r="AGZ14" s="31">
        <v>0</v>
      </c>
      <c r="AHA14" s="31">
        <v>0</v>
      </c>
      <c r="AHB14" s="31">
        <v>0</v>
      </c>
      <c r="AHC14" s="31">
        <v>0</v>
      </c>
      <c r="AHD14" s="31">
        <v>0</v>
      </c>
      <c r="AHE14" s="31">
        <v>0</v>
      </c>
      <c r="AHF14" s="31">
        <v>0</v>
      </c>
      <c r="AHG14" s="31">
        <v>0</v>
      </c>
      <c r="AHH14" s="31">
        <v>0</v>
      </c>
      <c r="AHI14" s="31">
        <v>0</v>
      </c>
      <c r="AHJ14" s="31">
        <v>3</v>
      </c>
      <c r="AHK14" s="31">
        <v>0</v>
      </c>
      <c r="AHL14" s="31">
        <v>4</v>
      </c>
      <c r="AHM14" s="31">
        <v>0</v>
      </c>
      <c r="AHN14" s="31">
        <v>0</v>
      </c>
      <c r="AHO14" s="31">
        <v>0</v>
      </c>
      <c r="AHP14" s="31">
        <v>0</v>
      </c>
      <c r="AHQ14" s="31">
        <v>0</v>
      </c>
      <c r="AHR14" s="31">
        <v>0</v>
      </c>
      <c r="AHS14" s="31">
        <v>0</v>
      </c>
      <c r="AHT14" s="31">
        <v>0</v>
      </c>
      <c r="AHU14" s="31">
        <v>0</v>
      </c>
      <c r="AHV14" s="31">
        <v>1</v>
      </c>
      <c r="AHW14" s="31">
        <v>0</v>
      </c>
      <c r="AHX14" s="31">
        <v>0</v>
      </c>
      <c r="AHY14" s="31">
        <v>0</v>
      </c>
      <c r="AHZ14" s="31">
        <v>0</v>
      </c>
      <c r="AIA14" s="31">
        <v>0</v>
      </c>
      <c r="AIB14" s="31">
        <v>0</v>
      </c>
      <c r="AIC14" s="31">
        <v>0</v>
      </c>
      <c r="AID14" s="31">
        <v>0</v>
      </c>
      <c r="AIE14" s="31">
        <v>0</v>
      </c>
      <c r="AIF14" s="31">
        <v>0</v>
      </c>
      <c r="AIG14" s="31">
        <v>0</v>
      </c>
      <c r="AIH14" s="31">
        <v>0</v>
      </c>
      <c r="AII14" s="31">
        <v>0</v>
      </c>
      <c r="AIJ14" s="31">
        <v>0</v>
      </c>
      <c r="AIK14" s="31">
        <v>0</v>
      </c>
      <c r="AIL14" s="31">
        <v>2</v>
      </c>
      <c r="AIM14" s="31">
        <v>0</v>
      </c>
      <c r="AIN14" s="31">
        <v>0</v>
      </c>
      <c r="AIO14" s="31">
        <v>0</v>
      </c>
      <c r="AIP14" s="31">
        <v>1</v>
      </c>
      <c r="AIQ14" s="31">
        <v>0</v>
      </c>
      <c r="AIR14" s="31">
        <v>0</v>
      </c>
      <c r="AIS14" s="31">
        <v>0</v>
      </c>
      <c r="AIT14" s="31">
        <v>0</v>
      </c>
      <c r="AIU14" s="31">
        <v>0</v>
      </c>
      <c r="AIV14" s="31">
        <v>0</v>
      </c>
      <c r="AIW14" s="31">
        <v>0</v>
      </c>
      <c r="AIX14" s="31">
        <v>0</v>
      </c>
      <c r="AIY14" s="31">
        <v>0</v>
      </c>
      <c r="AIZ14" s="31">
        <v>0</v>
      </c>
      <c r="AJA14" s="31">
        <v>0</v>
      </c>
      <c r="AJB14" s="31">
        <v>1</v>
      </c>
      <c r="AJC14" s="31">
        <v>0</v>
      </c>
      <c r="AJD14" s="31">
        <v>1</v>
      </c>
      <c r="AJE14" s="31">
        <v>0</v>
      </c>
      <c r="AJF14" s="31">
        <v>0</v>
      </c>
      <c r="AJG14" s="31">
        <v>0</v>
      </c>
      <c r="AJH14" s="31">
        <v>0</v>
      </c>
      <c r="AJI14" s="31">
        <v>0</v>
      </c>
      <c r="AJJ14" s="31">
        <v>0</v>
      </c>
      <c r="AJK14" s="31">
        <v>0</v>
      </c>
      <c r="AJL14" s="31">
        <v>0</v>
      </c>
      <c r="AJM14" s="31">
        <v>0</v>
      </c>
      <c r="AJN14" s="31">
        <v>0</v>
      </c>
      <c r="AJO14" s="31">
        <v>0</v>
      </c>
      <c r="AJP14" s="31">
        <v>0</v>
      </c>
      <c r="AJQ14" s="31">
        <v>0</v>
      </c>
      <c r="AJR14" s="31">
        <v>0</v>
      </c>
      <c r="AJS14" s="31">
        <v>0</v>
      </c>
      <c r="AJT14" s="31">
        <v>1</v>
      </c>
      <c r="AJU14" s="31">
        <v>2</v>
      </c>
      <c r="AJV14" s="31">
        <v>1</v>
      </c>
      <c r="AJW14" s="31">
        <v>0</v>
      </c>
      <c r="AJX14" s="31">
        <v>0</v>
      </c>
      <c r="AJY14" s="31">
        <v>0</v>
      </c>
      <c r="AJZ14" s="31">
        <v>0</v>
      </c>
      <c r="AKA14" s="31">
        <v>0</v>
      </c>
      <c r="AKB14" s="31">
        <v>1</v>
      </c>
      <c r="AKC14" s="31">
        <v>0</v>
      </c>
      <c r="AKD14" s="31">
        <v>0</v>
      </c>
      <c r="AKE14" s="31">
        <v>0</v>
      </c>
      <c r="AKF14" s="31">
        <v>0</v>
      </c>
      <c r="AKG14" s="31">
        <v>0</v>
      </c>
      <c r="AKH14" s="31">
        <v>0</v>
      </c>
      <c r="AKI14" s="31">
        <v>0</v>
      </c>
      <c r="AKJ14" s="31">
        <v>0</v>
      </c>
      <c r="AKK14" s="31">
        <v>0</v>
      </c>
      <c r="AKL14" s="31">
        <v>0</v>
      </c>
      <c r="AKM14" s="31">
        <v>0</v>
      </c>
      <c r="AKN14" s="31">
        <v>0</v>
      </c>
      <c r="AKO14" s="31">
        <v>0</v>
      </c>
      <c r="AKP14" s="31">
        <v>0</v>
      </c>
      <c r="AKQ14" s="31">
        <v>0</v>
      </c>
      <c r="AKR14" s="31">
        <v>0</v>
      </c>
      <c r="AKS14" s="31">
        <v>0</v>
      </c>
      <c r="AKT14" s="31">
        <v>0</v>
      </c>
      <c r="AKU14" s="31">
        <v>0</v>
      </c>
      <c r="AKV14" s="31">
        <v>0</v>
      </c>
      <c r="AKW14" s="31">
        <v>0</v>
      </c>
      <c r="AKX14" s="31">
        <v>0</v>
      </c>
      <c r="AKY14" s="31">
        <v>0</v>
      </c>
      <c r="AKZ14" s="31">
        <v>1</v>
      </c>
      <c r="ALA14" s="31">
        <v>0</v>
      </c>
      <c r="ALB14" s="31">
        <v>0</v>
      </c>
      <c r="ALC14" s="31">
        <v>0</v>
      </c>
      <c r="ALD14" s="31">
        <v>0</v>
      </c>
      <c r="ALE14" s="31">
        <v>0</v>
      </c>
      <c r="ALF14" s="31">
        <v>0</v>
      </c>
      <c r="ALG14" s="31">
        <v>0</v>
      </c>
      <c r="ALH14" s="31">
        <v>6</v>
      </c>
      <c r="ALI14" s="31">
        <v>1</v>
      </c>
      <c r="ALJ14" s="31">
        <v>0</v>
      </c>
      <c r="ALK14" s="31">
        <v>0</v>
      </c>
      <c r="ALL14" s="31">
        <v>0</v>
      </c>
      <c r="ALM14" s="31">
        <v>0</v>
      </c>
      <c r="ALN14" s="31">
        <v>1</v>
      </c>
      <c r="ALO14" s="31">
        <v>0</v>
      </c>
      <c r="ALP14" s="31">
        <v>0</v>
      </c>
      <c r="ALQ14" s="31">
        <v>0</v>
      </c>
      <c r="ALR14" s="31">
        <v>0</v>
      </c>
      <c r="ALS14" s="31">
        <v>0</v>
      </c>
      <c r="ALT14" s="31">
        <v>0</v>
      </c>
      <c r="ALU14" s="31">
        <v>0</v>
      </c>
      <c r="ALV14" s="31">
        <v>0</v>
      </c>
      <c r="ALW14" s="31">
        <v>1</v>
      </c>
      <c r="ALX14" s="31">
        <v>0</v>
      </c>
      <c r="ALY14" s="31">
        <v>3</v>
      </c>
      <c r="ALZ14" s="31">
        <v>4</v>
      </c>
      <c r="AMA14" s="31">
        <v>0</v>
      </c>
      <c r="AMB14" s="31">
        <v>0</v>
      </c>
      <c r="AMC14" s="31">
        <v>0</v>
      </c>
      <c r="AMD14" s="31">
        <v>0</v>
      </c>
      <c r="AME14" s="31">
        <v>0</v>
      </c>
      <c r="AMF14" s="31">
        <v>2</v>
      </c>
      <c r="AMG14" s="31">
        <v>0</v>
      </c>
      <c r="AMH14" s="31">
        <v>0</v>
      </c>
      <c r="AMI14" s="31">
        <v>0</v>
      </c>
      <c r="AMJ14" s="31">
        <v>0</v>
      </c>
      <c r="AMK14" s="31">
        <v>0</v>
      </c>
      <c r="AML14" s="31">
        <v>0</v>
      </c>
      <c r="AMM14" s="31">
        <v>0</v>
      </c>
      <c r="AMN14" s="31">
        <v>3</v>
      </c>
      <c r="AMO14" s="31">
        <v>0</v>
      </c>
      <c r="AMP14" s="31">
        <v>0</v>
      </c>
      <c r="AMQ14" s="31">
        <v>0</v>
      </c>
      <c r="AMR14" s="31">
        <v>0</v>
      </c>
      <c r="AMS14" s="31">
        <v>0</v>
      </c>
      <c r="AMT14" s="31">
        <v>0</v>
      </c>
      <c r="AMU14" s="31">
        <v>0</v>
      </c>
      <c r="AMV14" s="31">
        <v>1</v>
      </c>
      <c r="AMW14" s="31">
        <v>0</v>
      </c>
      <c r="AMX14" s="31">
        <v>0</v>
      </c>
      <c r="AMY14" s="31">
        <v>0</v>
      </c>
      <c r="AMZ14" s="31">
        <v>0</v>
      </c>
      <c r="ANA14" s="31">
        <v>0</v>
      </c>
      <c r="ANB14" s="31">
        <v>0</v>
      </c>
      <c r="ANC14" s="31">
        <v>0</v>
      </c>
      <c r="AND14" s="31">
        <v>0</v>
      </c>
      <c r="ANE14" s="31">
        <v>0</v>
      </c>
      <c r="ANF14" s="31">
        <v>0</v>
      </c>
      <c r="ANG14" s="31">
        <v>0</v>
      </c>
      <c r="ANH14" s="31">
        <v>0</v>
      </c>
      <c r="ANI14" s="31">
        <v>0</v>
      </c>
      <c r="ANJ14" s="31">
        <v>0</v>
      </c>
      <c r="ANK14" s="31">
        <v>0</v>
      </c>
      <c r="ANL14" s="31">
        <v>0</v>
      </c>
      <c r="ANM14" s="31">
        <v>1</v>
      </c>
      <c r="ANN14" s="31">
        <v>0</v>
      </c>
      <c r="ANO14" s="31">
        <v>0</v>
      </c>
      <c r="ANP14" s="31">
        <v>0</v>
      </c>
      <c r="ANQ14" s="31">
        <v>0</v>
      </c>
      <c r="ANR14" s="31">
        <v>0</v>
      </c>
      <c r="ANS14" s="31">
        <v>0</v>
      </c>
      <c r="ANT14" s="31">
        <v>0</v>
      </c>
      <c r="ANU14" s="31">
        <v>0</v>
      </c>
      <c r="ANV14" s="31">
        <v>2</v>
      </c>
      <c r="ANW14" s="31">
        <v>1</v>
      </c>
      <c r="ANX14" s="31">
        <v>0</v>
      </c>
      <c r="ANY14" s="31">
        <v>1</v>
      </c>
      <c r="ANZ14" s="31">
        <v>0</v>
      </c>
      <c r="AOA14" s="31">
        <v>3</v>
      </c>
      <c r="AOB14" s="31">
        <v>1</v>
      </c>
      <c r="AOC14" s="31">
        <v>8</v>
      </c>
      <c r="AOD14" s="31">
        <v>3</v>
      </c>
      <c r="AOE14" s="31">
        <v>0</v>
      </c>
      <c r="AOF14" s="31">
        <v>6</v>
      </c>
      <c r="AOG14" s="31">
        <v>0</v>
      </c>
      <c r="AOH14" s="31">
        <v>2</v>
      </c>
      <c r="AOI14" s="31">
        <v>0</v>
      </c>
      <c r="AOJ14" s="3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N1077"/>
  <sheetViews>
    <sheetView workbookViewId="0"/>
  </sheetViews>
  <sheetFormatPr defaultRowHeight="14.4" x14ac:dyDescent="0.3"/>
  <cols>
    <col min="2" max="2" width="40.5546875" customWidth="1"/>
    <col min="3" max="3" width="13.6640625" customWidth="1"/>
    <col min="4" max="4" width="10.6640625" customWidth="1"/>
    <col min="5" max="5" width="17.33203125" bestFit="1" customWidth="1"/>
    <col min="6" max="6" width="22.33203125" customWidth="1"/>
    <col min="7" max="7" width="25.6640625" customWidth="1"/>
    <col min="8" max="8" width="15.44140625" bestFit="1" customWidth="1"/>
    <col min="9" max="9" width="10.88671875" bestFit="1" customWidth="1"/>
    <col min="10" max="10" width="11.44140625" customWidth="1"/>
    <col min="11" max="11" width="10" bestFit="1" customWidth="1"/>
    <col min="12" max="12" width="11.21875" customWidth="1"/>
    <col min="13" max="13" width="13.5546875" customWidth="1"/>
    <col min="14" max="14" width="12.21875" customWidth="1"/>
  </cols>
  <sheetData>
    <row r="1" spans="1:14" x14ac:dyDescent="0.3">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3">
      <c r="A2" s="2">
        <v>345</v>
      </c>
      <c r="B2" s="2" t="s">
        <v>654</v>
      </c>
      <c r="C2" s="3">
        <v>39038</v>
      </c>
      <c r="D2" s="2">
        <v>108</v>
      </c>
      <c r="E2" s="2" t="s">
        <v>60</v>
      </c>
      <c r="F2" s="2" t="s">
        <v>655</v>
      </c>
      <c r="G2" s="2" t="s">
        <v>70</v>
      </c>
      <c r="H2" s="2" t="s">
        <v>656</v>
      </c>
      <c r="I2" s="2" t="s">
        <v>19</v>
      </c>
      <c r="J2" s="2" t="s">
        <v>63</v>
      </c>
      <c r="K2" s="2">
        <v>100000000</v>
      </c>
      <c r="L2" s="2">
        <v>384300000</v>
      </c>
      <c r="M2" s="2">
        <v>1</v>
      </c>
      <c r="N2" s="2">
        <v>1</v>
      </c>
    </row>
    <row r="3" spans="1:14" x14ac:dyDescent="0.3">
      <c r="A3" s="2">
        <v>441</v>
      </c>
      <c r="B3" s="2" t="s">
        <v>821</v>
      </c>
      <c r="C3" s="3">
        <v>32288</v>
      </c>
      <c r="D3" s="2">
        <v>112</v>
      </c>
      <c r="E3" s="2" t="s">
        <v>15</v>
      </c>
      <c r="F3" s="2" t="s">
        <v>822</v>
      </c>
      <c r="G3" s="2" t="s">
        <v>257</v>
      </c>
      <c r="H3" s="2" t="s">
        <v>656</v>
      </c>
      <c r="I3" s="2" t="s">
        <v>19</v>
      </c>
      <c r="J3" s="2" t="s">
        <v>20</v>
      </c>
      <c r="K3" s="2">
        <v>14000000</v>
      </c>
      <c r="L3" s="2">
        <v>239600000</v>
      </c>
      <c r="M3" s="2">
        <v>0</v>
      </c>
      <c r="N3" s="2">
        <v>0</v>
      </c>
    </row>
    <row r="4" spans="1:14" x14ac:dyDescent="0.3">
      <c r="A4" s="2">
        <v>454</v>
      </c>
      <c r="B4" s="2" t="s">
        <v>843</v>
      </c>
      <c r="C4" s="3">
        <v>31681</v>
      </c>
      <c r="D4" s="2">
        <v>98</v>
      </c>
      <c r="E4" s="2" t="s">
        <v>38</v>
      </c>
      <c r="F4" s="2" t="s">
        <v>844</v>
      </c>
      <c r="G4" s="2" t="s">
        <v>845</v>
      </c>
      <c r="H4" s="2" t="s">
        <v>656</v>
      </c>
      <c r="I4" s="2" t="s">
        <v>19</v>
      </c>
      <c r="J4" s="2">
        <v>15</v>
      </c>
      <c r="K4" s="2">
        <v>8800000</v>
      </c>
      <c r="L4" s="2">
        <v>328000000</v>
      </c>
      <c r="M4" s="2">
        <v>1</v>
      </c>
      <c r="N4" s="2">
        <v>0</v>
      </c>
    </row>
    <row r="5" spans="1:14" x14ac:dyDescent="0.3">
      <c r="A5" s="2">
        <v>1490</v>
      </c>
      <c r="B5" s="2" t="s">
        <v>1593</v>
      </c>
      <c r="C5" s="3">
        <v>28957</v>
      </c>
      <c r="D5" s="2">
        <v>93</v>
      </c>
      <c r="E5" s="2" t="s">
        <v>22</v>
      </c>
      <c r="F5" s="2" t="s">
        <v>655</v>
      </c>
      <c r="G5" s="2" t="s">
        <v>841</v>
      </c>
      <c r="H5" s="2" t="s">
        <v>656</v>
      </c>
      <c r="I5" s="2" t="s">
        <v>19</v>
      </c>
      <c r="J5" s="2">
        <v>18</v>
      </c>
      <c r="K5" s="2">
        <v>400000</v>
      </c>
      <c r="L5" s="2">
        <v>100000000</v>
      </c>
      <c r="M5" s="2">
        <v>0</v>
      </c>
      <c r="N5" s="2">
        <v>0</v>
      </c>
    </row>
    <row r="6" spans="1:14" x14ac:dyDescent="0.3">
      <c r="A6" s="2">
        <v>1491</v>
      </c>
      <c r="B6" s="2" t="s">
        <v>1594</v>
      </c>
      <c r="C6" s="3">
        <v>29944</v>
      </c>
      <c r="D6" s="2">
        <v>96</v>
      </c>
      <c r="E6" s="2" t="s">
        <v>22</v>
      </c>
      <c r="F6" s="2" t="s">
        <v>655</v>
      </c>
      <c r="G6" s="2" t="s">
        <v>841</v>
      </c>
      <c r="H6" s="2" t="s">
        <v>656</v>
      </c>
      <c r="I6" s="2" t="s">
        <v>19</v>
      </c>
      <c r="J6" s="2">
        <v>18</v>
      </c>
      <c r="K6" s="2">
        <v>4500000</v>
      </c>
      <c r="L6" s="2">
        <v>23700000</v>
      </c>
      <c r="M6" s="2">
        <v>0</v>
      </c>
      <c r="N6" s="2">
        <v>0</v>
      </c>
    </row>
    <row r="7" spans="1:14" x14ac:dyDescent="0.3">
      <c r="A7" s="2">
        <v>1492</v>
      </c>
      <c r="B7" s="2" t="s">
        <v>1595</v>
      </c>
      <c r="C7" s="3">
        <v>31238</v>
      </c>
      <c r="D7" s="2">
        <v>107</v>
      </c>
      <c r="E7" s="2" t="s">
        <v>22</v>
      </c>
      <c r="F7" s="2" t="s">
        <v>655</v>
      </c>
      <c r="G7" s="2" t="s">
        <v>841</v>
      </c>
      <c r="H7" s="2" t="s">
        <v>656</v>
      </c>
      <c r="I7" s="2" t="s">
        <v>19</v>
      </c>
      <c r="J7" s="2">
        <v>15</v>
      </c>
      <c r="K7" s="2">
        <v>10000000</v>
      </c>
      <c r="L7" s="2">
        <v>36200000</v>
      </c>
      <c r="M7" s="2">
        <v>0</v>
      </c>
      <c r="N7" s="2">
        <v>0</v>
      </c>
    </row>
    <row r="8" spans="1:14" x14ac:dyDescent="0.3">
      <c r="A8" s="2">
        <v>1493</v>
      </c>
      <c r="B8" s="2" t="s">
        <v>1596</v>
      </c>
      <c r="C8" s="3">
        <v>42131</v>
      </c>
      <c r="D8" s="2">
        <v>120</v>
      </c>
      <c r="E8" s="2" t="s">
        <v>22</v>
      </c>
      <c r="F8" s="2" t="s">
        <v>655</v>
      </c>
      <c r="G8" s="2" t="s">
        <v>841</v>
      </c>
      <c r="H8" s="2" t="s">
        <v>656</v>
      </c>
      <c r="I8" s="2" t="s">
        <v>19</v>
      </c>
      <c r="J8" s="2">
        <v>15</v>
      </c>
      <c r="K8" s="2">
        <v>150000000</v>
      </c>
      <c r="L8" s="2">
        <v>378400000</v>
      </c>
      <c r="M8" s="2">
        <v>10</v>
      </c>
      <c r="N8" s="2">
        <v>6</v>
      </c>
    </row>
    <row r="9" spans="1:14" x14ac:dyDescent="0.3">
      <c r="A9" s="2">
        <v>1141</v>
      </c>
      <c r="B9" s="2" t="s">
        <v>1203</v>
      </c>
      <c r="C9" s="3">
        <v>37498</v>
      </c>
      <c r="D9" s="2">
        <v>130</v>
      </c>
      <c r="E9" s="2" t="s">
        <v>150</v>
      </c>
      <c r="F9" s="2" t="s">
        <v>1204</v>
      </c>
      <c r="G9" s="2" t="s">
        <v>1205</v>
      </c>
      <c r="H9" s="2" t="s">
        <v>1206</v>
      </c>
      <c r="I9" s="2" t="s">
        <v>1207</v>
      </c>
      <c r="J9" s="2">
        <v>18</v>
      </c>
      <c r="K9" s="2">
        <v>3300000</v>
      </c>
      <c r="L9" s="2">
        <v>30600000</v>
      </c>
      <c r="M9" s="2">
        <v>4</v>
      </c>
      <c r="N9" s="2">
        <v>0</v>
      </c>
    </row>
    <row r="10" spans="1:14" x14ac:dyDescent="0.3">
      <c r="A10" s="2">
        <v>357</v>
      </c>
      <c r="B10" s="2" t="s">
        <v>675</v>
      </c>
      <c r="C10" s="3">
        <v>37365</v>
      </c>
      <c r="D10" s="2">
        <v>95</v>
      </c>
      <c r="E10" s="2" t="s">
        <v>38</v>
      </c>
      <c r="F10" s="2" t="s">
        <v>676</v>
      </c>
      <c r="G10" s="2" t="s">
        <v>677</v>
      </c>
      <c r="H10" s="2" t="s">
        <v>678</v>
      </c>
      <c r="I10" s="2" t="s">
        <v>19</v>
      </c>
      <c r="J10" s="2" t="s">
        <v>20</v>
      </c>
      <c r="K10" s="2">
        <v>5000000</v>
      </c>
      <c r="L10" s="2">
        <v>368700000</v>
      </c>
      <c r="M10" s="2">
        <v>1</v>
      </c>
      <c r="N10" s="2">
        <v>0</v>
      </c>
    </row>
    <row r="11" spans="1:14" x14ac:dyDescent="0.3">
      <c r="A11" s="2">
        <v>488</v>
      </c>
      <c r="B11" s="2" t="s">
        <v>886</v>
      </c>
      <c r="C11" s="3">
        <v>30057</v>
      </c>
      <c r="D11" s="2">
        <v>98</v>
      </c>
      <c r="E11" s="2" t="s">
        <v>38</v>
      </c>
      <c r="F11" s="2" t="s">
        <v>887</v>
      </c>
      <c r="G11" s="2" t="s">
        <v>888</v>
      </c>
      <c r="H11" s="2" t="s">
        <v>678</v>
      </c>
      <c r="I11" s="2" t="s">
        <v>19</v>
      </c>
      <c r="J11" s="2">
        <v>18</v>
      </c>
      <c r="K11" s="2">
        <v>25000000</v>
      </c>
      <c r="L11" s="2">
        <v>105000000</v>
      </c>
      <c r="M11" s="2">
        <v>0</v>
      </c>
      <c r="N11" s="2">
        <v>0</v>
      </c>
    </row>
    <row r="12" spans="1:14" x14ac:dyDescent="0.3">
      <c r="A12" s="2">
        <v>205</v>
      </c>
      <c r="B12" s="2" t="s">
        <v>419</v>
      </c>
      <c r="C12" s="3">
        <v>37553</v>
      </c>
      <c r="D12" s="2">
        <v>99</v>
      </c>
      <c r="E12" s="2" t="s">
        <v>200</v>
      </c>
      <c r="F12" s="2" t="s">
        <v>420</v>
      </c>
      <c r="G12" s="2" t="s">
        <v>421</v>
      </c>
      <c r="H12" s="2" t="s">
        <v>422</v>
      </c>
      <c r="I12" s="2" t="s">
        <v>423</v>
      </c>
      <c r="J12" s="2" t="s">
        <v>25</v>
      </c>
      <c r="K12" s="2">
        <v>31000000</v>
      </c>
      <c r="L12" s="2">
        <v>177394432</v>
      </c>
      <c r="M12" s="2">
        <v>1</v>
      </c>
      <c r="N12" s="2">
        <v>0</v>
      </c>
    </row>
    <row r="13" spans="1:14" x14ac:dyDescent="0.3">
      <c r="A13" s="2">
        <v>213</v>
      </c>
      <c r="B13" s="2" t="s">
        <v>435</v>
      </c>
      <c r="C13" s="3">
        <v>36713</v>
      </c>
      <c r="D13" s="2">
        <v>120</v>
      </c>
      <c r="E13" s="2" t="s">
        <v>200</v>
      </c>
      <c r="F13" s="2" t="s">
        <v>436</v>
      </c>
      <c r="G13" s="2" t="s">
        <v>437</v>
      </c>
      <c r="H13" s="2" t="s">
        <v>422</v>
      </c>
      <c r="I13" s="2" t="s">
        <v>423</v>
      </c>
      <c r="J13" s="2">
        <v>12</v>
      </c>
      <c r="K13" s="2">
        <v>17000000</v>
      </c>
      <c r="L13" s="2">
        <v>213525736</v>
      </c>
      <c r="M13" s="2">
        <v>10</v>
      </c>
      <c r="N13" s="2">
        <v>4</v>
      </c>
    </row>
    <row r="14" spans="1:14" x14ac:dyDescent="0.3">
      <c r="A14" s="2">
        <v>226</v>
      </c>
      <c r="B14" s="2" t="s">
        <v>459</v>
      </c>
      <c r="C14" s="3">
        <v>38126</v>
      </c>
      <c r="D14" s="2">
        <v>119</v>
      </c>
      <c r="E14" s="2" t="s">
        <v>200</v>
      </c>
      <c r="F14" s="2" t="s">
        <v>420</v>
      </c>
      <c r="G14" s="2" t="s">
        <v>437</v>
      </c>
      <c r="H14" s="2" t="s">
        <v>422</v>
      </c>
      <c r="I14" s="2" t="s">
        <v>423</v>
      </c>
      <c r="J14" s="2">
        <v>15</v>
      </c>
      <c r="K14" s="2">
        <v>12000000</v>
      </c>
      <c r="L14" s="2">
        <v>92863945</v>
      </c>
      <c r="M14" s="2">
        <v>1</v>
      </c>
      <c r="N14" s="2">
        <v>0</v>
      </c>
    </row>
    <row r="15" spans="1:14" x14ac:dyDescent="0.3">
      <c r="A15" s="2">
        <v>1138</v>
      </c>
      <c r="B15" s="2" t="s">
        <v>1197</v>
      </c>
      <c r="C15" s="3">
        <v>42408</v>
      </c>
      <c r="D15" s="2">
        <v>94</v>
      </c>
      <c r="E15" s="2" t="s">
        <v>52</v>
      </c>
      <c r="F15" s="2" t="s">
        <v>1198</v>
      </c>
      <c r="G15" s="2" t="s">
        <v>1199</v>
      </c>
      <c r="H15" s="2" t="s">
        <v>422</v>
      </c>
      <c r="I15" s="2" t="s">
        <v>423</v>
      </c>
      <c r="J15" s="2">
        <v>15</v>
      </c>
      <c r="K15" s="2">
        <v>60720000</v>
      </c>
      <c r="L15" s="2">
        <v>553800000</v>
      </c>
      <c r="M15" s="2">
        <v>0</v>
      </c>
      <c r="N15" s="2">
        <v>0</v>
      </c>
    </row>
    <row r="16" spans="1:14" x14ac:dyDescent="0.3">
      <c r="A16" s="2">
        <v>1229</v>
      </c>
      <c r="B16" s="2" t="s">
        <v>1290</v>
      </c>
      <c r="C16" s="3">
        <v>40450</v>
      </c>
      <c r="D16" s="2">
        <v>122</v>
      </c>
      <c r="E16" s="2" t="s">
        <v>15</v>
      </c>
      <c r="F16" s="2" t="s">
        <v>1256</v>
      </c>
      <c r="G16" s="2" t="s">
        <v>1289</v>
      </c>
      <c r="H16" s="2" t="s">
        <v>422</v>
      </c>
      <c r="I16" s="2" t="s">
        <v>423</v>
      </c>
      <c r="J16" s="2">
        <v>12</v>
      </c>
      <c r="K16" s="2">
        <v>20000000</v>
      </c>
      <c r="L16" s="2">
        <v>51700000</v>
      </c>
      <c r="M16" s="2">
        <v>0</v>
      </c>
      <c r="N16" s="2">
        <v>0</v>
      </c>
    </row>
    <row r="17" spans="1:14" x14ac:dyDescent="0.3">
      <c r="A17" s="2">
        <v>1230</v>
      </c>
      <c r="B17" s="2" t="s">
        <v>1291</v>
      </c>
      <c r="C17" s="3">
        <v>40892</v>
      </c>
      <c r="D17" s="2">
        <v>125</v>
      </c>
      <c r="E17" s="2" t="s">
        <v>200</v>
      </c>
      <c r="F17" s="2" t="s">
        <v>1256</v>
      </c>
      <c r="G17" s="2" t="s">
        <v>1289</v>
      </c>
      <c r="H17" s="2" t="s">
        <v>422</v>
      </c>
      <c r="I17" s="2" t="s">
        <v>423</v>
      </c>
      <c r="J17" s="2">
        <v>15</v>
      </c>
      <c r="K17" s="2">
        <v>35000000</v>
      </c>
      <c r="L17" s="2">
        <v>100000000</v>
      </c>
      <c r="M17" s="2">
        <v>0</v>
      </c>
      <c r="N17" s="2">
        <v>0</v>
      </c>
    </row>
    <row r="18" spans="1:14" x14ac:dyDescent="0.3">
      <c r="A18" s="2">
        <v>1237</v>
      </c>
      <c r="B18" s="2" t="s">
        <v>1297</v>
      </c>
      <c r="C18" s="3">
        <v>39639</v>
      </c>
      <c r="D18" s="2">
        <v>146</v>
      </c>
      <c r="E18" s="2" t="s">
        <v>45</v>
      </c>
      <c r="F18" s="2" t="s">
        <v>135</v>
      </c>
      <c r="G18" s="2" t="s">
        <v>1199</v>
      </c>
      <c r="H18" s="2" t="s">
        <v>422</v>
      </c>
      <c r="I18" s="2" t="s">
        <v>423</v>
      </c>
      <c r="J18" s="2">
        <v>15</v>
      </c>
      <c r="K18" s="2">
        <v>80000000</v>
      </c>
      <c r="L18" s="2">
        <v>124000000</v>
      </c>
      <c r="M18" s="2">
        <v>0</v>
      </c>
      <c r="N18" s="2">
        <v>0</v>
      </c>
    </row>
    <row r="19" spans="1:14" x14ac:dyDescent="0.3">
      <c r="A19" s="2">
        <v>1238</v>
      </c>
      <c r="B19" s="2" t="s">
        <v>1298</v>
      </c>
      <c r="C19" s="3">
        <v>39820</v>
      </c>
      <c r="D19" s="2">
        <v>142</v>
      </c>
      <c r="E19" s="2" t="s">
        <v>45</v>
      </c>
      <c r="F19" s="2" t="s">
        <v>135</v>
      </c>
      <c r="G19" s="2" t="s">
        <v>1199</v>
      </c>
      <c r="H19" s="2" t="s">
        <v>422</v>
      </c>
      <c r="I19" s="2" t="s">
        <v>423</v>
      </c>
      <c r="J19" s="2">
        <v>15</v>
      </c>
      <c r="K19" s="2">
        <v>80000000</v>
      </c>
      <c r="L19" s="2">
        <v>124300000</v>
      </c>
      <c r="M19" s="2">
        <v>0</v>
      </c>
      <c r="N19" s="2">
        <v>0</v>
      </c>
    </row>
    <row r="20" spans="1:14" x14ac:dyDescent="0.3">
      <c r="A20" s="2">
        <v>1474</v>
      </c>
      <c r="B20" s="2" t="s">
        <v>1574</v>
      </c>
      <c r="C20" s="3">
        <v>41416</v>
      </c>
      <c r="D20" s="2">
        <v>90</v>
      </c>
      <c r="E20" s="2" t="s">
        <v>84</v>
      </c>
      <c r="F20" s="2" t="s">
        <v>1570</v>
      </c>
      <c r="G20" s="2" t="s">
        <v>195</v>
      </c>
      <c r="H20" s="2" t="s">
        <v>1575</v>
      </c>
      <c r="I20" s="2" t="s">
        <v>19</v>
      </c>
      <c r="J20" s="2">
        <v>18</v>
      </c>
      <c r="K20" s="2">
        <v>4800000</v>
      </c>
      <c r="L20" s="2">
        <v>10300000</v>
      </c>
      <c r="M20" s="2">
        <v>0</v>
      </c>
      <c r="N20" s="2">
        <v>0</v>
      </c>
    </row>
    <row r="21" spans="1:14" x14ac:dyDescent="0.3">
      <c r="A21" s="2">
        <v>72</v>
      </c>
      <c r="B21" s="2" t="s">
        <v>193</v>
      </c>
      <c r="C21" s="3">
        <v>35557</v>
      </c>
      <c r="D21" s="2">
        <v>127</v>
      </c>
      <c r="E21" s="2" t="s">
        <v>49</v>
      </c>
      <c r="F21" s="2" t="s">
        <v>194</v>
      </c>
      <c r="G21" s="2" t="s">
        <v>195</v>
      </c>
      <c r="H21" s="2" t="s">
        <v>196</v>
      </c>
      <c r="I21" s="2" t="s">
        <v>19</v>
      </c>
      <c r="J21" s="2" t="s">
        <v>20</v>
      </c>
      <c r="K21" s="2">
        <v>90000000</v>
      </c>
      <c r="L21" s="2">
        <v>263920180</v>
      </c>
      <c r="M21" s="2">
        <v>1</v>
      </c>
      <c r="N21" s="2">
        <v>0</v>
      </c>
    </row>
    <row r="22" spans="1:14" x14ac:dyDescent="0.3">
      <c r="A22" s="2">
        <v>207</v>
      </c>
      <c r="B22" s="2" t="s">
        <v>427</v>
      </c>
      <c r="C22" s="3">
        <v>34591</v>
      </c>
      <c r="D22" s="2">
        <v>110</v>
      </c>
      <c r="E22" s="2" t="s">
        <v>84</v>
      </c>
      <c r="F22" s="2" t="s">
        <v>194</v>
      </c>
      <c r="G22" s="2" t="s">
        <v>195</v>
      </c>
      <c r="H22" s="2" t="s">
        <v>196</v>
      </c>
      <c r="I22" s="2" t="s">
        <v>19</v>
      </c>
      <c r="J22" s="2">
        <v>18</v>
      </c>
      <c r="K22" s="2">
        <v>16000000</v>
      </c>
      <c r="L22" s="2">
        <v>45284974</v>
      </c>
      <c r="M22" s="2">
        <v>0</v>
      </c>
      <c r="N22" s="2">
        <v>0</v>
      </c>
    </row>
    <row r="23" spans="1:14" x14ac:dyDescent="0.3">
      <c r="A23" s="2">
        <v>231</v>
      </c>
      <c r="B23" s="2" t="s">
        <v>465</v>
      </c>
      <c r="C23" s="3">
        <v>37006</v>
      </c>
      <c r="D23" s="2">
        <v>123</v>
      </c>
      <c r="E23" s="2" t="s">
        <v>38</v>
      </c>
      <c r="F23" s="2" t="s">
        <v>466</v>
      </c>
      <c r="G23" s="2" t="s">
        <v>467</v>
      </c>
      <c r="H23" s="2" t="s">
        <v>196</v>
      </c>
      <c r="I23" s="2" t="s">
        <v>468</v>
      </c>
      <c r="J23" s="2">
        <v>15</v>
      </c>
      <c r="K23" s="2">
        <v>10000000</v>
      </c>
      <c r="L23" s="2">
        <v>173921954</v>
      </c>
      <c r="M23" s="2">
        <v>5</v>
      </c>
      <c r="N23" s="2">
        <v>0</v>
      </c>
    </row>
    <row r="24" spans="1:14" x14ac:dyDescent="0.3">
      <c r="A24" s="2">
        <v>1205</v>
      </c>
      <c r="B24" s="2" t="s">
        <v>1262</v>
      </c>
      <c r="C24" s="3">
        <v>37078</v>
      </c>
      <c r="D24" s="2">
        <v>98</v>
      </c>
      <c r="E24" s="2" t="s">
        <v>22</v>
      </c>
      <c r="F24" s="2" t="s">
        <v>1263</v>
      </c>
      <c r="G24" s="2" t="s">
        <v>1264</v>
      </c>
      <c r="H24" s="2" t="s">
        <v>196</v>
      </c>
      <c r="I24" s="2" t="s">
        <v>19</v>
      </c>
      <c r="J24" s="2">
        <v>18</v>
      </c>
      <c r="K24" s="2">
        <v>25000000</v>
      </c>
      <c r="L24" s="2">
        <v>64400000</v>
      </c>
      <c r="M24" s="2">
        <v>0</v>
      </c>
      <c r="N24" s="2">
        <v>0</v>
      </c>
    </row>
    <row r="25" spans="1:14" x14ac:dyDescent="0.3">
      <c r="A25" s="2">
        <v>1207</v>
      </c>
      <c r="B25" s="2" t="s">
        <v>1266</v>
      </c>
      <c r="C25" s="3">
        <v>38385</v>
      </c>
      <c r="D25" s="2">
        <v>102</v>
      </c>
      <c r="E25" s="2" t="s">
        <v>200</v>
      </c>
      <c r="F25" s="2" t="s">
        <v>1267</v>
      </c>
      <c r="G25" s="2" t="s">
        <v>1268</v>
      </c>
      <c r="H25" s="2" t="s">
        <v>196</v>
      </c>
      <c r="I25" s="2" t="s">
        <v>19</v>
      </c>
      <c r="J25" s="2">
        <v>18</v>
      </c>
      <c r="K25" s="2">
        <v>45000000</v>
      </c>
      <c r="L25" s="2">
        <v>50900000</v>
      </c>
      <c r="M25" s="2">
        <v>0</v>
      </c>
      <c r="N25" s="2">
        <v>0</v>
      </c>
    </row>
    <row r="26" spans="1:14" x14ac:dyDescent="0.3">
      <c r="A26" s="2">
        <v>1220</v>
      </c>
      <c r="B26" s="2" t="s">
        <v>1284</v>
      </c>
      <c r="C26" s="3">
        <v>37531</v>
      </c>
      <c r="D26" s="2">
        <v>92</v>
      </c>
      <c r="E26" s="2" t="s">
        <v>22</v>
      </c>
      <c r="F26" s="2" t="s">
        <v>1267</v>
      </c>
      <c r="G26" s="2" t="s">
        <v>1268</v>
      </c>
      <c r="H26" s="2" t="s">
        <v>196</v>
      </c>
      <c r="I26" s="2" t="s">
        <v>19</v>
      </c>
      <c r="J26" s="2">
        <v>15</v>
      </c>
      <c r="K26" s="2">
        <v>24000000</v>
      </c>
      <c r="L26" s="2">
        <v>43900000</v>
      </c>
      <c r="M26" s="2">
        <v>0</v>
      </c>
      <c r="N26" s="2">
        <v>0</v>
      </c>
    </row>
    <row r="27" spans="1:14" x14ac:dyDescent="0.3">
      <c r="A27" s="2">
        <v>1221</v>
      </c>
      <c r="B27" s="2" t="s">
        <v>1285</v>
      </c>
      <c r="C27" s="3">
        <v>38567</v>
      </c>
      <c r="D27" s="2">
        <v>88</v>
      </c>
      <c r="E27" s="2" t="s">
        <v>22</v>
      </c>
      <c r="F27" s="2" t="s">
        <v>1267</v>
      </c>
      <c r="G27" s="2" t="s">
        <v>1268</v>
      </c>
      <c r="H27" s="2" t="s">
        <v>196</v>
      </c>
      <c r="I27" s="2" t="s">
        <v>19</v>
      </c>
      <c r="J27" s="2">
        <v>15</v>
      </c>
      <c r="K27" s="2">
        <v>32000000</v>
      </c>
      <c r="L27" s="2">
        <v>85160000</v>
      </c>
      <c r="M27" s="2">
        <v>0</v>
      </c>
      <c r="N27" s="2">
        <v>0</v>
      </c>
    </row>
    <row r="28" spans="1:14" x14ac:dyDescent="0.3">
      <c r="A28" s="2">
        <v>1301</v>
      </c>
      <c r="B28" s="2" t="s">
        <v>1350</v>
      </c>
      <c r="C28" s="3">
        <v>38301</v>
      </c>
      <c r="D28" s="2">
        <v>86</v>
      </c>
      <c r="E28" s="2" t="s">
        <v>22</v>
      </c>
      <c r="F28" s="2" t="s">
        <v>1351</v>
      </c>
      <c r="G28" s="2" t="s">
        <v>1268</v>
      </c>
      <c r="H28" s="2" t="s">
        <v>196</v>
      </c>
      <c r="I28" s="2" t="s">
        <v>468</v>
      </c>
      <c r="J28" s="2">
        <v>15</v>
      </c>
      <c r="K28" s="2">
        <v>12000000</v>
      </c>
      <c r="L28" s="2">
        <v>12000000</v>
      </c>
      <c r="M28" s="2">
        <v>0</v>
      </c>
      <c r="N28" s="2">
        <v>0</v>
      </c>
    </row>
    <row r="29" spans="1:14" x14ac:dyDescent="0.3">
      <c r="A29" s="2">
        <v>1302</v>
      </c>
      <c r="B29" s="2" t="s">
        <v>1352</v>
      </c>
      <c r="C29" s="3">
        <v>39862</v>
      </c>
      <c r="D29" s="2">
        <v>106</v>
      </c>
      <c r="E29" s="2" t="s">
        <v>22</v>
      </c>
      <c r="F29" s="2" t="s">
        <v>1353</v>
      </c>
      <c r="G29" s="2" t="s">
        <v>1268</v>
      </c>
      <c r="H29" s="2" t="s">
        <v>196</v>
      </c>
      <c r="I29" s="2" t="s">
        <v>468</v>
      </c>
      <c r="J29" s="2">
        <v>15</v>
      </c>
      <c r="K29" s="2">
        <v>13600000</v>
      </c>
      <c r="L29" s="2">
        <v>14100000</v>
      </c>
      <c r="M29" s="2">
        <v>0</v>
      </c>
      <c r="N29" s="2">
        <v>0</v>
      </c>
    </row>
    <row r="30" spans="1:14" x14ac:dyDescent="0.3">
      <c r="A30" s="2">
        <v>1303</v>
      </c>
      <c r="B30" s="2" t="s">
        <v>1354</v>
      </c>
      <c r="C30" s="3">
        <v>39505</v>
      </c>
      <c r="D30" s="2">
        <v>90</v>
      </c>
      <c r="E30" s="2" t="s">
        <v>84</v>
      </c>
      <c r="F30" s="2" t="s">
        <v>1351</v>
      </c>
      <c r="G30" s="2" t="s">
        <v>1268</v>
      </c>
      <c r="H30" s="2" t="s">
        <v>196</v>
      </c>
      <c r="I30" s="2" t="s">
        <v>19</v>
      </c>
      <c r="J30" s="2">
        <v>18</v>
      </c>
      <c r="K30" s="2">
        <v>22000000</v>
      </c>
      <c r="L30" s="2">
        <v>226800000</v>
      </c>
      <c r="M30" s="2">
        <v>0</v>
      </c>
      <c r="N30" s="2">
        <v>0</v>
      </c>
    </row>
    <row r="31" spans="1:14" x14ac:dyDescent="0.3">
      <c r="A31" s="2">
        <v>1304</v>
      </c>
      <c r="B31" s="2" t="s">
        <v>1355</v>
      </c>
      <c r="C31" s="3">
        <v>40214</v>
      </c>
      <c r="D31" s="2">
        <v>92</v>
      </c>
      <c r="E31" s="2" t="s">
        <v>84</v>
      </c>
      <c r="F31" s="2" t="s">
        <v>1351</v>
      </c>
      <c r="G31" s="2" t="s">
        <v>1268</v>
      </c>
      <c r="H31" s="2" t="s">
        <v>196</v>
      </c>
      <c r="I31" s="2" t="s">
        <v>19</v>
      </c>
      <c r="J31" s="2">
        <v>15</v>
      </c>
      <c r="K31" s="2">
        <v>52000000</v>
      </c>
      <c r="L31" s="2">
        <v>52800000</v>
      </c>
      <c r="M31" s="2">
        <v>0</v>
      </c>
      <c r="N31" s="2">
        <v>0</v>
      </c>
    </row>
    <row r="32" spans="1:14" x14ac:dyDescent="0.3">
      <c r="A32" s="2">
        <v>1309</v>
      </c>
      <c r="B32" s="2" t="s">
        <v>1360</v>
      </c>
      <c r="C32" s="3">
        <v>39949</v>
      </c>
      <c r="D32" s="2">
        <v>155</v>
      </c>
      <c r="E32" s="2" t="s">
        <v>150</v>
      </c>
      <c r="F32" s="2" t="s">
        <v>1361</v>
      </c>
      <c r="G32" s="2" t="s">
        <v>1362</v>
      </c>
      <c r="H32" s="2" t="s">
        <v>196</v>
      </c>
      <c r="I32" s="2" t="s">
        <v>468</v>
      </c>
      <c r="J32" s="2">
        <v>18</v>
      </c>
      <c r="K32" s="2">
        <v>13000000</v>
      </c>
      <c r="L32" s="2">
        <v>17900000</v>
      </c>
      <c r="M32" s="2">
        <v>0</v>
      </c>
      <c r="N32" s="2">
        <v>0</v>
      </c>
    </row>
    <row r="33" spans="1:14" x14ac:dyDescent="0.3">
      <c r="A33" s="2">
        <v>1331</v>
      </c>
      <c r="B33" s="2" t="s">
        <v>1393</v>
      </c>
      <c r="C33" s="3">
        <v>40170</v>
      </c>
      <c r="D33" s="2">
        <v>104</v>
      </c>
      <c r="E33" s="2" t="s">
        <v>15</v>
      </c>
      <c r="F33" s="2" t="s">
        <v>1394</v>
      </c>
      <c r="G33" s="2" t="s">
        <v>174</v>
      </c>
      <c r="H33" s="2" t="s">
        <v>196</v>
      </c>
      <c r="I33" s="2" t="s">
        <v>19</v>
      </c>
      <c r="J33" s="2">
        <v>15</v>
      </c>
      <c r="K33" s="2">
        <v>40000000</v>
      </c>
      <c r="L33" s="2">
        <v>19400000</v>
      </c>
      <c r="M33" s="2">
        <v>0</v>
      </c>
      <c r="N33" s="2">
        <v>0</v>
      </c>
    </row>
    <row r="34" spans="1:14" x14ac:dyDescent="0.3">
      <c r="A34" s="2">
        <v>1365</v>
      </c>
      <c r="B34" s="2" t="s">
        <v>1441</v>
      </c>
      <c r="C34" s="3">
        <v>41682</v>
      </c>
      <c r="D34" s="2">
        <v>117</v>
      </c>
      <c r="E34" s="2" t="s">
        <v>84</v>
      </c>
      <c r="F34" s="2" t="s">
        <v>1416</v>
      </c>
      <c r="G34" s="2" t="s">
        <v>1268</v>
      </c>
      <c r="H34" s="2" t="s">
        <v>196</v>
      </c>
      <c r="I34" s="2" t="s">
        <v>19</v>
      </c>
      <c r="J34" s="2" t="s">
        <v>25</v>
      </c>
      <c r="K34" s="2">
        <v>28000000</v>
      </c>
      <c r="L34" s="2">
        <v>52600000</v>
      </c>
      <c r="M34" s="2">
        <v>0</v>
      </c>
      <c r="N34" s="2">
        <v>0</v>
      </c>
    </row>
    <row r="35" spans="1:14" x14ac:dyDescent="0.3">
      <c r="A35" s="2">
        <v>223</v>
      </c>
      <c r="B35" s="2" t="s">
        <v>451</v>
      </c>
      <c r="C35" s="3">
        <v>38246</v>
      </c>
      <c r="D35" s="2">
        <v>155</v>
      </c>
      <c r="E35" s="2" t="s">
        <v>45</v>
      </c>
      <c r="F35" s="2" t="s">
        <v>452</v>
      </c>
      <c r="G35" s="2" t="s">
        <v>453</v>
      </c>
      <c r="H35" s="2" t="s">
        <v>454</v>
      </c>
      <c r="I35" s="2" t="s">
        <v>455</v>
      </c>
      <c r="J35" s="2">
        <v>15</v>
      </c>
      <c r="K35" s="2">
        <v>13500000</v>
      </c>
      <c r="L35" s="2">
        <v>72649179</v>
      </c>
      <c r="M35" s="2">
        <v>1</v>
      </c>
      <c r="N35" s="2">
        <v>0</v>
      </c>
    </row>
    <row r="36" spans="1:14" x14ac:dyDescent="0.3">
      <c r="A36" s="2">
        <v>227</v>
      </c>
      <c r="B36" s="2" t="s">
        <v>460</v>
      </c>
      <c r="C36" s="3">
        <v>29846</v>
      </c>
      <c r="D36" s="2">
        <v>149</v>
      </c>
      <c r="E36" s="2" t="s">
        <v>45</v>
      </c>
      <c r="F36" s="2" t="s">
        <v>74</v>
      </c>
      <c r="G36" s="2" t="s">
        <v>461</v>
      </c>
      <c r="H36" s="2" t="s">
        <v>454</v>
      </c>
      <c r="I36" s="2" t="s">
        <v>455</v>
      </c>
      <c r="J36" s="2">
        <v>15</v>
      </c>
      <c r="K36" s="2">
        <v>12000000</v>
      </c>
      <c r="L36" s="2">
        <v>84970337</v>
      </c>
      <c r="M36" s="2">
        <v>6</v>
      </c>
      <c r="N36" s="2">
        <v>0</v>
      </c>
    </row>
    <row r="37" spans="1:14" x14ac:dyDescent="0.3">
      <c r="A37" s="2">
        <v>255</v>
      </c>
      <c r="B37" s="2" t="s">
        <v>506</v>
      </c>
      <c r="C37" s="3">
        <v>38799</v>
      </c>
      <c r="D37" s="2">
        <v>137</v>
      </c>
      <c r="E37" s="2" t="s">
        <v>190</v>
      </c>
      <c r="F37" s="2" t="s">
        <v>507</v>
      </c>
      <c r="G37" s="2" t="s">
        <v>508</v>
      </c>
      <c r="H37" s="2" t="s">
        <v>454</v>
      </c>
      <c r="I37" s="2" t="s">
        <v>455</v>
      </c>
      <c r="J37" s="2">
        <v>15</v>
      </c>
      <c r="K37" s="2">
        <v>2000000</v>
      </c>
      <c r="L37" s="2">
        <v>77356942</v>
      </c>
      <c r="M37" s="2">
        <v>1</v>
      </c>
      <c r="N37" s="2">
        <v>1</v>
      </c>
    </row>
    <row r="38" spans="1:14" x14ac:dyDescent="0.3">
      <c r="A38" s="2">
        <v>1462</v>
      </c>
      <c r="B38" s="2" t="s">
        <v>1556</v>
      </c>
      <c r="C38" s="3">
        <v>38772</v>
      </c>
      <c r="D38" s="2">
        <v>110</v>
      </c>
      <c r="E38" s="2" t="s">
        <v>150</v>
      </c>
      <c r="F38" s="2" t="s">
        <v>1557</v>
      </c>
      <c r="G38" s="2" t="s">
        <v>834</v>
      </c>
      <c r="H38" s="2" t="s">
        <v>454</v>
      </c>
      <c r="I38" s="2" t="s">
        <v>19</v>
      </c>
      <c r="J38" s="2">
        <v>18</v>
      </c>
      <c r="K38" s="2">
        <v>27000000</v>
      </c>
      <c r="L38" s="2">
        <v>56300000</v>
      </c>
      <c r="M38" s="2">
        <v>0</v>
      </c>
      <c r="N38" s="2">
        <v>0</v>
      </c>
    </row>
    <row r="39" spans="1:14" x14ac:dyDescent="0.3">
      <c r="A39" s="2">
        <v>1675</v>
      </c>
      <c r="B39" s="2" t="s">
        <v>1799</v>
      </c>
      <c r="C39" s="3">
        <v>30778</v>
      </c>
      <c r="D39" s="2">
        <v>93</v>
      </c>
      <c r="E39" s="2" t="s">
        <v>52</v>
      </c>
      <c r="F39" s="2" t="s">
        <v>74</v>
      </c>
      <c r="G39" s="2" t="s">
        <v>461</v>
      </c>
      <c r="H39" s="2" t="s">
        <v>454</v>
      </c>
      <c r="I39" s="2" t="s">
        <v>19</v>
      </c>
      <c r="J39" s="2" t="s">
        <v>63</v>
      </c>
      <c r="K39" s="2">
        <v>27000000</v>
      </c>
      <c r="L39" s="2">
        <v>100000000</v>
      </c>
      <c r="M39" s="2">
        <v>0</v>
      </c>
      <c r="N39" s="2">
        <v>0</v>
      </c>
    </row>
    <row r="40" spans="1:14" x14ac:dyDescent="0.3">
      <c r="A40" s="2">
        <v>238</v>
      </c>
      <c r="B40" s="2" t="s">
        <v>476</v>
      </c>
      <c r="C40" s="3">
        <v>34720</v>
      </c>
      <c r="D40" s="2">
        <v>106</v>
      </c>
      <c r="E40" s="2" t="s">
        <v>200</v>
      </c>
      <c r="F40" s="2" t="s">
        <v>477</v>
      </c>
      <c r="G40" s="2" t="s">
        <v>478</v>
      </c>
      <c r="H40" s="2" t="s">
        <v>479</v>
      </c>
      <c r="I40" s="2" t="s">
        <v>480</v>
      </c>
      <c r="J40" s="2">
        <v>15</v>
      </c>
      <c r="K40" s="2">
        <v>7500000</v>
      </c>
      <c r="L40" s="2">
        <v>32392047</v>
      </c>
      <c r="M40" s="2">
        <v>0</v>
      </c>
      <c r="N40" s="2">
        <v>0</v>
      </c>
    </row>
    <row r="41" spans="1:14" x14ac:dyDescent="0.3">
      <c r="A41" s="2">
        <v>1167</v>
      </c>
      <c r="B41" s="2" t="s">
        <v>1241</v>
      </c>
      <c r="C41" s="3">
        <v>26209</v>
      </c>
      <c r="D41" s="2">
        <v>110</v>
      </c>
      <c r="E41" s="2" t="s">
        <v>200</v>
      </c>
      <c r="F41" s="2" t="s">
        <v>1242</v>
      </c>
      <c r="G41" s="2" t="s">
        <v>478</v>
      </c>
      <c r="H41" s="2" t="s">
        <v>479</v>
      </c>
      <c r="I41" s="2" t="s">
        <v>480</v>
      </c>
      <c r="J41" s="2">
        <v>18</v>
      </c>
      <c r="K41" s="2">
        <v>100000</v>
      </c>
      <c r="L41" s="2">
        <v>2800000</v>
      </c>
      <c r="M41" s="2">
        <v>0</v>
      </c>
      <c r="N41" s="2">
        <v>0</v>
      </c>
    </row>
    <row r="42" spans="1:14" x14ac:dyDescent="0.3">
      <c r="A42" s="2">
        <v>1168</v>
      </c>
      <c r="B42" s="2" t="s">
        <v>1243</v>
      </c>
      <c r="C42" s="3">
        <v>26380</v>
      </c>
      <c r="D42" s="2">
        <v>108</v>
      </c>
      <c r="E42" s="2" t="s">
        <v>200</v>
      </c>
      <c r="F42" s="2" t="s">
        <v>1242</v>
      </c>
      <c r="G42" s="2" t="s">
        <v>478</v>
      </c>
      <c r="H42" s="2" t="s">
        <v>479</v>
      </c>
      <c r="I42" s="2" t="s">
        <v>423</v>
      </c>
      <c r="J42" s="2">
        <v>18</v>
      </c>
      <c r="K42" s="2">
        <v>100000</v>
      </c>
      <c r="L42" s="2">
        <v>3400000</v>
      </c>
      <c r="M42" s="2">
        <v>0</v>
      </c>
      <c r="N42" s="2">
        <v>0</v>
      </c>
    </row>
    <row r="43" spans="1:14" x14ac:dyDescent="0.3">
      <c r="A43" s="2">
        <v>1169</v>
      </c>
      <c r="B43" s="2" t="s">
        <v>1244</v>
      </c>
      <c r="C43" s="3">
        <v>26663</v>
      </c>
      <c r="D43" s="2">
        <v>100</v>
      </c>
      <c r="E43" s="2" t="s">
        <v>200</v>
      </c>
      <c r="F43" s="2" t="s">
        <v>1245</v>
      </c>
      <c r="G43" s="2" t="s">
        <v>478</v>
      </c>
      <c r="H43" s="2" t="s">
        <v>479</v>
      </c>
      <c r="I43" s="2" t="s">
        <v>423</v>
      </c>
      <c r="J43" s="2">
        <v>18</v>
      </c>
      <c r="K43" s="2">
        <v>130000</v>
      </c>
      <c r="L43" s="2">
        <v>5200000</v>
      </c>
      <c r="M43" s="2">
        <v>0</v>
      </c>
      <c r="N43" s="2">
        <v>0</v>
      </c>
    </row>
    <row r="44" spans="1:14" x14ac:dyDescent="0.3">
      <c r="A44" s="2">
        <v>1170</v>
      </c>
      <c r="B44" s="2" t="s">
        <v>1246</v>
      </c>
      <c r="C44" s="3">
        <v>28572</v>
      </c>
      <c r="D44" s="2">
        <v>85</v>
      </c>
      <c r="E44" s="2" t="s">
        <v>200</v>
      </c>
      <c r="F44" s="2" t="s">
        <v>1247</v>
      </c>
      <c r="G44" s="2" t="s">
        <v>478</v>
      </c>
      <c r="H44" s="2" t="s">
        <v>479</v>
      </c>
      <c r="I44" s="2" t="s">
        <v>480</v>
      </c>
      <c r="J44" s="2">
        <v>18</v>
      </c>
      <c r="K44" s="2">
        <v>850000</v>
      </c>
      <c r="L44" s="2">
        <v>850000</v>
      </c>
      <c r="M44" s="2">
        <v>0</v>
      </c>
      <c r="N44" s="2">
        <v>0</v>
      </c>
    </row>
    <row r="45" spans="1:14" x14ac:dyDescent="0.3">
      <c r="A45" s="2">
        <v>1171</v>
      </c>
      <c r="B45" s="2" t="s">
        <v>1248</v>
      </c>
      <c r="C45" s="3">
        <v>26871</v>
      </c>
      <c r="D45" s="2">
        <v>102</v>
      </c>
      <c r="E45" s="2" t="s">
        <v>200</v>
      </c>
      <c r="F45" s="2" t="s">
        <v>1247</v>
      </c>
      <c r="G45" s="2" t="s">
        <v>130</v>
      </c>
      <c r="H45" s="2" t="s">
        <v>479</v>
      </c>
      <c r="I45" s="2" t="s">
        <v>19</v>
      </c>
      <c r="J45" s="2">
        <v>18</v>
      </c>
      <c r="K45" s="2">
        <v>850000</v>
      </c>
      <c r="L45" s="2">
        <v>22000000</v>
      </c>
      <c r="M45" s="2">
        <v>0</v>
      </c>
      <c r="N45" s="2">
        <v>0</v>
      </c>
    </row>
    <row r="46" spans="1:14" x14ac:dyDescent="0.3">
      <c r="A46" s="2">
        <v>1195</v>
      </c>
      <c r="B46" s="2" t="s">
        <v>1255</v>
      </c>
      <c r="C46" s="3">
        <v>33789</v>
      </c>
      <c r="D46" s="2">
        <v>95</v>
      </c>
      <c r="E46" s="2" t="s">
        <v>200</v>
      </c>
      <c r="F46" s="2" t="s">
        <v>477</v>
      </c>
      <c r="G46" s="2" t="s">
        <v>478</v>
      </c>
      <c r="H46" s="2" t="s">
        <v>479</v>
      </c>
      <c r="I46" s="2" t="s">
        <v>480</v>
      </c>
      <c r="J46" s="2">
        <v>15</v>
      </c>
      <c r="K46" s="2">
        <v>900000</v>
      </c>
      <c r="L46" s="2">
        <v>16250000</v>
      </c>
      <c r="M46" s="2">
        <v>0</v>
      </c>
      <c r="N46" s="2">
        <v>0</v>
      </c>
    </row>
    <row r="47" spans="1:14" x14ac:dyDescent="0.3">
      <c r="A47" s="2">
        <v>1197</v>
      </c>
      <c r="B47" s="2" t="s">
        <v>1257</v>
      </c>
      <c r="C47" s="3">
        <v>33618</v>
      </c>
      <c r="D47" s="2">
        <v>104</v>
      </c>
      <c r="E47" s="2" t="s">
        <v>200</v>
      </c>
      <c r="F47" s="2" t="s">
        <v>1256</v>
      </c>
      <c r="G47" s="2" t="s">
        <v>478</v>
      </c>
      <c r="H47" s="2" t="s">
        <v>479</v>
      </c>
      <c r="I47" s="2" t="s">
        <v>480</v>
      </c>
      <c r="J47" s="2">
        <v>12</v>
      </c>
      <c r="K47" s="2">
        <v>10000000</v>
      </c>
      <c r="L47" s="2">
        <v>11000000</v>
      </c>
      <c r="M47" s="2">
        <v>0</v>
      </c>
      <c r="N47" s="2">
        <v>0</v>
      </c>
    </row>
    <row r="48" spans="1:14" x14ac:dyDescent="0.3">
      <c r="A48" s="2">
        <v>1209</v>
      </c>
      <c r="B48" s="2" t="s">
        <v>1269</v>
      </c>
      <c r="C48" s="3">
        <v>39428</v>
      </c>
      <c r="D48" s="2">
        <v>127</v>
      </c>
      <c r="E48" s="2" t="s">
        <v>45</v>
      </c>
      <c r="F48" s="2" t="s">
        <v>1270</v>
      </c>
      <c r="G48" s="2" t="s">
        <v>1199</v>
      </c>
      <c r="H48" s="2" t="s">
        <v>479</v>
      </c>
      <c r="I48" s="2" t="s">
        <v>423</v>
      </c>
      <c r="J48" s="2">
        <v>15</v>
      </c>
      <c r="K48" s="2">
        <v>40000000</v>
      </c>
      <c r="L48" s="2">
        <v>40000000</v>
      </c>
      <c r="M48" s="2">
        <v>0</v>
      </c>
      <c r="N48" s="2">
        <v>0</v>
      </c>
    </row>
    <row r="49" spans="1:14" x14ac:dyDescent="0.3">
      <c r="A49" s="2">
        <v>1210</v>
      </c>
      <c r="B49" s="2" t="s">
        <v>1271</v>
      </c>
      <c r="C49" s="3">
        <v>40676</v>
      </c>
      <c r="D49" s="2">
        <v>116</v>
      </c>
      <c r="E49" s="2" t="s">
        <v>200</v>
      </c>
      <c r="F49" s="2" t="s">
        <v>1270</v>
      </c>
      <c r="G49" s="2" t="s">
        <v>1272</v>
      </c>
      <c r="H49" s="2" t="s">
        <v>479</v>
      </c>
      <c r="I49" s="2" t="s">
        <v>423</v>
      </c>
      <c r="J49" s="2">
        <v>15</v>
      </c>
      <c r="K49" s="2">
        <v>20000000</v>
      </c>
      <c r="L49" s="2">
        <v>29100000</v>
      </c>
      <c r="M49" s="2">
        <v>0</v>
      </c>
      <c r="N49" s="2">
        <v>0</v>
      </c>
    </row>
    <row r="50" spans="1:14" x14ac:dyDescent="0.3">
      <c r="A50" s="2">
        <v>1228</v>
      </c>
      <c r="B50" s="2" t="s">
        <v>1288</v>
      </c>
      <c r="C50" s="3">
        <v>38562</v>
      </c>
      <c r="D50" s="2">
        <v>153</v>
      </c>
      <c r="E50" s="2" t="s">
        <v>200</v>
      </c>
      <c r="F50" s="2" t="s">
        <v>1256</v>
      </c>
      <c r="G50" s="2" t="s">
        <v>1289</v>
      </c>
      <c r="H50" s="2" t="s">
        <v>479</v>
      </c>
      <c r="I50" s="2" t="s">
        <v>423</v>
      </c>
      <c r="J50" s="2">
        <v>15</v>
      </c>
      <c r="K50" s="2">
        <v>18000000</v>
      </c>
      <c r="L50" s="2">
        <v>18000000</v>
      </c>
      <c r="M50" s="2">
        <v>0</v>
      </c>
      <c r="N50" s="2">
        <v>0</v>
      </c>
    </row>
    <row r="51" spans="1:14" x14ac:dyDescent="0.3">
      <c r="A51" s="2">
        <v>1232</v>
      </c>
      <c r="B51" s="2" t="s">
        <v>1292</v>
      </c>
      <c r="C51" s="3">
        <v>33710</v>
      </c>
      <c r="D51" s="2">
        <v>128</v>
      </c>
      <c r="E51" s="2" t="s">
        <v>22</v>
      </c>
      <c r="F51" s="2" t="s">
        <v>135</v>
      </c>
      <c r="G51" s="2" t="s">
        <v>1287</v>
      </c>
      <c r="H51" s="2" t="s">
        <v>479</v>
      </c>
      <c r="I51" s="2" t="s">
        <v>480</v>
      </c>
      <c r="J51" s="2">
        <v>18</v>
      </c>
      <c r="K51" s="2">
        <v>4500000</v>
      </c>
      <c r="L51" s="2">
        <v>4500000</v>
      </c>
      <c r="M51" s="2">
        <v>0</v>
      </c>
      <c r="N51" s="2">
        <v>0</v>
      </c>
    </row>
    <row r="52" spans="1:14" x14ac:dyDescent="0.3">
      <c r="A52" s="2">
        <v>1247</v>
      </c>
      <c r="B52" s="2" t="s">
        <v>1315</v>
      </c>
      <c r="C52" s="3">
        <v>39800</v>
      </c>
      <c r="D52" s="2">
        <v>108</v>
      </c>
      <c r="E52" s="2" t="s">
        <v>200</v>
      </c>
      <c r="F52" s="2" t="s">
        <v>1316</v>
      </c>
      <c r="G52" s="2" t="s">
        <v>1199</v>
      </c>
      <c r="H52" s="2" t="s">
        <v>479</v>
      </c>
      <c r="I52" s="2" t="s">
        <v>480</v>
      </c>
      <c r="J52" s="2">
        <v>15</v>
      </c>
      <c r="K52" s="2">
        <v>11715000</v>
      </c>
      <c r="L52" s="2">
        <v>21900000</v>
      </c>
      <c r="M52" s="2">
        <v>0</v>
      </c>
      <c r="N52" s="2">
        <v>0</v>
      </c>
    </row>
    <row r="53" spans="1:14" x14ac:dyDescent="0.3">
      <c r="A53" s="2">
        <v>1248</v>
      </c>
      <c r="B53" s="2" t="s">
        <v>1317</v>
      </c>
      <c r="C53" s="3">
        <v>40297</v>
      </c>
      <c r="D53" s="2">
        <v>109</v>
      </c>
      <c r="E53" s="2" t="s">
        <v>200</v>
      </c>
      <c r="F53" s="2" t="s">
        <v>1316</v>
      </c>
      <c r="G53" s="2" t="s">
        <v>1199</v>
      </c>
      <c r="H53" s="2" t="s">
        <v>479</v>
      </c>
      <c r="I53" s="2" t="s">
        <v>480</v>
      </c>
      <c r="J53" s="2">
        <v>15</v>
      </c>
      <c r="K53" s="2">
        <v>12900000</v>
      </c>
      <c r="L53" s="2">
        <v>49700000</v>
      </c>
      <c r="M53" s="2">
        <v>0</v>
      </c>
      <c r="N53" s="2">
        <v>0</v>
      </c>
    </row>
    <row r="54" spans="1:14" x14ac:dyDescent="0.3">
      <c r="A54" s="2">
        <v>1249</v>
      </c>
      <c r="B54" s="2" t="s">
        <v>1318</v>
      </c>
      <c r="C54" s="3">
        <v>42354</v>
      </c>
      <c r="D54" s="2">
        <v>105</v>
      </c>
      <c r="E54" s="2" t="s">
        <v>200</v>
      </c>
      <c r="F54" s="2" t="s">
        <v>1316</v>
      </c>
      <c r="G54" s="2" t="s">
        <v>1319</v>
      </c>
      <c r="H54" s="2" t="s">
        <v>479</v>
      </c>
      <c r="I54" s="2" t="s">
        <v>480</v>
      </c>
      <c r="J54" s="2" t="s">
        <v>25</v>
      </c>
      <c r="K54" s="2">
        <v>36000000</v>
      </c>
      <c r="L54" s="2">
        <v>156844000</v>
      </c>
      <c r="M54" s="2">
        <v>0</v>
      </c>
      <c r="N54" s="2">
        <v>0</v>
      </c>
    </row>
    <row r="55" spans="1:14" x14ac:dyDescent="0.3">
      <c r="A55" s="2">
        <v>1250</v>
      </c>
      <c r="B55" s="2" t="s">
        <v>1320</v>
      </c>
      <c r="C55" s="3">
        <v>34215</v>
      </c>
      <c r="D55" s="2">
        <v>90</v>
      </c>
      <c r="E55" s="2" t="s">
        <v>200</v>
      </c>
      <c r="F55" s="2" t="s">
        <v>1253</v>
      </c>
      <c r="G55" s="2" t="s">
        <v>478</v>
      </c>
      <c r="H55" s="2" t="s">
        <v>479</v>
      </c>
      <c r="I55" s="2" t="s">
        <v>480</v>
      </c>
      <c r="J55" s="2">
        <v>12</v>
      </c>
      <c r="K55" s="2">
        <v>11000000</v>
      </c>
      <c r="L55" s="2">
        <v>15000000</v>
      </c>
      <c r="M55" s="2">
        <v>0</v>
      </c>
      <c r="N55" s="2">
        <v>0</v>
      </c>
    </row>
    <row r="56" spans="1:14" x14ac:dyDescent="0.3">
      <c r="A56" s="2">
        <v>1310</v>
      </c>
      <c r="B56" s="2" t="s">
        <v>1363</v>
      </c>
      <c r="C56" s="3">
        <v>38244</v>
      </c>
      <c r="D56" s="2">
        <v>98</v>
      </c>
      <c r="E56" s="2" t="s">
        <v>200</v>
      </c>
      <c r="F56" s="2" t="s">
        <v>1198</v>
      </c>
      <c r="G56" s="2" t="s">
        <v>1199</v>
      </c>
      <c r="H56" s="2" t="s">
        <v>479</v>
      </c>
      <c r="I56" s="2" t="s">
        <v>480</v>
      </c>
      <c r="J56" s="2">
        <v>15</v>
      </c>
      <c r="K56" s="2">
        <v>20000000</v>
      </c>
      <c r="L56" s="2">
        <v>102000000</v>
      </c>
      <c r="M56" s="2">
        <v>0</v>
      </c>
      <c r="N56" s="2">
        <v>0</v>
      </c>
    </row>
    <row r="57" spans="1:14" x14ac:dyDescent="0.3">
      <c r="A57" s="2">
        <v>1239</v>
      </c>
      <c r="B57" s="2" t="s">
        <v>1299</v>
      </c>
      <c r="C57" s="3">
        <v>40794</v>
      </c>
      <c r="D57" s="2">
        <v>101</v>
      </c>
      <c r="E57" s="2" t="s">
        <v>200</v>
      </c>
      <c r="F57" s="2" t="s">
        <v>1300</v>
      </c>
      <c r="G57" s="2" t="s">
        <v>1301</v>
      </c>
      <c r="H57" s="2" t="s">
        <v>1302</v>
      </c>
      <c r="I57" s="2" t="s">
        <v>1303</v>
      </c>
      <c r="J57" s="2">
        <v>18</v>
      </c>
      <c r="K57" s="2">
        <v>1100000</v>
      </c>
      <c r="L57" s="2">
        <v>9140000</v>
      </c>
      <c r="M57" s="2">
        <v>0</v>
      </c>
      <c r="N57" s="2">
        <v>0</v>
      </c>
    </row>
    <row r="58" spans="1:14" x14ac:dyDescent="0.3">
      <c r="A58" s="2">
        <v>1241</v>
      </c>
      <c r="B58" s="2" t="s">
        <v>1304</v>
      </c>
      <c r="C58" s="3">
        <v>41660</v>
      </c>
      <c r="D58" s="2">
        <v>150</v>
      </c>
      <c r="E58" s="2" t="s">
        <v>200</v>
      </c>
      <c r="F58" s="2" t="s">
        <v>1300</v>
      </c>
      <c r="G58" s="2" t="s">
        <v>1301</v>
      </c>
      <c r="H58" s="2" t="s">
        <v>1302</v>
      </c>
      <c r="I58" s="2" t="s">
        <v>1303</v>
      </c>
      <c r="J58" s="2">
        <v>18</v>
      </c>
      <c r="K58" s="2">
        <v>4500000</v>
      </c>
      <c r="L58" s="2">
        <v>6600000</v>
      </c>
      <c r="M58" s="2">
        <v>0</v>
      </c>
      <c r="N58" s="2">
        <v>0</v>
      </c>
    </row>
    <row r="59" spans="1:14" x14ac:dyDescent="0.3">
      <c r="A59" s="2">
        <v>633</v>
      </c>
      <c r="B59" s="2" t="s">
        <v>1043</v>
      </c>
      <c r="C59" s="3">
        <v>24456</v>
      </c>
      <c r="D59" s="2">
        <v>177</v>
      </c>
      <c r="E59" s="2" t="s">
        <v>360</v>
      </c>
      <c r="F59" s="2" t="s">
        <v>1044</v>
      </c>
      <c r="G59" s="2" t="s">
        <v>1045</v>
      </c>
      <c r="H59" s="2" t="s">
        <v>1046</v>
      </c>
      <c r="I59" s="2" t="s">
        <v>1047</v>
      </c>
      <c r="J59" s="2">
        <v>18</v>
      </c>
      <c r="K59" s="2">
        <v>1200000</v>
      </c>
      <c r="L59" s="2">
        <v>25100000</v>
      </c>
      <c r="M59" s="2">
        <v>0</v>
      </c>
      <c r="N59" s="2">
        <v>0</v>
      </c>
    </row>
    <row r="60" spans="1:14" x14ac:dyDescent="0.3">
      <c r="A60" s="2">
        <v>650</v>
      </c>
      <c r="B60" s="2" t="s">
        <v>1056</v>
      </c>
      <c r="C60" s="3">
        <v>23632</v>
      </c>
      <c r="D60" s="2">
        <v>99</v>
      </c>
      <c r="E60" s="2" t="s">
        <v>360</v>
      </c>
      <c r="F60" s="2" t="s">
        <v>1044</v>
      </c>
      <c r="G60" s="2" t="s">
        <v>1045</v>
      </c>
      <c r="H60" s="2" t="s">
        <v>1046</v>
      </c>
      <c r="I60" s="2" t="s">
        <v>1047</v>
      </c>
      <c r="J60" s="2">
        <v>15</v>
      </c>
      <c r="K60" s="2">
        <v>225000</v>
      </c>
      <c r="L60" s="2">
        <v>14500000</v>
      </c>
      <c r="M60" s="2">
        <v>0</v>
      </c>
      <c r="N60" s="2">
        <v>0</v>
      </c>
    </row>
    <row r="61" spans="1:14" x14ac:dyDescent="0.3">
      <c r="A61" s="2">
        <v>1377</v>
      </c>
      <c r="B61" s="2" t="s">
        <v>1456</v>
      </c>
      <c r="C61" s="3">
        <v>24064</v>
      </c>
      <c r="D61" s="2">
        <v>132</v>
      </c>
      <c r="E61" s="2" t="s">
        <v>360</v>
      </c>
      <c r="F61" s="2" t="s">
        <v>1044</v>
      </c>
      <c r="G61" s="2" t="s">
        <v>1045</v>
      </c>
      <c r="H61" s="2" t="s">
        <v>1046</v>
      </c>
      <c r="I61" s="2" t="s">
        <v>1047</v>
      </c>
      <c r="J61" s="2">
        <v>15</v>
      </c>
      <c r="K61" s="2">
        <v>600000</v>
      </c>
      <c r="L61" s="2">
        <v>15000000</v>
      </c>
      <c r="M61" s="2">
        <v>0</v>
      </c>
      <c r="N61" s="2">
        <v>0</v>
      </c>
    </row>
    <row r="62" spans="1:14" x14ac:dyDescent="0.3">
      <c r="A62" s="2">
        <v>1378</v>
      </c>
      <c r="B62" s="2" t="s">
        <v>1457</v>
      </c>
      <c r="C62" s="3">
        <v>25193</v>
      </c>
      <c r="D62" s="2">
        <v>165</v>
      </c>
      <c r="E62" s="2" t="s">
        <v>360</v>
      </c>
      <c r="F62" s="2" t="s">
        <v>1044</v>
      </c>
      <c r="G62" s="2" t="s">
        <v>257</v>
      </c>
      <c r="H62" s="2" t="s">
        <v>1046</v>
      </c>
      <c r="I62" s="2" t="s">
        <v>1047</v>
      </c>
      <c r="J62" s="2">
        <v>15</v>
      </c>
      <c r="K62" s="2">
        <v>5000000</v>
      </c>
      <c r="L62" s="2">
        <v>5321500</v>
      </c>
      <c r="M62" s="2">
        <v>0</v>
      </c>
      <c r="N62" s="2">
        <v>0</v>
      </c>
    </row>
    <row r="63" spans="1:14" x14ac:dyDescent="0.3">
      <c r="A63" s="2">
        <v>260</v>
      </c>
      <c r="B63" s="2" t="s">
        <v>515</v>
      </c>
      <c r="C63" s="3">
        <v>19840</v>
      </c>
      <c r="D63" s="2">
        <v>207</v>
      </c>
      <c r="E63" s="2" t="s">
        <v>22</v>
      </c>
      <c r="F63" s="2" t="s">
        <v>516</v>
      </c>
      <c r="G63" s="2" t="s">
        <v>517</v>
      </c>
      <c r="H63" s="2" t="s">
        <v>518</v>
      </c>
      <c r="I63" s="2" t="s">
        <v>457</v>
      </c>
      <c r="J63" s="2" t="s">
        <v>20</v>
      </c>
      <c r="K63" s="2">
        <v>2000000</v>
      </c>
      <c r="L63" s="2">
        <v>4500000</v>
      </c>
      <c r="M63" s="2">
        <v>2</v>
      </c>
      <c r="N63" s="2">
        <v>0</v>
      </c>
    </row>
    <row r="64" spans="1:14" x14ac:dyDescent="0.3">
      <c r="A64" s="2">
        <v>262</v>
      </c>
      <c r="B64" s="2" t="s">
        <v>523</v>
      </c>
      <c r="C64" s="3">
        <v>29337</v>
      </c>
      <c r="D64" s="2">
        <v>180</v>
      </c>
      <c r="E64" s="2" t="s">
        <v>190</v>
      </c>
      <c r="F64" s="2" t="s">
        <v>516</v>
      </c>
      <c r="G64" s="2" t="s">
        <v>517</v>
      </c>
      <c r="H64" s="2" t="s">
        <v>518</v>
      </c>
      <c r="I64" s="2" t="s">
        <v>457</v>
      </c>
      <c r="J64" s="2" t="s">
        <v>20</v>
      </c>
      <c r="K64" s="2">
        <v>7500000</v>
      </c>
      <c r="L64" s="2">
        <v>26000000</v>
      </c>
      <c r="M64" s="2">
        <v>2</v>
      </c>
      <c r="N64" s="2">
        <v>0</v>
      </c>
    </row>
    <row r="65" spans="1:14" x14ac:dyDescent="0.3">
      <c r="A65" s="2">
        <v>263</v>
      </c>
      <c r="B65" s="2" t="s">
        <v>524</v>
      </c>
      <c r="C65" s="3">
        <v>31198</v>
      </c>
      <c r="D65" s="2">
        <v>162</v>
      </c>
      <c r="E65" s="2" t="s">
        <v>190</v>
      </c>
      <c r="F65" s="2" t="s">
        <v>516</v>
      </c>
      <c r="G65" s="2" t="s">
        <v>525</v>
      </c>
      <c r="H65" s="2" t="s">
        <v>518</v>
      </c>
      <c r="I65" s="2" t="s">
        <v>457</v>
      </c>
      <c r="J65" s="2">
        <v>15</v>
      </c>
      <c r="K65" s="2">
        <v>12000000</v>
      </c>
      <c r="L65" s="2">
        <v>15000000</v>
      </c>
      <c r="M65" s="2">
        <v>4</v>
      </c>
      <c r="N65" s="2">
        <v>1</v>
      </c>
    </row>
    <row r="66" spans="1:14" x14ac:dyDescent="0.3">
      <c r="A66" s="2">
        <v>598</v>
      </c>
      <c r="B66" s="2" t="s">
        <v>1015</v>
      </c>
      <c r="C66" s="3">
        <v>25834</v>
      </c>
      <c r="D66" s="2">
        <v>144</v>
      </c>
      <c r="E66" s="2" t="s">
        <v>45</v>
      </c>
      <c r="F66" s="2" t="s">
        <v>1016</v>
      </c>
      <c r="G66" s="2" t="s">
        <v>36</v>
      </c>
      <c r="H66" s="2" t="s">
        <v>518</v>
      </c>
      <c r="I66" s="2" t="s">
        <v>19</v>
      </c>
      <c r="J66" s="2" t="s">
        <v>63</v>
      </c>
      <c r="K66" s="2">
        <v>25500000</v>
      </c>
      <c r="L66" s="2">
        <v>29500000</v>
      </c>
      <c r="M66" s="2">
        <v>5</v>
      </c>
      <c r="N66" s="2">
        <v>1</v>
      </c>
    </row>
    <row r="67" spans="1:14" x14ac:dyDescent="0.3">
      <c r="A67" s="2">
        <v>1253</v>
      </c>
      <c r="B67" s="2" t="s">
        <v>1322</v>
      </c>
      <c r="C67" s="3">
        <v>18500</v>
      </c>
      <c r="D67" s="2">
        <v>88</v>
      </c>
      <c r="E67" s="2" t="s">
        <v>190</v>
      </c>
      <c r="F67" s="2" t="s">
        <v>516</v>
      </c>
      <c r="G67" s="2" t="s">
        <v>1323</v>
      </c>
      <c r="H67" s="2" t="s">
        <v>518</v>
      </c>
      <c r="I67" s="2" t="s">
        <v>457</v>
      </c>
      <c r="J67" s="2" t="s">
        <v>20</v>
      </c>
      <c r="K67" s="2">
        <v>250000</v>
      </c>
      <c r="L67" s="2">
        <v>250000</v>
      </c>
      <c r="M67" s="2">
        <v>1</v>
      </c>
      <c r="N67" s="2">
        <v>0</v>
      </c>
    </row>
    <row r="68" spans="1:14" x14ac:dyDescent="0.3">
      <c r="A68" s="2">
        <v>1269</v>
      </c>
      <c r="B68" s="2" t="s">
        <v>1327</v>
      </c>
      <c r="C68" s="3">
        <v>37148</v>
      </c>
      <c r="D68" s="2">
        <v>128</v>
      </c>
      <c r="E68" s="2" t="s">
        <v>150</v>
      </c>
      <c r="F68" s="2" t="s">
        <v>1328</v>
      </c>
      <c r="G68" s="2" t="s">
        <v>1329</v>
      </c>
      <c r="H68" s="2" t="s">
        <v>518</v>
      </c>
      <c r="I68" s="2" t="s">
        <v>457</v>
      </c>
      <c r="J68" s="2">
        <v>18</v>
      </c>
      <c r="K68" s="2">
        <v>1400000</v>
      </c>
      <c r="L68" s="2">
        <v>1400000</v>
      </c>
      <c r="M68" s="2">
        <v>0</v>
      </c>
      <c r="N68" s="2">
        <v>0</v>
      </c>
    </row>
    <row r="69" spans="1:14" x14ac:dyDescent="0.3">
      <c r="A69" s="2">
        <v>1270</v>
      </c>
      <c r="B69" s="2" t="s">
        <v>1330</v>
      </c>
      <c r="C69" s="3">
        <v>40446</v>
      </c>
      <c r="D69" s="2">
        <v>125</v>
      </c>
      <c r="E69" s="2" t="s">
        <v>22</v>
      </c>
      <c r="F69" s="2" t="s">
        <v>1328</v>
      </c>
      <c r="G69" s="2" t="s">
        <v>517</v>
      </c>
      <c r="H69" s="2" t="s">
        <v>518</v>
      </c>
      <c r="I69" s="2" t="s">
        <v>457</v>
      </c>
      <c r="J69" s="2">
        <v>18</v>
      </c>
      <c r="K69" s="2">
        <v>6000000</v>
      </c>
      <c r="L69" s="2">
        <v>17100000</v>
      </c>
      <c r="M69" s="2">
        <v>0</v>
      </c>
      <c r="N69" s="2">
        <v>0</v>
      </c>
    </row>
    <row r="70" spans="1:14" x14ac:dyDescent="0.3">
      <c r="A70" s="2">
        <v>1281</v>
      </c>
      <c r="B70" s="2" t="s">
        <v>1338</v>
      </c>
      <c r="C70" s="3">
        <v>36876</v>
      </c>
      <c r="D70" s="2">
        <v>113</v>
      </c>
      <c r="E70" s="2" t="s">
        <v>22</v>
      </c>
      <c r="F70" s="2" t="s">
        <v>1339</v>
      </c>
      <c r="G70" s="2" t="s">
        <v>1340</v>
      </c>
      <c r="H70" s="2" t="s">
        <v>518</v>
      </c>
      <c r="I70" s="2" t="s">
        <v>457</v>
      </c>
      <c r="J70" s="2">
        <v>18</v>
      </c>
      <c r="K70" s="2">
        <v>4500000</v>
      </c>
      <c r="L70" s="2">
        <v>25000000</v>
      </c>
      <c r="M70" s="2">
        <v>0</v>
      </c>
      <c r="N70" s="2">
        <v>0</v>
      </c>
    </row>
    <row r="71" spans="1:14" x14ac:dyDescent="0.3">
      <c r="A71" s="2">
        <v>1287</v>
      </c>
      <c r="B71" s="2" t="s">
        <v>1342</v>
      </c>
      <c r="C71" s="3">
        <v>37564</v>
      </c>
      <c r="D71" s="2">
        <v>137</v>
      </c>
      <c r="E71" s="2" t="s">
        <v>190</v>
      </c>
      <c r="F71" s="2" t="s">
        <v>1343</v>
      </c>
      <c r="G71" s="2" t="s">
        <v>1344</v>
      </c>
      <c r="H71" s="2" t="s">
        <v>518</v>
      </c>
      <c r="I71" s="2" t="s">
        <v>457</v>
      </c>
      <c r="J71" s="2">
        <v>15</v>
      </c>
      <c r="K71" s="2">
        <v>4000000</v>
      </c>
      <c r="L71" s="2">
        <v>4000000</v>
      </c>
      <c r="M71" s="2">
        <v>0</v>
      </c>
      <c r="N71" s="2">
        <v>0</v>
      </c>
    </row>
    <row r="72" spans="1:14" x14ac:dyDescent="0.3">
      <c r="A72" s="2">
        <v>1289</v>
      </c>
      <c r="B72" s="2" t="s">
        <v>1345</v>
      </c>
      <c r="C72" s="3">
        <v>37562</v>
      </c>
      <c r="D72" s="2">
        <v>129</v>
      </c>
      <c r="E72" s="2" t="s">
        <v>190</v>
      </c>
      <c r="F72" s="2" t="s">
        <v>1346</v>
      </c>
      <c r="G72" s="2" t="s">
        <v>1347</v>
      </c>
      <c r="H72" s="2" t="s">
        <v>518</v>
      </c>
      <c r="I72" s="2" t="s">
        <v>457</v>
      </c>
      <c r="J72" s="2">
        <v>12</v>
      </c>
      <c r="K72" s="2">
        <v>5000000</v>
      </c>
      <c r="L72" s="2">
        <v>5000000</v>
      </c>
      <c r="M72" s="2">
        <v>1</v>
      </c>
      <c r="N72" s="2">
        <v>0</v>
      </c>
    </row>
    <row r="73" spans="1:14" x14ac:dyDescent="0.3">
      <c r="A73" s="2">
        <v>1298</v>
      </c>
      <c r="B73" s="2" t="s">
        <v>701</v>
      </c>
      <c r="C73" s="3">
        <v>20031</v>
      </c>
      <c r="D73" s="2">
        <v>96</v>
      </c>
      <c r="E73" s="2" t="s">
        <v>22</v>
      </c>
      <c r="F73" s="2" t="s">
        <v>1348</v>
      </c>
      <c r="G73" s="2" t="s">
        <v>517</v>
      </c>
      <c r="H73" s="2" t="s">
        <v>518</v>
      </c>
      <c r="I73" s="2" t="s">
        <v>457</v>
      </c>
      <c r="J73" s="2" t="s">
        <v>20</v>
      </c>
      <c r="K73" s="2">
        <v>175000</v>
      </c>
      <c r="L73" s="2">
        <v>175000</v>
      </c>
      <c r="M73" s="2">
        <v>0</v>
      </c>
      <c r="N73" s="2">
        <v>0</v>
      </c>
    </row>
    <row r="74" spans="1:14" x14ac:dyDescent="0.3">
      <c r="A74" s="2">
        <v>1299</v>
      </c>
      <c r="B74" s="2" t="s">
        <v>1349</v>
      </c>
      <c r="C74" s="3">
        <v>22869</v>
      </c>
      <c r="D74" s="2">
        <v>97</v>
      </c>
      <c r="E74" s="2" t="s">
        <v>22</v>
      </c>
      <c r="F74" s="2" t="s">
        <v>1348</v>
      </c>
      <c r="G74" s="2" t="s">
        <v>517</v>
      </c>
      <c r="H74" s="2" t="s">
        <v>518</v>
      </c>
      <c r="I74" s="2" t="s">
        <v>457</v>
      </c>
      <c r="J74" s="2" t="s">
        <v>20</v>
      </c>
      <c r="K74" s="2">
        <v>200000</v>
      </c>
      <c r="L74" s="2">
        <v>200000</v>
      </c>
      <c r="M74" s="2">
        <v>0</v>
      </c>
      <c r="N74" s="2">
        <v>0</v>
      </c>
    </row>
    <row r="75" spans="1:14" x14ac:dyDescent="0.3">
      <c r="A75" s="2">
        <v>1359</v>
      </c>
      <c r="B75" s="2" t="s">
        <v>1432</v>
      </c>
      <c r="C75" s="3">
        <v>31231</v>
      </c>
      <c r="D75" s="2">
        <v>89</v>
      </c>
      <c r="E75" s="2" t="s">
        <v>52</v>
      </c>
      <c r="F75" s="2" t="s">
        <v>1016</v>
      </c>
      <c r="G75" s="2" t="s">
        <v>399</v>
      </c>
      <c r="H75" s="2" t="s">
        <v>1433</v>
      </c>
      <c r="I75" s="2" t="s">
        <v>19</v>
      </c>
      <c r="J75" s="2">
        <v>15</v>
      </c>
      <c r="K75" s="2">
        <v>17900000</v>
      </c>
      <c r="L75" s="2">
        <v>6900000</v>
      </c>
      <c r="M75" s="2">
        <v>0</v>
      </c>
      <c r="N75" s="2">
        <v>0</v>
      </c>
    </row>
    <row r="76" spans="1:14" x14ac:dyDescent="0.3">
      <c r="A76" s="2">
        <v>3</v>
      </c>
      <c r="B76" s="2" t="s">
        <v>26</v>
      </c>
      <c r="C76" s="3">
        <v>38700</v>
      </c>
      <c r="D76" s="2">
        <v>187</v>
      </c>
      <c r="E76" s="2" t="s">
        <v>15</v>
      </c>
      <c r="F76" s="2" t="s">
        <v>27</v>
      </c>
      <c r="G76" s="2" t="s">
        <v>28</v>
      </c>
      <c r="H76" s="2" t="s">
        <v>29</v>
      </c>
      <c r="I76" s="2" t="s">
        <v>19</v>
      </c>
      <c r="J76" s="2" t="s">
        <v>25</v>
      </c>
      <c r="K76" s="2">
        <v>207000000</v>
      </c>
      <c r="L76" s="2">
        <v>550500000</v>
      </c>
      <c r="M76" s="2">
        <v>4</v>
      </c>
      <c r="N76" s="2">
        <v>3</v>
      </c>
    </row>
    <row r="77" spans="1:14" x14ac:dyDescent="0.3">
      <c r="A77" s="2">
        <v>59</v>
      </c>
      <c r="B77" s="2" t="s">
        <v>171</v>
      </c>
      <c r="C77" s="3">
        <v>37244</v>
      </c>
      <c r="D77" s="2">
        <v>178</v>
      </c>
      <c r="E77" s="2" t="s">
        <v>52</v>
      </c>
      <c r="F77" s="2" t="s">
        <v>27</v>
      </c>
      <c r="G77" s="2" t="s">
        <v>28</v>
      </c>
      <c r="H77" s="2" t="s">
        <v>29</v>
      </c>
      <c r="I77" s="2" t="s">
        <v>19</v>
      </c>
      <c r="J77" s="2" t="s">
        <v>20</v>
      </c>
      <c r="K77" s="2">
        <v>93000000</v>
      </c>
      <c r="L77" s="2">
        <v>871530324</v>
      </c>
      <c r="M77" s="2">
        <v>13</v>
      </c>
      <c r="N77" s="2">
        <v>4</v>
      </c>
    </row>
    <row r="78" spans="1:14" x14ac:dyDescent="0.3">
      <c r="A78" s="2">
        <v>73</v>
      </c>
      <c r="B78" s="2" t="s">
        <v>197</v>
      </c>
      <c r="C78" s="3">
        <v>37972</v>
      </c>
      <c r="D78" s="2">
        <v>201</v>
      </c>
      <c r="E78" s="2" t="s">
        <v>52</v>
      </c>
      <c r="F78" s="2" t="s">
        <v>27</v>
      </c>
      <c r="G78" s="2" t="s">
        <v>28</v>
      </c>
      <c r="H78" s="2" t="s">
        <v>29</v>
      </c>
      <c r="I78" s="2" t="s">
        <v>19</v>
      </c>
      <c r="J78" s="2" t="s">
        <v>25</v>
      </c>
      <c r="K78" s="2">
        <v>94000000</v>
      </c>
      <c r="L78" s="2">
        <v>1119929521</v>
      </c>
      <c r="M78" s="2">
        <v>11</v>
      </c>
      <c r="N78" s="2">
        <v>11</v>
      </c>
    </row>
    <row r="79" spans="1:14" x14ac:dyDescent="0.3">
      <c r="A79" s="2">
        <v>74</v>
      </c>
      <c r="B79" s="2" t="s">
        <v>198</v>
      </c>
      <c r="C79" s="3">
        <v>37608</v>
      </c>
      <c r="D79" s="2">
        <v>179</v>
      </c>
      <c r="E79" s="2" t="s">
        <v>52</v>
      </c>
      <c r="F79" s="2" t="s">
        <v>27</v>
      </c>
      <c r="G79" s="2" t="s">
        <v>28</v>
      </c>
      <c r="H79" s="2" t="s">
        <v>29</v>
      </c>
      <c r="I79" s="2" t="s">
        <v>19</v>
      </c>
      <c r="J79" s="2" t="s">
        <v>25</v>
      </c>
      <c r="K79" s="2">
        <v>94000000</v>
      </c>
      <c r="L79" s="2">
        <v>926047111</v>
      </c>
      <c r="M79" s="2">
        <v>6</v>
      </c>
      <c r="N79" s="2">
        <v>2</v>
      </c>
    </row>
    <row r="80" spans="1:14" x14ac:dyDescent="0.3">
      <c r="A80" s="2">
        <v>265</v>
      </c>
      <c r="B80" s="2" t="s">
        <v>528</v>
      </c>
      <c r="C80" s="3">
        <v>34803</v>
      </c>
      <c r="D80" s="2">
        <v>102</v>
      </c>
      <c r="E80" s="2" t="s">
        <v>190</v>
      </c>
      <c r="F80" s="2" t="s">
        <v>85</v>
      </c>
      <c r="G80" s="2" t="s">
        <v>529</v>
      </c>
      <c r="H80" s="2" t="s">
        <v>29</v>
      </c>
      <c r="I80" s="2" t="s">
        <v>19</v>
      </c>
      <c r="J80" s="2">
        <v>18</v>
      </c>
      <c r="K80" s="2">
        <v>1000000</v>
      </c>
      <c r="L80" s="2">
        <v>1608570</v>
      </c>
      <c r="M80" s="2">
        <v>0</v>
      </c>
      <c r="N80" s="2">
        <v>0</v>
      </c>
    </row>
    <row r="81" spans="1:14" x14ac:dyDescent="0.3">
      <c r="A81" s="2">
        <v>271</v>
      </c>
      <c r="B81" s="2" t="s">
        <v>535</v>
      </c>
      <c r="C81" s="3">
        <v>41974</v>
      </c>
      <c r="D81" s="2">
        <v>174</v>
      </c>
      <c r="E81" s="2" t="s">
        <v>52</v>
      </c>
      <c r="F81" s="2" t="s">
        <v>27</v>
      </c>
      <c r="G81" s="2" t="s">
        <v>204</v>
      </c>
      <c r="H81" s="2" t="s">
        <v>29</v>
      </c>
      <c r="I81" s="2" t="s">
        <v>19</v>
      </c>
      <c r="J81" s="2" t="s">
        <v>25</v>
      </c>
      <c r="K81" s="2">
        <v>250000000</v>
      </c>
      <c r="L81" s="2">
        <v>955100000</v>
      </c>
      <c r="M81" s="2">
        <v>1</v>
      </c>
      <c r="N81" s="2">
        <v>0</v>
      </c>
    </row>
    <row r="82" spans="1:14" x14ac:dyDescent="0.3">
      <c r="A82" s="2">
        <v>283</v>
      </c>
      <c r="B82" s="2" t="s">
        <v>558</v>
      </c>
      <c r="C82" s="3">
        <v>41621</v>
      </c>
      <c r="D82" s="2">
        <v>161</v>
      </c>
      <c r="E82" s="2" t="s">
        <v>52</v>
      </c>
      <c r="F82" s="2" t="s">
        <v>27</v>
      </c>
      <c r="G82" s="2" t="s">
        <v>28</v>
      </c>
      <c r="H82" s="2" t="s">
        <v>29</v>
      </c>
      <c r="I82" s="2" t="s">
        <v>19</v>
      </c>
      <c r="J82" s="2" t="s">
        <v>25</v>
      </c>
      <c r="K82" s="2">
        <v>225000000</v>
      </c>
      <c r="L82" s="2">
        <v>958400000</v>
      </c>
      <c r="M82" s="2">
        <v>3</v>
      </c>
      <c r="N82" s="2">
        <v>0</v>
      </c>
    </row>
    <row r="83" spans="1:14" x14ac:dyDescent="0.3">
      <c r="A83" s="2">
        <v>293</v>
      </c>
      <c r="B83" s="2" t="s">
        <v>571</v>
      </c>
      <c r="C83" s="3">
        <v>41257</v>
      </c>
      <c r="D83" s="2">
        <v>169</v>
      </c>
      <c r="E83" s="2" t="s">
        <v>52</v>
      </c>
      <c r="F83" s="2" t="s">
        <v>27</v>
      </c>
      <c r="G83" s="2" t="s">
        <v>28</v>
      </c>
      <c r="H83" s="2" t="s">
        <v>29</v>
      </c>
      <c r="I83" s="2" t="s">
        <v>19</v>
      </c>
      <c r="J83" s="2" t="s">
        <v>25</v>
      </c>
      <c r="K83" s="2">
        <v>200000000</v>
      </c>
      <c r="L83" s="2">
        <v>1021000000</v>
      </c>
      <c r="M83" s="2">
        <v>3</v>
      </c>
      <c r="N83" s="2">
        <v>0</v>
      </c>
    </row>
    <row r="84" spans="1:14" x14ac:dyDescent="0.3">
      <c r="A84" s="2">
        <v>1399</v>
      </c>
      <c r="B84" s="2" t="s">
        <v>1480</v>
      </c>
      <c r="C84" s="3">
        <v>39221</v>
      </c>
      <c r="D84" s="2">
        <v>122</v>
      </c>
      <c r="E84" s="2" t="s">
        <v>150</v>
      </c>
      <c r="F84" s="2" t="s">
        <v>290</v>
      </c>
      <c r="G84" s="2" t="s">
        <v>1481</v>
      </c>
      <c r="H84" s="2" t="s">
        <v>990</v>
      </c>
      <c r="I84" s="2" t="s">
        <v>19</v>
      </c>
      <c r="J84" s="2">
        <v>15</v>
      </c>
      <c r="K84" s="2">
        <v>25000000</v>
      </c>
      <c r="L84" s="2">
        <v>171600000</v>
      </c>
      <c r="M84" s="2">
        <v>8</v>
      </c>
      <c r="N84" s="2">
        <v>4</v>
      </c>
    </row>
    <row r="85" spans="1:14" x14ac:dyDescent="0.3">
      <c r="A85" s="2">
        <v>253</v>
      </c>
      <c r="B85" s="2" t="s">
        <v>500</v>
      </c>
      <c r="C85" s="3">
        <v>38176</v>
      </c>
      <c r="D85" s="2">
        <v>114</v>
      </c>
      <c r="E85" s="2" t="s">
        <v>52</v>
      </c>
      <c r="F85" s="2" t="s">
        <v>501</v>
      </c>
      <c r="G85" s="2" t="s">
        <v>502</v>
      </c>
      <c r="H85" s="2" t="s">
        <v>503</v>
      </c>
      <c r="I85" s="2" t="s">
        <v>504</v>
      </c>
      <c r="J85" s="2">
        <v>15</v>
      </c>
      <c r="K85" s="2">
        <v>4200000</v>
      </c>
      <c r="L85" s="2">
        <v>33899078</v>
      </c>
      <c r="M85" s="2">
        <v>0</v>
      </c>
      <c r="N85" s="2">
        <v>0</v>
      </c>
    </row>
    <row r="86" spans="1:14" x14ac:dyDescent="0.3">
      <c r="A86" s="2">
        <v>1395</v>
      </c>
      <c r="B86" s="2" t="s">
        <v>1476</v>
      </c>
      <c r="C86" s="3">
        <v>38718</v>
      </c>
      <c r="D86" s="2">
        <v>131</v>
      </c>
      <c r="E86" s="2" t="s">
        <v>52</v>
      </c>
      <c r="F86" s="2" t="s">
        <v>501</v>
      </c>
      <c r="G86" s="2" t="s">
        <v>502</v>
      </c>
      <c r="H86" s="2" t="s">
        <v>503</v>
      </c>
      <c r="I86" s="2" t="s">
        <v>504</v>
      </c>
      <c r="J86" s="2">
        <v>15</v>
      </c>
      <c r="K86" s="2">
        <v>4200000</v>
      </c>
      <c r="L86" s="2">
        <v>38860000</v>
      </c>
      <c r="M86" s="2">
        <v>0</v>
      </c>
      <c r="N86" s="2">
        <v>0</v>
      </c>
    </row>
    <row r="87" spans="1:14" x14ac:dyDescent="0.3">
      <c r="A87" s="2">
        <v>1322</v>
      </c>
      <c r="B87" s="2" t="s">
        <v>1377</v>
      </c>
      <c r="C87" s="3">
        <v>42293</v>
      </c>
      <c r="D87" s="2">
        <v>96</v>
      </c>
      <c r="E87" s="2" t="s">
        <v>84</v>
      </c>
      <c r="F87" s="2" t="s">
        <v>1378</v>
      </c>
      <c r="G87" s="2" t="s">
        <v>1379</v>
      </c>
      <c r="H87" s="2" t="s">
        <v>1380</v>
      </c>
      <c r="I87" s="2" t="s">
        <v>19</v>
      </c>
      <c r="J87" s="2">
        <v>15</v>
      </c>
      <c r="K87" s="2">
        <v>20000000</v>
      </c>
      <c r="L87" s="2">
        <v>20000000</v>
      </c>
      <c r="M87" s="2">
        <v>0</v>
      </c>
      <c r="N87" s="2">
        <v>0</v>
      </c>
    </row>
    <row r="88" spans="1:14" x14ac:dyDescent="0.3">
      <c r="A88" s="2">
        <v>1323</v>
      </c>
      <c r="B88" s="2" t="s">
        <v>1381</v>
      </c>
      <c r="C88" s="3">
        <v>40038</v>
      </c>
      <c r="D88" s="2">
        <v>112</v>
      </c>
      <c r="E88" s="2" t="s">
        <v>49</v>
      </c>
      <c r="F88" s="2" t="s">
        <v>1382</v>
      </c>
      <c r="G88" s="2" t="s">
        <v>28</v>
      </c>
      <c r="H88" s="2" t="s">
        <v>1380</v>
      </c>
      <c r="I88" s="2" t="s">
        <v>19</v>
      </c>
      <c r="J88" s="2">
        <v>15</v>
      </c>
      <c r="K88" s="2">
        <v>30000000</v>
      </c>
      <c r="L88" s="2">
        <v>210800000</v>
      </c>
      <c r="M88" s="2">
        <v>4</v>
      </c>
      <c r="N88" s="2">
        <v>0</v>
      </c>
    </row>
    <row r="89" spans="1:14" x14ac:dyDescent="0.3">
      <c r="A89" s="2">
        <v>1575</v>
      </c>
      <c r="B89" s="2" t="s">
        <v>1682</v>
      </c>
      <c r="C89" s="3">
        <v>39871</v>
      </c>
      <c r="D89" s="2">
        <v>153</v>
      </c>
      <c r="E89" s="2" t="s">
        <v>84</v>
      </c>
      <c r="F89" s="2" t="s">
        <v>1683</v>
      </c>
      <c r="G89" s="2" t="s">
        <v>1684</v>
      </c>
      <c r="H89" s="2" t="s">
        <v>1685</v>
      </c>
      <c r="I89" s="2" t="s">
        <v>1686</v>
      </c>
      <c r="J89" s="2">
        <v>18</v>
      </c>
      <c r="K89" s="2">
        <v>13000000</v>
      </c>
      <c r="L89" s="2">
        <v>104395000</v>
      </c>
      <c r="M89" s="2">
        <v>0</v>
      </c>
      <c r="N89" s="2">
        <v>0</v>
      </c>
    </row>
    <row r="90" spans="1:14" x14ac:dyDescent="0.3">
      <c r="A90" s="2">
        <v>1579</v>
      </c>
      <c r="B90" s="2" t="s">
        <v>1689</v>
      </c>
      <c r="C90" s="3">
        <v>40144</v>
      </c>
      <c r="D90" s="2">
        <v>147</v>
      </c>
      <c r="E90" s="2" t="s">
        <v>84</v>
      </c>
      <c r="F90" s="2" t="s">
        <v>1688</v>
      </c>
      <c r="G90" s="2" t="s">
        <v>1684</v>
      </c>
      <c r="H90" s="2" t="s">
        <v>1685</v>
      </c>
      <c r="I90" s="2" t="s">
        <v>1686</v>
      </c>
      <c r="J90" s="2">
        <v>15</v>
      </c>
      <c r="K90" s="2">
        <v>5300000</v>
      </c>
      <c r="L90" s="2">
        <v>43500000</v>
      </c>
      <c r="M90" s="2">
        <v>0</v>
      </c>
      <c r="N90" s="2">
        <v>0</v>
      </c>
    </row>
    <row r="91" spans="1:14" x14ac:dyDescent="0.3">
      <c r="A91" s="2">
        <v>1582</v>
      </c>
      <c r="B91" s="2" t="s">
        <v>1692</v>
      </c>
      <c r="C91" s="3">
        <v>20867</v>
      </c>
      <c r="D91" s="2">
        <v>96</v>
      </c>
      <c r="E91" s="2" t="s">
        <v>190</v>
      </c>
      <c r="F91" s="2" t="s">
        <v>1693</v>
      </c>
      <c r="G91" s="2" t="s">
        <v>1694</v>
      </c>
      <c r="H91" s="2" t="s">
        <v>1685</v>
      </c>
      <c r="I91" s="2" t="s">
        <v>1686</v>
      </c>
      <c r="J91" s="2" t="s">
        <v>20</v>
      </c>
      <c r="K91" s="2">
        <v>150000</v>
      </c>
      <c r="L91" s="2">
        <v>150000</v>
      </c>
      <c r="M91" s="2">
        <v>0</v>
      </c>
      <c r="N91" s="2">
        <v>0</v>
      </c>
    </row>
    <row r="92" spans="1:14" x14ac:dyDescent="0.3">
      <c r="A92" s="2">
        <v>1242</v>
      </c>
      <c r="B92" s="2" t="s">
        <v>1305</v>
      </c>
      <c r="C92" s="3">
        <v>37642</v>
      </c>
      <c r="D92" s="2">
        <v>108</v>
      </c>
      <c r="E92" s="2" t="s">
        <v>200</v>
      </c>
      <c r="F92" s="2" t="s">
        <v>1306</v>
      </c>
      <c r="G92" s="2" t="s">
        <v>1307</v>
      </c>
      <c r="H92" s="2" t="s">
        <v>1308</v>
      </c>
      <c r="I92" s="2" t="s">
        <v>1309</v>
      </c>
      <c r="J92" s="2">
        <v>18</v>
      </c>
      <c r="K92" s="2">
        <v>1100000</v>
      </c>
      <c r="L92" s="2">
        <v>20112926</v>
      </c>
      <c r="M92" s="2">
        <v>0</v>
      </c>
      <c r="N92" s="2">
        <v>0</v>
      </c>
    </row>
    <row r="93" spans="1:14" x14ac:dyDescent="0.3">
      <c r="A93" s="2">
        <v>1243</v>
      </c>
      <c r="B93" s="2" t="s">
        <v>1310</v>
      </c>
      <c r="C93" s="3">
        <v>39786</v>
      </c>
      <c r="D93" s="2">
        <v>98</v>
      </c>
      <c r="E93" s="2" t="s">
        <v>200</v>
      </c>
      <c r="F93" s="2" t="s">
        <v>1311</v>
      </c>
      <c r="G93" s="2" t="s">
        <v>1312</v>
      </c>
      <c r="H93" s="2" t="s">
        <v>1308</v>
      </c>
      <c r="I93" s="2" t="s">
        <v>1309</v>
      </c>
      <c r="J93" s="2">
        <v>15</v>
      </c>
      <c r="K93" s="2">
        <v>8000000</v>
      </c>
      <c r="L93" s="2">
        <v>9000000</v>
      </c>
      <c r="M93" s="2">
        <v>0</v>
      </c>
      <c r="N93" s="2">
        <v>0</v>
      </c>
    </row>
    <row r="94" spans="1:14" x14ac:dyDescent="0.3">
      <c r="A94" s="2">
        <v>1245</v>
      </c>
      <c r="B94" s="2" t="s">
        <v>1313</v>
      </c>
      <c r="C94" s="3">
        <v>38575</v>
      </c>
      <c r="D94" s="2">
        <v>110</v>
      </c>
      <c r="E94" s="2" t="s">
        <v>200</v>
      </c>
      <c r="F94" s="2" t="s">
        <v>1306</v>
      </c>
      <c r="G94" s="2" t="s">
        <v>1307</v>
      </c>
      <c r="H94" s="2" t="s">
        <v>1308</v>
      </c>
      <c r="I94" s="2" t="s">
        <v>1309</v>
      </c>
      <c r="J94" s="2">
        <v>18</v>
      </c>
      <c r="K94" s="2">
        <v>5000000</v>
      </c>
      <c r="L94" s="2">
        <v>27200000</v>
      </c>
      <c r="M94" s="2">
        <v>0</v>
      </c>
      <c r="N94" s="2">
        <v>0</v>
      </c>
    </row>
    <row r="95" spans="1:14" x14ac:dyDescent="0.3">
      <c r="A95" s="2">
        <v>1246</v>
      </c>
      <c r="B95" s="2" t="s">
        <v>1314</v>
      </c>
      <c r="C95" s="3">
        <v>41570</v>
      </c>
      <c r="D95" s="2">
        <v>103</v>
      </c>
      <c r="E95" s="2" t="s">
        <v>200</v>
      </c>
      <c r="F95" s="2" t="s">
        <v>1306</v>
      </c>
      <c r="G95" s="2" t="s">
        <v>1307</v>
      </c>
      <c r="H95" s="2" t="s">
        <v>1308</v>
      </c>
      <c r="I95" s="2" t="s">
        <v>1309</v>
      </c>
      <c r="J95" s="2">
        <v>15</v>
      </c>
      <c r="K95" s="2">
        <v>15000000</v>
      </c>
      <c r="L95" s="2">
        <v>15000000</v>
      </c>
      <c r="M95" s="2">
        <v>0</v>
      </c>
      <c r="N95" s="2">
        <v>0</v>
      </c>
    </row>
    <row r="96" spans="1:14" x14ac:dyDescent="0.3">
      <c r="A96" s="2">
        <v>11</v>
      </c>
      <c r="B96" s="2" t="s">
        <v>51</v>
      </c>
      <c r="C96" s="3">
        <v>39274</v>
      </c>
      <c r="D96" s="2">
        <v>138</v>
      </c>
      <c r="E96" s="2" t="s">
        <v>52</v>
      </c>
      <c r="F96" s="2" t="s">
        <v>53</v>
      </c>
      <c r="G96" s="2" t="s">
        <v>54</v>
      </c>
      <c r="H96" s="2" t="s">
        <v>55</v>
      </c>
      <c r="I96" s="2" t="s">
        <v>19</v>
      </c>
      <c r="J96" s="2" t="s">
        <v>25</v>
      </c>
      <c r="K96" s="2">
        <v>150000000</v>
      </c>
      <c r="L96" s="2">
        <v>939885929</v>
      </c>
      <c r="M96" s="2">
        <v>0</v>
      </c>
      <c r="N96" s="2">
        <v>0</v>
      </c>
    </row>
    <row r="97" spans="1:14" x14ac:dyDescent="0.3">
      <c r="A97" s="2">
        <v>18</v>
      </c>
      <c r="B97" s="2" t="s">
        <v>76</v>
      </c>
      <c r="C97" s="3">
        <v>38662</v>
      </c>
      <c r="D97" s="2">
        <v>156</v>
      </c>
      <c r="E97" s="2" t="s">
        <v>52</v>
      </c>
      <c r="F97" s="2" t="s">
        <v>77</v>
      </c>
      <c r="G97" s="2" t="s">
        <v>54</v>
      </c>
      <c r="H97" s="2" t="s">
        <v>55</v>
      </c>
      <c r="I97" s="2" t="s">
        <v>19</v>
      </c>
      <c r="J97" s="2" t="s">
        <v>25</v>
      </c>
      <c r="K97" s="2">
        <v>150000000</v>
      </c>
      <c r="L97" s="2">
        <v>896911078</v>
      </c>
      <c r="M97" s="2">
        <v>1</v>
      </c>
      <c r="N97" s="2">
        <v>0</v>
      </c>
    </row>
    <row r="98" spans="1:14" x14ac:dyDescent="0.3">
      <c r="A98" s="2">
        <v>22</v>
      </c>
      <c r="B98" s="2" t="s">
        <v>83</v>
      </c>
      <c r="C98" s="3">
        <v>37580</v>
      </c>
      <c r="D98" s="2">
        <v>133</v>
      </c>
      <c r="E98" s="2" t="s">
        <v>84</v>
      </c>
      <c r="F98" s="2" t="s">
        <v>85</v>
      </c>
      <c r="G98" s="2" t="s">
        <v>86</v>
      </c>
      <c r="H98" s="2" t="s">
        <v>55</v>
      </c>
      <c r="I98" s="2" t="s">
        <v>19</v>
      </c>
      <c r="J98" s="2" t="s">
        <v>25</v>
      </c>
      <c r="K98" s="2">
        <v>142000000</v>
      </c>
      <c r="L98" s="2">
        <v>431971116</v>
      </c>
      <c r="M98" s="2">
        <v>0</v>
      </c>
      <c r="N98" s="2">
        <v>0</v>
      </c>
    </row>
    <row r="99" spans="1:14" x14ac:dyDescent="0.3">
      <c r="A99" s="2">
        <v>31</v>
      </c>
      <c r="B99" s="2" t="s">
        <v>104</v>
      </c>
      <c r="C99" s="3">
        <v>36490</v>
      </c>
      <c r="D99" s="2">
        <v>128</v>
      </c>
      <c r="E99" s="2" t="s">
        <v>84</v>
      </c>
      <c r="F99" s="2" t="s">
        <v>105</v>
      </c>
      <c r="G99" s="2" t="s">
        <v>86</v>
      </c>
      <c r="H99" s="2" t="s">
        <v>55</v>
      </c>
      <c r="I99" s="2" t="s">
        <v>19</v>
      </c>
      <c r="J99" s="2">
        <v>12</v>
      </c>
      <c r="K99" s="2">
        <v>135000000</v>
      </c>
      <c r="L99" s="2">
        <v>361832400</v>
      </c>
      <c r="M99" s="2">
        <v>0</v>
      </c>
      <c r="N99" s="2">
        <v>0</v>
      </c>
    </row>
    <row r="100" spans="1:14" x14ac:dyDescent="0.3">
      <c r="A100" s="2">
        <v>35</v>
      </c>
      <c r="B100" s="2" t="s">
        <v>112</v>
      </c>
      <c r="C100" s="3">
        <v>38138</v>
      </c>
      <c r="D100" s="2">
        <v>141</v>
      </c>
      <c r="E100" s="2" t="s">
        <v>52</v>
      </c>
      <c r="F100" s="2" t="s">
        <v>113</v>
      </c>
      <c r="G100" s="2" t="s">
        <v>54</v>
      </c>
      <c r="H100" s="2" t="s">
        <v>55</v>
      </c>
      <c r="I100" s="2" t="s">
        <v>19</v>
      </c>
      <c r="J100" s="2" t="s">
        <v>20</v>
      </c>
      <c r="K100" s="2">
        <v>130000000</v>
      </c>
      <c r="L100" s="2">
        <v>796688549</v>
      </c>
      <c r="M100" s="2">
        <v>2</v>
      </c>
      <c r="N100" s="2">
        <v>0</v>
      </c>
    </row>
    <row r="101" spans="1:14" x14ac:dyDescent="0.3">
      <c r="A101" s="2">
        <v>38</v>
      </c>
      <c r="B101" s="2" t="s">
        <v>120</v>
      </c>
      <c r="C101" s="3">
        <v>37211</v>
      </c>
      <c r="D101" s="2">
        <v>152</v>
      </c>
      <c r="E101" s="2" t="s">
        <v>52</v>
      </c>
      <c r="F101" s="2" t="s">
        <v>121</v>
      </c>
      <c r="G101" s="2" t="s">
        <v>54</v>
      </c>
      <c r="H101" s="2" t="s">
        <v>55</v>
      </c>
      <c r="I101" s="2" t="s">
        <v>19</v>
      </c>
      <c r="J101" s="2" t="s">
        <v>20</v>
      </c>
      <c r="K101" s="2">
        <v>125000000</v>
      </c>
      <c r="L101" s="2">
        <v>974800000</v>
      </c>
      <c r="M101" s="2">
        <v>3</v>
      </c>
      <c r="N101" s="2">
        <v>0</v>
      </c>
    </row>
    <row r="102" spans="1:14" x14ac:dyDescent="0.3">
      <c r="A102" s="2">
        <v>51</v>
      </c>
      <c r="B102" s="2" t="s">
        <v>147</v>
      </c>
      <c r="C102" s="3">
        <v>35776</v>
      </c>
      <c r="D102" s="2">
        <v>119</v>
      </c>
      <c r="E102" s="2" t="s">
        <v>84</v>
      </c>
      <c r="F102" s="2" t="s">
        <v>148</v>
      </c>
      <c r="G102" s="2" t="s">
        <v>86</v>
      </c>
      <c r="H102" s="2" t="s">
        <v>55</v>
      </c>
      <c r="I102" s="2" t="s">
        <v>19</v>
      </c>
      <c r="J102" s="2">
        <v>12</v>
      </c>
      <c r="K102" s="2">
        <v>110000000</v>
      </c>
      <c r="L102" s="2">
        <v>333011068</v>
      </c>
      <c r="M102" s="2">
        <v>0</v>
      </c>
      <c r="N102" s="2">
        <v>0</v>
      </c>
    </row>
    <row r="103" spans="1:14" x14ac:dyDescent="0.3">
      <c r="A103" s="2">
        <v>61</v>
      </c>
      <c r="B103" s="2" t="s">
        <v>175</v>
      </c>
      <c r="C103" s="3">
        <v>39035</v>
      </c>
      <c r="D103" s="2">
        <v>144</v>
      </c>
      <c r="E103" s="2" t="s">
        <v>84</v>
      </c>
      <c r="F103" s="2" t="s">
        <v>176</v>
      </c>
      <c r="G103" s="2" t="s">
        <v>86</v>
      </c>
      <c r="H103" s="2" t="s">
        <v>55</v>
      </c>
      <c r="I103" s="2" t="s">
        <v>19</v>
      </c>
      <c r="J103" s="2" t="s">
        <v>25</v>
      </c>
      <c r="K103" s="2">
        <v>150000000</v>
      </c>
      <c r="L103" s="2">
        <v>599000000</v>
      </c>
      <c r="M103" s="2">
        <v>0</v>
      </c>
      <c r="N103" s="2">
        <v>0</v>
      </c>
    </row>
    <row r="104" spans="1:14" x14ac:dyDescent="0.3">
      <c r="A104" s="2">
        <v>65</v>
      </c>
      <c r="B104" s="2" t="s">
        <v>182</v>
      </c>
      <c r="C104" s="3">
        <v>37575</v>
      </c>
      <c r="D104" s="2">
        <v>155</v>
      </c>
      <c r="E104" s="2" t="s">
        <v>52</v>
      </c>
      <c r="F104" s="2" t="s">
        <v>121</v>
      </c>
      <c r="G104" s="2" t="s">
        <v>54</v>
      </c>
      <c r="H104" s="2" t="s">
        <v>55</v>
      </c>
      <c r="I104" s="2" t="s">
        <v>19</v>
      </c>
      <c r="J104" s="2" t="s">
        <v>20</v>
      </c>
      <c r="K104" s="2">
        <v>100000000</v>
      </c>
      <c r="L104" s="2">
        <v>878979634</v>
      </c>
      <c r="M104" s="2">
        <v>0</v>
      </c>
      <c r="N104" s="2">
        <v>0</v>
      </c>
    </row>
    <row r="105" spans="1:14" x14ac:dyDescent="0.3">
      <c r="A105" s="2">
        <v>120</v>
      </c>
      <c r="B105" s="2" t="s">
        <v>276</v>
      </c>
      <c r="C105" s="3">
        <v>35027</v>
      </c>
      <c r="D105" s="2">
        <v>130</v>
      </c>
      <c r="E105" s="2" t="s">
        <v>84</v>
      </c>
      <c r="F105" s="2" t="s">
        <v>176</v>
      </c>
      <c r="G105" s="2" t="s">
        <v>86</v>
      </c>
      <c r="H105" s="2" t="s">
        <v>55</v>
      </c>
      <c r="I105" s="2" t="s">
        <v>19</v>
      </c>
      <c r="J105" s="2">
        <v>12</v>
      </c>
      <c r="K105" s="2">
        <v>58000000</v>
      </c>
      <c r="L105" s="2">
        <v>352194034</v>
      </c>
      <c r="M105" s="2">
        <v>0</v>
      </c>
      <c r="N105" s="2">
        <v>0</v>
      </c>
    </row>
    <row r="106" spans="1:14" x14ac:dyDescent="0.3">
      <c r="A106" s="2">
        <v>156</v>
      </c>
      <c r="B106" s="2" t="s">
        <v>334</v>
      </c>
      <c r="C106" s="3">
        <v>32672</v>
      </c>
      <c r="D106" s="2">
        <v>133</v>
      </c>
      <c r="E106" s="2" t="s">
        <v>84</v>
      </c>
      <c r="F106" s="2" t="s">
        <v>335</v>
      </c>
      <c r="G106" s="2" t="s">
        <v>86</v>
      </c>
      <c r="H106" s="2" t="s">
        <v>55</v>
      </c>
      <c r="I106" s="2" t="s">
        <v>19</v>
      </c>
      <c r="J106" s="2">
        <v>15</v>
      </c>
      <c r="K106" s="2">
        <v>32000000</v>
      </c>
      <c r="L106" s="2">
        <v>156000000</v>
      </c>
      <c r="M106" s="2">
        <v>0</v>
      </c>
      <c r="N106" s="2">
        <v>0</v>
      </c>
    </row>
    <row r="107" spans="1:14" x14ac:dyDescent="0.3">
      <c r="A107" s="2">
        <v>157</v>
      </c>
      <c r="B107" s="2" t="s">
        <v>336</v>
      </c>
      <c r="C107" s="3">
        <v>31955</v>
      </c>
      <c r="D107" s="2">
        <v>131</v>
      </c>
      <c r="E107" s="2" t="s">
        <v>84</v>
      </c>
      <c r="F107" s="2" t="s">
        <v>335</v>
      </c>
      <c r="G107" s="2" t="s">
        <v>86</v>
      </c>
      <c r="H107" s="2" t="s">
        <v>55</v>
      </c>
      <c r="I107" s="2" t="s">
        <v>19</v>
      </c>
      <c r="J107" s="2" t="s">
        <v>20</v>
      </c>
      <c r="K107" s="2">
        <v>40000000</v>
      </c>
      <c r="L107" s="2">
        <v>191200000</v>
      </c>
      <c r="M107" s="2">
        <v>0</v>
      </c>
      <c r="N107" s="2">
        <v>0</v>
      </c>
    </row>
    <row r="108" spans="1:14" x14ac:dyDescent="0.3">
      <c r="A108" s="2">
        <v>167</v>
      </c>
      <c r="B108" s="2" t="s">
        <v>355</v>
      </c>
      <c r="C108" s="3">
        <v>29035</v>
      </c>
      <c r="D108" s="2">
        <v>126</v>
      </c>
      <c r="E108" s="2" t="s">
        <v>84</v>
      </c>
      <c r="F108" s="2" t="s">
        <v>356</v>
      </c>
      <c r="G108" s="2" t="s">
        <v>86</v>
      </c>
      <c r="H108" s="2" t="s">
        <v>55</v>
      </c>
      <c r="I108" s="2" t="s">
        <v>19</v>
      </c>
      <c r="J108" s="2" t="s">
        <v>20</v>
      </c>
      <c r="K108" s="2">
        <v>34000000</v>
      </c>
      <c r="L108" s="2">
        <v>210300000</v>
      </c>
      <c r="M108" s="2">
        <v>1</v>
      </c>
      <c r="N108" s="2">
        <v>0</v>
      </c>
    </row>
    <row r="109" spans="1:14" x14ac:dyDescent="0.3">
      <c r="A109" s="2">
        <v>178</v>
      </c>
      <c r="B109" s="2" t="s">
        <v>378</v>
      </c>
      <c r="C109" s="3">
        <v>29761</v>
      </c>
      <c r="D109" s="2">
        <v>127</v>
      </c>
      <c r="E109" s="2" t="s">
        <v>84</v>
      </c>
      <c r="F109" s="2" t="s">
        <v>335</v>
      </c>
      <c r="G109" s="2" t="s">
        <v>86</v>
      </c>
      <c r="H109" s="2" t="s">
        <v>55</v>
      </c>
      <c r="I109" s="2" t="s">
        <v>19</v>
      </c>
      <c r="J109" s="2" t="s">
        <v>20</v>
      </c>
      <c r="K109" s="2">
        <v>28000000</v>
      </c>
      <c r="L109" s="2">
        <v>194900000</v>
      </c>
      <c r="M109" s="2">
        <v>1</v>
      </c>
      <c r="N109" s="2">
        <v>0</v>
      </c>
    </row>
    <row r="110" spans="1:14" x14ac:dyDescent="0.3">
      <c r="A110" s="2">
        <v>194</v>
      </c>
      <c r="B110" s="2" t="s">
        <v>401</v>
      </c>
      <c r="C110" s="3">
        <v>30287</v>
      </c>
      <c r="D110" s="2">
        <v>188</v>
      </c>
      <c r="E110" s="2" t="s">
        <v>166</v>
      </c>
      <c r="F110" s="2" t="s">
        <v>402</v>
      </c>
      <c r="G110" s="2" t="s">
        <v>403</v>
      </c>
      <c r="H110" s="2" t="s">
        <v>55</v>
      </c>
      <c r="I110" s="2" t="s">
        <v>19</v>
      </c>
      <c r="J110" s="2" t="s">
        <v>20</v>
      </c>
      <c r="K110" s="2">
        <v>22000000</v>
      </c>
      <c r="L110" s="2">
        <v>52767889</v>
      </c>
      <c r="M110" s="2">
        <v>11</v>
      </c>
      <c r="N110" s="2">
        <v>8</v>
      </c>
    </row>
    <row r="111" spans="1:14" x14ac:dyDescent="0.3">
      <c r="A111" s="2">
        <v>202</v>
      </c>
      <c r="B111" s="2" t="s">
        <v>413</v>
      </c>
      <c r="C111" s="3">
        <v>39023</v>
      </c>
      <c r="D111" s="2">
        <v>84</v>
      </c>
      <c r="E111" s="2" t="s">
        <v>38</v>
      </c>
      <c r="F111" s="2" t="s">
        <v>414</v>
      </c>
      <c r="G111" s="2" t="s">
        <v>415</v>
      </c>
      <c r="H111" s="2" t="s">
        <v>55</v>
      </c>
      <c r="I111" s="2" t="s">
        <v>19</v>
      </c>
      <c r="J111" s="2">
        <v>15</v>
      </c>
      <c r="K111" s="2">
        <v>18000000</v>
      </c>
      <c r="L111" s="2">
        <v>261600000</v>
      </c>
      <c r="M111" s="2">
        <v>1</v>
      </c>
      <c r="N111" s="2">
        <v>0</v>
      </c>
    </row>
    <row r="112" spans="1:14" x14ac:dyDescent="0.3">
      <c r="A112" s="2">
        <v>206</v>
      </c>
      <c r="B112" s="2" t="s">
        <v>424</v>
      </c>
      <c r="C112" s="3">
        <v>39127</v>
      </c>
      <c r="D112" s="2">
        <v>121</v>
      </c>
      <c r="E112" s="2" t="s">
        <v>38</v>
      </c>
      <c r="F112" s="2" t="s">
        <v>425</v>
      </c>
      <c r="G112" s="2" t="s">
        <v>426</v>
      </c>
      <c r="H112" s="2" t="s">
        <v>55</v>
      </c>
      <c r="I112" s="2" t="s">
        <v>19</v>
      </c>
      <c r="J112" s="2">
        <v>15</v>
      </c>
      <c r="K112" s="2">
        <v>12000000</v>
      </c>
      <c r="L112" s="2">
        <v>80700000</v>
      </c>
      <c r="M112" s="2">
        <v>0</v>
      </c>
      <c r="N112" s="2">
        <v>0</v>
      </c>
    </row>
    <row r="113" spans="1:14" x14ac:dyDescent="0.3">
      <c r="A113" s="2">
        <v>216</v>
      </c>
      <c r="B113" s="2" t="s">
        <v>441</v>
      </c>
      <c r="C113" s="3">
        <v>35046</v>
      </c>
      <c r="D113" s="2">
        <v>136</v>
      </c>
      <c r="E113" s="2" t="s">
        <v>34</v>
      </c>
      <c r="F113" s="2" t="s">
        <v>436</v>
      </c>
      <c r="G113" s="2" t="s">
        <v>213</v>
      </c>
      <c r="H113" s="2" t="s">
        <v>55</v>
      </c>
      <c r="I113" s="2" t="s">
        <v>19</v>
      </c>
      <c r="J113" s="2" t="s">
        <v>63</v>
      </c>
      <c r="K113" s="2">
        <v>16000000</v>
      </c>
      <c r="L113" s="2">
        <v>134993774</v>
      </c>
      <c r="M113" s="2">
        <v>7</v>
      </c>
      <c r="N113" s="2">
        <v>1</v>
      </c>
    </row>
    <row r="114" spans="1:14" x14ac:dyDescent="0.3">
      <c r="A114" s="2">
        <v>219</v>
      </c>
      <c r="B114" s="2" t="s">
        <v>444</v>
      </c>
      <c r="C114" s="3">
        <v>37561</v>
      </c>
      <c r="D114" s="2">
        <v>113</v>
      </c>
      <c r="E114" s="2" t="s">
        <v>68</v>
      </c>
      <c r="F114" s="2" t="s">
        <v>445</v>
      </c>
      <c r="G114" s="2" t="s">
        <v>446</v>
      </c>
      <c r="H114" s="2" t="s">
        <v>55</v>
      </c>
      <c r="I114" s="2" t="s">
        <v>19</v>
      </c>
      <c r="J114" s="2">
        <v>18</v>
      </c>
      <c r="K114" s="2">
        <v>8000000</v>
      </c>
      <c r="L114" s="2">
        <v>82719885</v>
      </c>
      <c r="M114" s="2">
        <v>0</v>
      </c>
      <c r="N114" s="2">
        <v>0</v>
      </c>
    </row>
    <row r="115" spans="1:14" x14ac:dyDescent="0.3">
      <c r="A115" s="2">
        <v>220</v>
      </c>
      <c r="B115" s="2" t="s">
        <v>447</v>
      </c>
      <c r="C115" s="3">
        <v>36567</v>
      </c>
      <c r="D115" s="2">
        <v>115</v>
      </c>
      <c r="E115" s="2" t="s">
        <v>190</v>
      </c>
      <c r="F115" s="2" t="s">
        <v>445</v>
      </c>
      <c r="G115" s="2" t="s">
        <v>36</v>
      </c>
      <c r="H115" s="2" t="s">
        <v>55</v>
      </c>
      <c r="I115" s="2" t="s">
        <v>19</v>
      </c>
      <c r="J115" s="2">
        <v>15</v>
      </c>
      <c r="K115" s="2">
        <v>50000000</v>
      </c>
      <c r="L115" s="2">
        <v>144000000</v>
      </c>
      <c r="M115" s="2">
        <v>0</v>
      </c>
      <c r="N115" s="2">
        <v>0</v>
      </c>
    </row>
    <row r="116" spans="1:14" x14ac:dyDescent="0.3">
      <c r="A116" s="2">
        <v>221</v>
      </c>
      <c r="B116" s="2" t="s">
        <v>448</v>
      </c>
      <c r="C116" s="3">
        <v>35118</v>
      </c>
      <c r="D116" s="2">
        <v>93</v>
      </c>
      <c r="E116" s="2" t="s">
        <v>190</v>
      </c>
      <c r="F116" s="2" t="s">
        <v>445</v>
      </c>
      <c r="G116" s="2" t="s">
        <v>449</v>
      </c>
      <c r="H116" s="2" t="s">
        <v>55</v>
      </c>
      <c r="I116" s="2" t="s">
        <v>19</v>
      </c>
      <c r="J116" s="2">
        <v>18</v>
      </c>
      <c r="K116" s="2">
        <v>3100000</v>
      </c>
      <c r="L116" s="2">
        <v>72000000</v>
      </c>
      <c r="M116" s="2">
        <v>1</v>
      </c>
      <c r="N116" s="2">
        <v>0</v>
      </c>
    </row>
    <row r="117" spans="1:14" x14ac:dyDescent="0.3">
      <c r="A117" s="2">
        <v>222</v>
      </c>
      <c r="B117" s="2" t="s">
        <v>450</v>
      </c>
      <c r="C117" s="3">
        <v>28313</v>
      </c>
      <c r="D117" s="2">
        <v>125</v>
      </c>
      <c r="E117" s="2" t="s">
        <v>84</v>
      </c>
      <c r="F117" s="2" t="s">
        <v>356</v>
      </c>
      <c r="G117" s="2" t="s">
        <v>86</v>
      </c>
      <c r="H117" s="2" t="s">
        <v>55</v>
      </c>
      <c r="I117" s="2" t="s">
        <v>19</v>
      </c>
      <c r="J117" s="2" t="s">
        <v>20</v>
      </c>
      <c r="K117" s="2">
        <v>14000000</v>
      </c>
      <c r="L117" s="2">
        <v>185400000</v>
      </c>
      <c r="M117" s="2">
        <v>3</v>
      </c>
      <c r="N117" s="2">
        <v>0</v>
      </c>
    </row>
    <row r="118" spans="1:14" x14ac:dyDescent="0.3">
      <c r="A118" s="2">
        <v>228</v>
      </c>
      <c r="B118" s="2" t="s">
        <v>175</v>
      </c>
      <c r="C118" s="3">
        <v>24590</v>
      </c>
      <c r="D118" s="2">
        <v>131</v>
      </c>
      <c r="E118" s="2" t="s">
        <v>84</v>
      </c>
      <c r="F118" s="2" t="s">
        <v>462</v>
      </c>
      <c r="G118" s="2" t="s">
        <v>213</v>
      </c>
      <c r="H118" s="2" t="s">
        <v>55</v>
      </c>
      <c r="I118" s="2" t="s">
        <v>19</v>
      </c>
      <c r="J118" s="2" t="s">
        <v>63</v>
      </c>
      <c r="K118" s="2">
        <v>12000000</v>
      </c>
      <c r="L118" s="2">
        <v>41700000</v>
      </c>
      <c r="M118" s="2">
        <v>1</v>
      </c>
      <c r="N118" s="2">
        <v>0</v>
      </c>
    </row>
    <row r="119" spans="1:14" x14ac:dyDescent="0.3">
      <c r="A119" s="2">
        <v>233</v>
      </c>
      <c r="B119" s="2" t="s">
        <v>470</v>
      </c>
      <c r="C119" s="3">
        <v>24085</v>
      </c>
      <c r="D119" s="2">
        <v>130</v>
      </c>
      <c r="E119" s="2" t="s">
        <v>84</v>
      </c>
      <c r="F119" s="2" t="s">
        <v>471</v>
      </c>
      <c r="G119" s="2" t="s">
        <v>86</v>
      </c>
      <c r="H119" s="2" t="s">
        <v>55</v>
      </c>
      <c r="I119" s="2" t="s">
        <v>19</v>
      </c>
      <c r="J119" s="2" t="s">
        <v>20</v>
      </c>
      <c r="K119" s="2">
        <v>9000000</v>
      </c>
      <c r="L119" s="2">
        <v>141200000</v>
      </c>
      <c r="M119" s="2">
        <v>1</v>
      </c>
      <c r="N119" s="2">
        <v>1</v>
      </c>
    </row>
    <row r="120" spans="1:14" x14ac:dyDescent="0.3">
      <c r="A120" s="2">
        <v>236</v>
      </c>
      <c r="B120" s="2" t="s">
        <v>473</v>
      </c>
      <c r="C120" s="3">
        <v>25555</v>
      </c>
      <c r="D120" s="2">
        <v>140</v>
      </c>
      <c r="E120" s="2" t="s">
        <v>84</v>
      </c>
      <c r="F120" s="2" t="s">
        <v>474</v>
      </c>
      <c r="G120" s="2" t="s">
        <v>86</v>
      </c>
      <c r="H120" s="2" t="s">
        <v>55</v>
      </c>
      <c r="I120" s="2" t="s">
        <v>19</v>
      </c>
      <c r="J120" s="2" t="s">
        <v>20</v>
      </c>
      <c r="K120" s="2">
        <v>7000000</v>
      </c>
      <c r="L120" s="2">
        <v>64600000</v>
      </c>
      <c r="M120" s="2">
        <v>0</v>
      </c>
      <c r="N120" s="2">
        <v>0</v>
      </c>
    </row>
    <row r="121" spans="1:14" x14ac:dyDescent="0.3">
      <c r="A121" s="2">
        <v>239</v>
      </c>
      <c r="B121" s="2" t="s">
        <v>481</v>
      </c>
      <c r="C121" s="3">
        <v>26281</v>
      </c>
      <c r="D121" s="2">
        <v>120</v>
      </c>
      <c r="E121" s="2" t="s">
        <v>84</v>
      </c>
      <c r="F121" s="2" t="s">
        <v>482</v>
      </c>
      <c r="G121" s="2" t="s">
        <v>86</v>
      </c>
      <c r="H121" s="2" t="s">
        <v>55</v>
      </c>
      <c r="I121" s="2" t="s">
        <v>19</v>
      </c>
      <c r="J121" s="2" t="s">
        <v>20</v>
      </c>
      <c r="K121" s="2">
        <v>7200000</v>
      </c>
      <c r="L121" s="2">
        <v>116000000</v>
      </c>
      <c r="M121" s="2">
        <v>1</v>
      </c>
      <c r="N121" s="2">
        <v>0</v>
      </c>
    </row>
    <row r="122" spans="1:14" x14ac:dyDescent="0.3">
      <c r="A122" s="2">
        <v>241</v>
      </c>
      <c r="B122" s="2" t="s">
        <v>485</v>
      </c>
      <c r="C122" s="3">
        <v>26842</v>
      </c>
      <c r="D122" s="2">
        <v>121</v>
      </c>
      <c r="E122" s="2" t="s">
        <v>84</v>
      </c>
      <c r="F122" s="2" t="s">
        <v>482</v>
      </c>
      <c r="G122" s="2" t="s">
        <v>86</v>
      </c>
      <c r="H122" s="2" t="s">
        <v>55</v>
      </c>
      <c r="I122" s="2" t="s">
        <v>19</v>
      </c>
      <c r="J122" s="2" t="s">
        <v>20</v>
      </c>
      <c r="K122" s="2">
        <v>7000000</v>
      </c>
      <c r="L122" s="2">
        <v>126400000</v>
      </c>
      <c r="M122" s="2">
        <v>1</v>
      </c>
      <c r="N122" s="2">
        <v>0</v>
      </c>
    </row>
    <row r="123" spans="1:14" x14ac:dyDescent="0.3">
      <c r="A123" s="2">
        <v>242</v>
      </c>
      <c r="B123" s="2" t="s">
        <v>486</v>
      </c>
      <c r="C123" s="3">
        <v>27382</v>
      </c>
      <c r="D123" s="2">
        <v>125</v>
      </c>
      <c r="E123" s="2" t="s">
        <v>84</v>
      </c>
      <c r="F123" s="2" t="s">
        <v>482</v>
      </c>
      <c r="G123" s="2" t="s">
        <v>86</v>
      </c>
      <c r="H123" s="2" t="s">
        <v>55</v>
      </c>
      <c r="I123" s="2" t="s">
        <v>19</v>
      </c>
      <c r="J123" s="2" t="s">
        <v>20</v>
      </c>
      <c r="K123" s="2">
        <v>7000000</v>
      </c>
      <c r="L123" s="2">
        <v>98500000</v>
      </c>
      <c r="M123" s="2">
        <v>0</v>
      </c>
      <c r="N123" s="2">
        <v>0</v>
      </c>
    </row>
    <row r="124" spans="1:14" x14ac:dyDescent="0.3">
      <c r="A124" s="2">
        <v>251</v>
      </c>
      <c r="B124" s="2" t="s">
        <v>498</v>
      </c>
      <c r="C124" s="3">
        <v>38086</v>
      </c>
      <c r="D124" s="2">
        <v>99</v>
      </c>
      <c r="E124" s="2" t="s">
        <v>38</v>
      </c>
      <c r="F124" s="2" t="s">
        <v>425</v>
      </c>
      <c r="G124" s="2" t="s">
        <v>426</v>
      </c>
      <c r="H124" s="2" t="s">
        <v>55</v>
      </c>
      <c r="I124" s="2" t="s">
        <v>19</v>
      </c>
      <c r="J124" s="2">
        <v>15</v>
      </c>
      <c r="K124" s="2">
        <v>6000000</v>
      </c>
      <c r="L124" s="2">
        <v>30000000</v>
      </c>
      <c r="M124" s="2">
        <v>0</v>
      </c>
      <c r="N124" s="2">
        <v>0</v>
      </c>
    </row>
    <row r="125" spans="1:14" x14ac:dyDescent="0.3">
      <c r="A125" s="2">
        <v>252</v>
      </c>
      <c r="B125" s="2" t="s">
        <v>499</v>
      </c>
      <c r="C125" s="3">
        <v>34467</v>
      </c>
      <c r="D125" s="2">
        <v>117</v>
      </c>
      <c r="E125" s="2" t="s">
        <v>34</v>
      </c>
      <c r="F125" s="2" t="s">
        <v>77</v>
      </c>
      <c r="G125" s="2" t="s">
        <v>449</v>
      </c>
      <c r="H125" s="2" t="s">
        <v>55</v>
      </c>
      <c r="I125" s="2" t="s">
        <v>19</v>
      </c>
      <c r="J125" s="2">
        <v>15</v>
      </c>
      <c r="K125" s="2">
        <v>4500000</v>
      </c>
      <c r="L125" s="2">
        <v>257700832</v>
      </c>
      <c r="M125" s="2">
        <v>2</v>
      </c>
      <c r="N125" s="2">
        <v>0</v>
      </c>
    </row>
    <row r="126" spans="1:14" x14ac:dyDescent="0.3">
      <c r="A126" s="2">
        <v>256</v>
      </c>
      <c r="B126" s="2" t="s">
        <v>509</v>
      </c>
      <c r="C126" s="3">
        <v>23294</v>
      </c>
      <c r="D126" s="2">
        <v>115</v>
      </c>
      <c r="E126" s="2" t="s">
        <v>84</v>
      </c>
      <c r="F126" s="2" t="s">
        <v>471</v>
      </c>
      <c r="G126" s="2" t="s">
        <v>86</v>
      </c>
      <c r="H126" s="2" t="s">
        <v>55</v>
      </c>
      <c r="I126" s="2" t="s">
        <v>19</v>
      </c>
      <c r="J126" s="2" t="s">
        <v>20</v>
      </c>
      <c r="K126" s="2">
        <v>2000000</v>
      </c>
      <c r="L126" s="2">
        <v>78900000</v>
      </c>
      <c r="M126" s="2">
        <v>0</v>
      </c>
      <c r="N126" s="2">
        <v>0</v>
      </c>
    </row>
    <row r="127" spans="1:14" x14ac:dyDescent="0.3">
      <c r="A127" s="2">
        <v>258</v>
      </c>
      <c r="B127" s="2" t="s">
        <v>512</v>
      </c>
      <c r="C127" s="3">
        <v>22924</v>
      </c>
      <c r="D127" s="2">
        <v>109</v>
      </c>
      <c r="E127" s="2" t="s">
        <v>84</v>
      </c>
      <c r="F127" s="2" t="s">
        <v>471</v>
      </c>
      <c r="G127" s="2" t="s">
        <v>86</v>
      </c>
      <c r="H127" s="2" t="s">
        <v>55</v>
      </c>
      <c r="I127" s="2" t="s">
        <v>19</v>
      </c>
      <c r="J127" s="2" t="s">
        <v>20</v>
      </c>
      <c r="K127" s="2">
        <v>1100000</v>
      </c>
      <c r="L127" s="2">
        <v>59500000</v>
      </c>
      <c r="M127" s="2">
        <v>0</v>
      </c>
      <c r="N127" s="2">
        <v>0</v>
      </c>
    </row>
    <row r="128" spans="1:14" x14ac:dyDescent="0.3">
      <c r="A128" s="2">
        <v>264</v>
      </c>
      <c r="B128" s="2" t="s">
        <v>526</v>
      </c>
      <c r="C128" s="3">
        <v>39178</v>
      </c>
      <c r="D128" s="2">
        <v>107</v>
      </c>
      <c r="E128" s="2" t="s">
        <v>49</v>
      </c>
      <c r="F128" s="2" t="s">
        <v>445</v>
      </c>
      <c r="G128" s="2" t="s">
        <v>527</v>
      </c>
      <c r="H128" s="2" t="s">
        <v>55</v>
      </c>
      <c r="I128" s="2" t="s">
        <v>19</v>
      </c>
      <c r="J128" s="2">
        <v>15</v>
      </c>
      <c r="K128" s="2">
        <v>40000000</v>
      </c>
      <c r="L128" s="2">
        <v>32017803</v>
      </c>
      <c r="M128" s="2">
        <v>0</v>
      </c>
      <c r="N128" s="2">
        <v>0</v>
      </c>
    </row>
    <row r="129" spans="1:14" x14ac:dyDescent="0.3">
      <c r="A129" s="2">
        <v>266</v>
      </c>
      <c r="B129" s="2" t="s">
        <v>530</v>
      </c>
      <c r="C129" s="3">
        <v>39024</v>
      </c>
      <c r="D129" s="2">
        <v>85</v>
      </c>
      <c r="E129" s="2" t="s">
        <v>60</v>
      </c>
      <c r="F129" s="2" t="s">
        <v>531</v>
      </c>
      <c r="G129" s="2" t="s">
        <v>532</v>
      </c>
      <c r="H129" s="2" t="s">
        <v>55</v>
      </c>
      <c r="I129" s="2" t="s">
        <v>19</v>
      </c>
      <c r="J129" s="2" t="s">
        <v>20</v>
      </c>
      <c r="K129" s="2">
        <v>149000000</v>
      </c>
      <c r="L129" s="2">
        <v>178120010</v>
      </c>
      <c r="M129" s="2">
        <v>0</v>
      </c>
      <c r="N129" s="2">
        <v>0</v>
      </c>
    </row>
    <row r="130" spans="1:14" x14ac:dyDescent="0.3">
      <c r="A130" s="2">
        <v>291</v>
      </c>
      <c r="B130" s="2" t="s">
        <v>569</v>
      </c>
      <c r="C130" s="3">
        <v>41208</v>
      </c>
      <c r="D130" s="2">
        <v>143</v>
      </c>
      <c r="E130" s="2" t="s">
        <v>84</v>
      </c>
      <c r="F130" s="2" t="s">
        <v>224</v>
      </c>
      <c r="G130" s="2" t="s">
        <v>86</v>
      </c>
      <c r="H130" s="2" t="s">
        <v>55</v>
      </c>
      <c r="I130" s="2" t="s">
        <v>19</v>
      </c>
      <c r="J130" s="2" t="s">
        <v>25</v>
      </c>
      <c r="K130" s="2">
        <v>150000000</v>
      </c>
      <c r="L130" s="2">
        <v>1109000000</v>
      </c>
      <c r="M130" s="2">
        <v>5</v>
      </c>
      <c r="N130" s="2">
        <v>2</v>
      </c>
    </row>
    <row r="131" spans="1:14" x14ac:dyDescent="0.3">
      <c r="A131" s="2">
        <v>300</v>
      </c>
      <c r="B131" s="2" t="s">
        <v>583</v>
      </c>
      <c r="C131" s="3">
        <v>40739</v>
      </c>
      <c r="D131" s="2">
        <v>130</v>
      </c>
      <c r="E131" s="2" t="s">
        <v>52</v>
      </c>
      <c r="F131" s="2" t="s">
        <v>53</v>
      </c>
      <c r="G131" s="2" t="s">
        <v>54</v>
      </c>
      <c r="H131" s="2" t="s">
        <v>55</v>
      </c>
      <c r="I131" s="2" t="s">
        <v>19</v>
      </c>
      <c r="J131" s="2" t="s">
        <v>25</v>
      </c>
      <c r="K131" s="2">
        <v>250000000</v>
      </c>
      <c r="L131" s="2">
        <v>1342000000</v>
      </c>
      <c r="M131" s="2">
        <v>3</v>
      </c>
      <c r="N131" s="2">
        <v>0</v>
      </c>
    </row>
    <row r="132" spans="1:14" x14ac:dyDescent="0.3">
      <c r="A132" s="2">
        <v>311</v>
      </c>
      <c r="B132" s="2" t="s">
        <v>602</v>
      </c>
      <c r="C132" s="3">
        <v>40234</v>
      </c>
      <c r="D132" s="2">
        <v>108</v>
      </c>
      <c r="E132" s="2" t="s">
        <v>52</v>
      </c>
      <c r="F132" s="2" t="s">
        <v>81</v>
      </c>
      <c r="G132" s="2" t="s">
        <v>66</v>
      </c>
      <c r="H132" s="2" t="s">
        <v>55</v>
      </c>
      <c r="I132" s="2" t="s">
        <v>19</v>
      </c>
      <c r="J132" s="2" t="s">
        <v>20</v>
      </c>
      <c r="K132" s="2">
        <v>150000000</v>
      </c>
      <c r="L132" s="2">
        <v>1025000000</v>
      </c>
      <c r="M132" s="2">
        <v>3</v>
      </c>
      <c r="N132" s="2">
        <v>2</v>
      </c>
    </row>
    <row r="133" spans="1:14" x14ac:dyDescent="0.3">
      <c r="A133" s="2">
        <v>312</v>
      </c>
      <c r="B133" s="2" t="s">
        <v>603</v>
      </c>
      <c r="C133" s="3">
        <v>40501</v>
      </c>
      <c r="D133" s="2">
        <v>146</v>
      </c>
      <c r="E133" s="2" t="s">
        <v>52</v>
      </c>
      <c r="F133" s="2" t="s">
        <v>53</v>
      </c>
      <c r="G133" s="2" t="s">
        <v>54</v>
      </c>
      <c r="H133" s="2" t="s">
        <v>55</v>
      </c>
      <c r="I133" s="2" t="s">
        <v>19</v>
      </c>
      <c r="J133" s="2" t="s">
        <v>25</v>
      </c>
      <c r="K133" s="2">
        <v>250000000</v>
      </c>
      <c r="L133" s="2">
        <v>960300000</v>
      </c>
      <c r="M133" s="2">
        <v>2</v>
      </c>
      <c r="N133" s="2">
        <v>0</v>
      </c>
    </row>
    <row r="134" spans="1:14" x14ac:dyDescent="0.3">
      <c r="A134" s="2">
        <v>321</v>
      </c>
      <c r="B134" s="2" t="s">
        <v>617</v>
      </c>
      <c r="C134" s="3">
        <v>40009</v>
      </c>
      <c r="D134" s="2">
        <v>153</v>
      </c>
      <c r="E134" s="2" t="s">
        <v>52</v>
      </c>
      <c r="F134" s="2" t="s">
        <v>53</v>
      </c>
      <c r="G134" s="2" t="s">
        <v>54</v>
      </c>
      <c r="H134" s="2" t="s">
        <v>55</v>
      </c>
      <c r="I134" s="2" t="s">
        <v>19</v>
      </c>
      <c r="J134" s="2" t="s">
        <v>25</v>
      </c>
      <c r="K134" s="2">
        <v>250000000</v>
      </c>
      <c r="L134" s="2">
        <v>934400000</v>
      </c>
      <c r="M134" s="2">
        <v>1</v>
      </c>
      <c r="N134" s="2">
        <v>0</v>
      </c>
    </row>
    <row r="135" spans="1:14" x14ac:dyDescent="0.3">
      <c r="A135" s="2">
        <v>327</v>
      </c>
      <c r="B135" s="2" t="s">
        <v>625</v>
      </c>
      <c r="C135" s="3">
        <v>40173</v>
      </c>
      <c r="D135" s="2">
        <v>128</v>
      </c>
      <c r="E135" s="2" t="s">
        <v>117</v>
      </c>
      <c r="F135" s="2" t="s">
        <v>626</v>
      </c>
      <c r="G135" s="2" t="s">
        <v>89</v>
      </c>
      <c r="H135" s="2" t="s">
        <v>55</v>
      </c>
      <c r="I135" s="2" t="s">
        <v>19</v>
      </c>
      <c r="J135" s="2" t="s">
        <v>25</v>
      </c>
      <c r="K135" s="2">
        <v>90000000</v>
      </c>
      <c r="L135" s="2">
        <v>524000000</v>
      </c>
      <c r="M135" s="2">
        <v>2</v>
      </c>
      <c r="N135" s="2">
        <v>0</v>
      </c>
    </row>
    <row r="136" spans="1:14" x14ac:dyDescent="0.3">
      <c r="A136" s="2">
        <v>334</v>
      </c>
      <c r="B136" s="2" t="s">
        <v>635</v>
      </c>
      <c r="C136" s="3">
        <v>39629</v>
      </c>
      <c r="D136" s="2">
        <v>109</v>
      </c>
      <c r="E136" s="2" t="s">
        <v>636</v>
      </c>
      <c r="F136" s="2" t="s">
        <v>637</v>
      </c>
      <c r="G136" s="2" t="s">
        <v>638</v>
      </c>
      <c r="H136" s="2" t="s">
        <v>55</v>
      </c>
      <c r="I136" s="2" t="s">
        <v>19</v>
      </c>
      <c r="J136" s="2" t="s">
        <v>20</v>
      </c>
      <c r="K136" s="2">
        <v>52000000</v>
      </c>
      <c r="L136" s="2">
        <v>609800000</v>
      </c>
      <c r="M136" s="2">
        <v>0</v>
      </c>
      <c r="N136" s="2">
        <v>0</v>
      </c>
    </row>
    <row r="137" spans="1:14" x14ac:dyDescent="0.3">
      <c r="A137" s="2">
        <v>336</v>
      </c>
      <c r="B137" s="2" t="s">
        <v>640</v>
      </c>
      <c r="C137" s="3">
        <v>39752</v>
      </c>
      <c r="D137" s="2">
        <v>106</v>
      </c>
      <c r="E137" s="2" t="s">
        <v>84</v>
      </c>
      <c r="F137" s="2" t="s">
        <v>641</v>
      </c>
      <c r="G137" s="2" t="s">
        <v>86</v>
      </c>
      <c r="H137" s="2" t="s">
        <v>55</v>
      </c>
      <c r="I137" s="2" t="s">
        <v>19</v>
      </c>
      <c r="J137" s="2" t="s">
        <v>25</v>
      </c>
      <c r="K137" s="2">
        <v>200000000</v>
      </c>
      <c r="L137" s="2">
        <v>586100000</v>
      </c>
      <c r="M137" s="2">
        <v>0</v>
      </c>
      <c r="N137" s="2">
        <v>0</v>
      </c>
    </row>
    <row r="138" spans="1:14" x14ac:dyDescent="0.3">
      <c r="A138" s="2">
        <v>339</v>
      </c>
      <c r="B138" s="2" t="s">
        <v>645</v>
      </c>
      <c r="C138" s="3">
        <v>39584</v>
      </c>
      <c r="D138" s="2">
        <v>150</v>
      </c>
      <c r="E138" s="2" t="s">
        <v>52</v>
      </c>
      <c r="F138" s="2" t="s">
        <v>253</v>
      </c>
      <c r="G138" s="2" t="s">
        <v>66</v>
      </c>
      <c r="H138" s="2" t="s">
        <v>55</v>
      </c>
      <c r="I138" s="2" t="s">
        <v>19</v>
      </c>
      <c r="J138" s="2" t="s">
        <v>20</v>
      </c>
      <c r="K138" s="2">
        <v>225000000</v>
      </c>
      <c r="L138" s="2">
        <v>419700000</v>
      </c>
      <c r="M138" s="2">
        <v>0</v>
      </c>
      <c r="N138" s="2">
        <v>0</v>
      </c>
    </row>
    <row r="139" spans="1:14" x14ac:dyDescent="0.3">
      <c r="A139" s="2">
        <v>346</v>
      </c>
      <c r="B139" s="2" t="s">
        <v>657</v>
      </c>
      <c r="C139" s="3">
        <v>38694</v>
      </c>
      <c r="D139" s="2">
        <v>145</v>
      </c>
      <c r="E139" s="2" t="s">
        <v>52</v>
      </c>
      <c r="F139" s="2" t="s">
        <v>253</v>
      </c>
      <c r="G139" s="2" t="s">
        <v>158</v>
      </c>
      <c r="H139" s="2" t="s">
        <v>55</v>
      </c>
      <c r="I139" s="2" t="s">
        <v>19</v>
      </c>
      <c r="J139" s="2" t="s">
        <v>20</v>
      </c>
      <c r="K139" s="2">
        <v>180000000</v>
      </c>
      <c r="L139" s="2">
        <v>745000000</v>
      </c>
      <c r="M139" s="2">
        <v>3</v>
      </c>
      <c r="N139" s="2">
        <v>1</v>
      </c>
    </row>
    <row r="140" spans="1:14" x14ac:dyDescent="0.3">
      <c r="A140" s="2">
        <v>369</v>
      </c>
      <c r="B140" s="2" t="s">
        <v>696</v>
      </c>
      <c r="C140" s="3">
        <v>36301</v>
      </c>
      <c r="D140" s="2">
        <v>124</v>
      </c>
      <c r="E140" s="2" t="s">
        <v>697</v>
      </c>
      <c r="F140" s="2" t="s">
        <v>698</v>
      </c>
      <c r="G140" s="2" t="s">
        <v>484</v>
      </c>
      <c r="H140" s="2" t="s">
        <v>55</v>
      </c>
      <c r="I140" s="2" t="s">
        <v>19</v>
      </c>
      <c r="J140" s="2">
        <v>15</v>
      </c>
      <c r="K140" s="2">
        <v>43000000</v>
      </c>
      <c r="L140" s="2">
        <v>363889678</v>
      </c>
      <c r="M140" s="2">
        <v>0</v>
      </c>
      <c r="N140" s="2">
        <v>0</v>
      </c>
    </row>
    <row r="141" spans="1:14" x14ac:dyDescent="0.3">
      <c r="A141" s="2">
        <v>376</v>
      </c>
      <c r="B141" s="2" t="s">
        <v>709</v>
      </c>
      <c r="C141" s="3">
        <v>36132</v>
      </c>
      <c r="D141" s="2">
        <v>123</v>
      </c>
      <c r="E141" s="2" t="s">
        <v>697</v>
      </c>
      <c r="F141" s="2" t="s">
        <v>710</v>
      </c>
      <c r="G141" s="2" t="s">
        <v>185</v>
      </c>
      <c r="H141" s="2" t="s">
        <v>55</v>
      </c>
      <c r="I141" s="2" t="s">
        <v>19</v>
      </c>
      <c r="J141" s="2">
        <v>15</v>
      </c>
      <c r="K141" s="2">
        <v>25000000</v>
      </c>
      <c r="L141" s="2">
        <v>289300000</v>
      </c>
      <c r="M141" s="2">
        <v>13</v>
      </c>
      <c r="N141" s="2">
        <v>7</v>
      </c>
    </row>
    <row r="142" spans="1:14" x14ac:dyDescent="0.3">
      <c r="A142" s="2">
        <v>382</v>
      </c>
      <c r="B142" s="2" t="s">
        <v>717</v>
      </c>
      <c r="C142" s="3">
        <v>35671</v>
      </c>
      <c r="D142" s="2">
        <v>91</v>
      </c>
      <c r="E142" s="2" t="s">
        <v>38</v>
      </c>
      <c r="F142" s="2" t="s">
        <v>718</v>
      </c>
      <c r="G142" s="2" t="s">
        <v>449</v>
      </c>
      <c r="H142" s="2" t="s">
        <v>55</v>
      </c>
      <c r="I142" s="2" t="s">
        <v>19</v>
      </c>
      <c r="J142" s="2">
        <v>15</v>
      </c>
      <c r="K142" s="2">
        <v>3500000</v>
      </c>
      <c r="L142" s="2">
        <v>258000000</v>
      </c>
      <c r="M142" s="2">
        <v>4</v>
      </c>
      <c r="N142" s="2">
        <v>1</v>
      </c>
    </row>
    <row r="143" spans="1:14" x14ac:dyDescent="0.3">
      <c r="A143" s="2">
        <v>494</v>
      </c>
      <c r="B143" s="2" t="s">
        <v>895</v>
      </c>
      <c r="C143" s="3">
        <v>29685</v>
      </c>
      <c r="D143" s="2">
        <v>127</v>
      </c>
      <c r="E143" s="2" t="s">
        <v>22</v>
      </c>
      <c r="F143" s="2" t="s">
        <v>896</v>
      </c>
      <c r="G143" s="2" t="s">
        <v>295</v>
      </c>
      <c r="H143" s="2" t="s">
        <v>55</v>
      </c>
      <c r="I143" s="2" t="s">
        <v>19</v>
      </c>
      <c r="J143" s="2" t="s">
        <v>20</v>
      </c>
      <c r="K143" s="2">
        <v>54000000</v>
      </c>
      <c r="L143" s="2">
        <v>190400000</v>
      </c>
      <c r="M143" s="2">
        <v>0</v>
      </c>
      <c r="N143" s="2">
        <v>0</v>
      </c>
    </row>
    <row r="144" spans="1:14" x14ac:dyDescent="0.3">
      <c r="A144" s="2">
        <v>498</v>
      </c>
      <c r="B144" s="2" t="s">
        <v>901</v>
      </c>
      <c r="C144" s="3">
        <v>29675</v>
      </c>
      <c r="D144" s="2">
        <v>124</v>
      </c>
      <c r="E144" s="2" t="s">
        <v>364</v>
      </c>
      <c r="F144" s="2" t="s">
        <v>902</v>
      </c>
      <c r="G144" s="2" t="s">
        <v>403</v>
      </c>
      <c r="H144" s="2" t="s">
        <v>55</v>
      </c>
      <c r="I144" s="2" t="s">
        <v>19</v>
      </c>
      <c r="J144" s="2" t="s">
        <v>63</v>
      </c>
      <c r="K144" s="2">
        <v>5500000</v>
      </c>
      <c r="L144" s="2">
        <v>59000000</v>
      </c>
      <c r="M144" s="2">
        <v>7</v>
      </c>
      <c r="N144" s="2">
        <v>4</v>
      </c>
    </row>
    <row r="145" spans="1:14" x14ac:dyDescent="0.3">
      <c r="A145" s="2">
        <v>500</v>
      </c>
      <c r="B145" s="2" t="s">
        <v>903</v>
      </c>
      <c r="C145" s="3">
        <v>29777</v>
      </c>
      <c r="D145" s="2">
        <v>113</v>
      </c>
      <c r="E145" s="2" t="s">
        <v>52</v>
      </c>
      <c r="F145" s="2" t="s">
        <v>904</v>
      </c>
      <c r="G145" s="2" t="s">
        <v>905</v>
      </c>
      <c r="H145" s="2" t="s">
        <v>55</v>
      </c>
      <c r="I145" s="2" t="s">
        <v>19</v>
      </c>
      <c r="J145" s="2" t="s">
        <v>20</v>
      </c>
      <c r="K145" s="2">
        <v>5000000</v>
      </c>
      <c r="L145" s="2">
        <v>42365581</v>
      </c>
      <c r="M145" s="2">
        <v>0</v>
      </c>
      <c r="N145" s="2">
        <v>0</v>
      </c>
    </row>
    <row r="146" spans="1:14" x14ac:dyDescent="0.3">
      <c r="A146" s="2">
        <v>524</v>
      </c>
      <c r="B146" s="2" t="s">
        <v>940</v>
      </c>
      <c r="C146" s="3">
        <v>28690</v>
      </c>
      <c r="D146" s="2">
        <v>98</v>
      </c>
      <c r="E146" s="2" t="s">
        <v>38</v>
      </c>
      <c r="F146" s="2" t="s">
        <v>924</v>
      </c>
      <c r="G146" s="2" t="s">
        <v>941</v>
      </c>
      <c r="H146" s="2" t="s">
        <v>55</v>
      </c>
      <c r="I146" s="2" t="s">
        <v>19</v>
      </c>
      <c r="J146" s="2" t="s">
        <v>20</v>
      </c>
      <c r="K146" s="2">
        <v>12000000</v>
      </c>
      <c r="L146" s="2">
        <v>49500000</v>
      </c>
      <c r="M146" s="2">
        <v>0</v>
      </c>
      <c r="N146" s="2">
        <v>0</v>
      </c>
    </row>
    <row r="147" spans="1:14" x14ac:dyDescent="0.3">
      <c r="A147" s="2">
        <v>531</v>
      </c>
      <c r="B147" s="2" t="s">
        <v>948</v>
      </c>
      <c r="C147" s="3">
        <v>28291</v>
      </c>
      <c r="D147" s="2">
        <v>176</v>
      </c>
      <c r="E147" s="2" t="s">
        <v>45</v>
      </c>
      <c r="F147" s="2" t="s">
        <v>402</v>
      </c>
      <c r="G147" s="2" t="s">
        <v>949</v>
      </c>
      <c r="H147" s="2" t="s">
        <v>55</v>
      </c>
      <c r="I147" s="2" t="s">
        <v>19</v>
      </c>
      <c r="J147" s="2">
        <v>15</v>
      </c>
      <c r="K147" s="2">
        <v>25000000</v>
      </c>
      <c r="L147" s="2">
        <v>50750000</v>
      </c>
      <c r="M147" s="2">
        <v>0</v>
      </c>
      <c r="N147" s="2">
        <v>0</v>
      </c>
    </row>
    <row r="148" spans="1:14" x14ac:dyDescent="0.3">
      <c r="A148" s="2">
        <v>544</v>
      </c>
      <c r="B148" s="2" t="s">
        <v>963</v>
      </c>
      <c r="C148" s="3">
        <v>27620</v>
      </c>
      <c r="D148" s="2">
        <v>100</v>
      </c>
      <c r="E148" s="2" t="s">
        <v>636</v>
      </c>
      <c r="F148" s="2" t="s">
        <v>964</v>
      </c>
      <c r="G148" s="2" t="s">
        <v>36</v>
      </c>
      <c r="H148" s="2" t="s">
        <v>55</v>
      </c>
      <c r="I148" s="2" t="s">
        <v>19</v>
      </c>
      <c r="J148" s="2">
        <v>15</v>
      </c>
      <c r="K148" s="2">
        <v>1400000</v>
      </c>
      <c r="L148" s="2">
        <v>140200000</v>
      </c>
      <c r="M148" s="2">
        <v>0</v>
      </c>
      <c r="N148" s="2">
        <v>0</v>
      </c>
    </row>
    <row r="149" spans="1:14" x14ac:dyDescent="0.3">
      <c r="A149" s="2">
        <v>548</v>
      </c>
      <c r="B149" s="2" t="s">
        <v>971</v>
      </c>
      <c r="C149" s="3">
        <v>27535</v>
      </c>
      <c r="D149" s="2">
        <v>114</v>
      </c>
      <c r="E149" s="2" t="s">
        <v>38</v>
      </c>
      <c r="F149" s="2" t="s">
        <v>924</v>
      </c>
      <c r="G149" s="2" t="s">
        <v>417</v>
      </c>
      <c r="H149" s="2" t="s">
        <v>55</v>
      </c>
      <c r="I149" s="2" t="s">
        <v>19</v>
      </c>
      <c r="J149" s="2" t="s">
        <v>63</v>
      </c>
      <c r="K149" s="2">
        <v>5000000</v>
      </c>
      <c r="L149" s="2">
        <v>41800000</v>
      </c>
      <c r="M149" s="2">
        <v>0</v>
      </c>
      <c r="N149" s="2">
        <v>0</v>
      </c>
    </row>
    <row r="150" spans="1:14" x14ac:dyDescent="0.3">
      <c r="A150" s="2">
        <v>588</v>
      </c>
      <c r="B150" s="2" t="s">
        <v>1006</v>
      </c>
      <c r="C150" s="3">
        <v>26286</v>
      </c>
      <c r="D150" s="2">
        <v>136</v>
      </c>
      <c r="E150" s="2" t="s">
        <v>190</v>
      </c>
      <c r="F150" s="2" t="s">
        <v>1007</v>
      </c>
      <c r="G150" s="2" t="s">
        <v>1008</v>
      </c>
      <c r="H150" s="2" t="s">
        <v>55</v>
      </c>
      <c r="I150" s="2" t="s">
        <v>19</v>
      </c>
      <c r="J150" s="2">
        <v>18</v>
      </c>
      <c r="K150" s="2">
        <v>2200000</v>
      </c>
      <c r="L150" s="2">
        <v>26600000</v>
      </c>
      <c r="M150" s="2">
        <v>4</v>
      </c>
      <c r="N150" s="2">
        <v>0</v>
      </c>
    </row>
    <row r="151" spans="1:14" x14ac:dyDescent="0.3">
      <c r="A151" s="2">
        <v>589</v>
      </c>
      <c r="B151" s="2" t="s">
        <v>1009</v>
      </c>
      <c r="C151" s="3">
        <v>26213</v>
      </c>
      <c r="D151" s="2">
        <v>117</v>
      </c>
      <c r="E151" s="2" t="s">
        <v>15</v>
      </c>
      <c r="F151" s="2" t="s">
        <v>1010</v>
      </c>
      <c r="G151" s="2" t="s">
        <v>66</v>
      </c>
      <c r="H151" s="2" t="s">
        <v>55</v>
      </c>
      <c r="I151" s="2" t="s">
        <v>19</v>
      </c>
      <c r="J151" s="2" t="s">
        <v>63</v>
      </c>
      <c r="K151" s="2">
        <v>20000000</v>
      </c>
      <c r="L151" s="2">
        <v>18530000</v>
      </c>
      <c r="M151" s="2">
        <v>5</v>
      </c>
      <c r="N151" s="2">
        <v>1</v>
      </c>
    </row>
    <row r="152" spans="1:14" x14ac:dyDescent="0.3">
      <c r="A152" s="2">
        <v>609</v>
      </c>
      <c r="B152" s="2" t="s">
        <v>1025</v>
      </c>
      <c r="C152" s="3">
        <v>24931</v>
      </c>
      <c r="D152" s="2">
        <v>142</v>
      </c>
      <c r="E152" s="2" t="s">
        <v>49</v>
      </c>
      <c r="F152" s="2" t="s">
        <v>1007</v>
      </c>
      <c r="G152" s="2" t="s">
        <v>1026</v>
      </c>
      <c r="H152" s="2" t="s">
        <v>55</v>
      </c>
      <c r="I152" s="2" t="s">
        <v>19</v>
      </c>
      <c r="J152" s="2" t="s">
        <v>63</v>
      </c>
      <c r="K152" s="2">
        <v>12000000</v>
      </c>
      <c r="L152" s="2">
        <v>190000000</v>
      </c>
      <c r="M152" s="2">
        <v>4</v>
      </c>
      <c r="N152" s="2">
        <v>1</v>
      </c>
    </row>
    <row r="153" spans="1:14" x14ac:dyDescent="0.3">
      <c r="A153" s="2">
        <v>614</v>
      </c>
      <c r="B153" s="2" t="s">
        <v>1031</v>
      </c>
      <c r="C153" s="3">
        <v>25119</v>
      </c>
      <c r="D153" s="2">
        <v>138</v>
      </c>
      <c r="E153" s="2" t="s">
        <v>34</v>
      </c>
      <c r="F153" s="2" t="s">
        <v>1032</v>
      </c>
      <c r="G153" s="2" t="s">
        <v>399</v>
      </c>
      <c r="H153" s="2" t="s">
        <v>55</v>
      </c>
      <c r="I153" s="2" t="s">
        <v>19</v>
      </c>
      <c r="J153" s="2" t="s">
        <v>20</v>
      </c>
      <c r="K153" s="2">
        <v>850000</v>
      </c>
      <c r="L153" s="2">
        <v>38900000</v>
      </c>
      <c r="M153" s="2">
        <v>4</v>
      </c>
      <c r="N153" s="2">
        <v>2</v>
      </c>
    </row>
    <row r="154" spans="1:14" x14ac:dyDescent="0.3">
      <c r="A154" s="2">
        <v>615</v>
      </c>
      <c r="B154" s="2" t="s">
        <v>1033</v>
      </c>
      <c r="C154" s="3">
        <v>25107</v>
      </c>
      <c r="D154" s="2">
        <v>153</v>
      </c>
      <c r="E154" s="2" t="s">
        <v>636</v>
      </c>
      <c r="F154" s="2" t="s">
        <v>1034</v>
      </c>
      <c r="G154" s="2" t="s">
        <v>213</v>
      </c>
      <c r="H154" s="2" t="s">
        <v>55</v>
      </c>
      <c r="I154" s="2" t="s">
        <v>19</v>
      </c>
      <c r="J154" s="2" t="s">
        <v>63</v>
      </c>
      <c r="K154" s="2">
        <v>10000000</v>
      </c>
      <c r="L154" s="2">
        <v>77400000</v>
      </c>
      <c r="M154" s="2">
        <v>11</v>
      </c>
      <c r="N154" s="2">
        <v>5</v>
      </c>
    </row>
    <row r="155" spans="1:14" x14ac:dyDescent="0.3">
      <c r="A155" s="2">
        <v>639</v>
      </c>
      <c r="B155" s="2" t="s">
        <v>1051</v>
      </c>
      <c r="C155" s="3">
        <v>24098</v>
      </c>
      <c r="D155" s="2">
        <v>193</v>
      </c>
      <c r="E155" s="2" t="s">
        <v>34</v>
      </c>
      <c r="F155" s="2" t="s">
        <v>1052</v>
      </c>
      <c r="G155" s="2" t="s">
        <v>834</v>
      </c>
      <c r="H155" s="2" t="s">
        <v>55</v>
      </c>
      <c r="I155" s="2" t="s">
        <v>19</v>
      </c>
      <c r="J155" s="2">
        <v>15</v>
      </c>
      <c r="K155" s="2">
        <v>11000000</v>
      </c>
      <c r="L155" s="2">
        <v>111700000</v>
      </c>
      <c r="M155" s="2">
        <v>10</v>
      </c>
      <c r="N155" s="2">
        <v>5</v>
      </c>
    </row>
    <row r="156" spans="1:14" x14ac:dyDescent="0.3">
      <c r="A156" s="2">
        <v>653</v>
      </c>
      <c r="B156" s="2" t="s">
        <v>1057</v>
      </c>
      <c r="C156" s="3">
        <v>23564</v>
      </c>
      <c r="D156" s="2">
        <v>87</v>
      </c>
      <c r="E156" s="2" t="s">
        <v>636</v>
      </c>
      <c r="F156" s="2" t="s">
        <v>896</v>
      </c>
      <c r="G156" s="2" t="s">
        <v>417</v>
      </c>
      <c r="H156" s="2" t="s">
        <v>55</v>
      </c>
      <c r="I156" s="2" t="s">
        <v>19</v>
      </c>
      <c r="J156" s="2" t="s">
        <v>63</v>
      </c>
      <c r="K156" s="2">
        <v>200000</v>
      </c>
      <c r="L156" s="2">
        <v>12299668</v>
      </c>
      <c r="M156" s="2">
        <v>2</v>
      </c>
      <c r="N156" s="2">
        <v>0</v>
      </c>
    </row>
    <row r="157" spans="1:14" x14ac:dyDescent="0.3">
      <c r="A157" s="2">
        <v>664</v>
      </c>
      <c r="B157" s="2" t="s">
        <v>1068</v>
      </c>
      <c r="C157" s="3">
        <v>22990</v>
      </c>
      <c r="D157" s="2">
        <v>222</v>
      </c>
      <c r="E157" s="2" t="s">
        <v>166</v>
      </c>
      <c r="F157" s="2" t="s">
        <v>1052</v>
      </c>
      <c r="G157" s="2" t="s">
        <v>1069</v>
      </c>
      <c r="H157" s="2" t="s">
        <v>55</v>
      </c>
      <c r="I157" s="2" t="s">
        <v>19</v>
      </c>
      <c r="J157" s="2" t="s">
        <v>20</v>
      </c>
      <c r="K157" s="2">
        <v>15000000</v>
      </c>
      <c r="L157" s="2">
        <v>70000000</v>
      </c>
      <c r="M157" s="2">
        <v>10</v>
      </c>
      <c r="N157" s="2">
        <v>7</v>
      </c>
    </row>
    <row r="158" spans="1:14" x14ac:dyDescent="0.3">
      <c r="A158" s="2">
        <v>675</v>
      </c>
      <c r="B158" s="2" t="s">
        <v>1077</v>
      </c>
      <c r="C158" s="3">
        <v>22398</v>
      </c>
      <c r="D158" s="2">
        <v>158</v>
      </c>
      <c r="E158" s="2" t="s">
        <v>45</v>
      </c>
      <c r="F158" s="2" t="s">
        <v>1078</v>
      </c>
      <c r="G158" s="2" t="s">
        <v>213</v>
      </c>
      <c r="H158" s="2" t="s">
        <v>55</v>
      </c>
      <c r="I158" s="2" t="s">
        <v>19</v>
      </c>
      <c r="J158" s="2" t="s">
        <v>20</v>
      </c>
      <c r="K158" s="2">
        <v>6000000</v>
      </c>
      <c r="L158" s="2">
        <v>28900000</v>
      </c>
      <c r="M158" s="2">
        <v>7</v>
      </c>
      <c r="N158" s="2">
        <v>1</v>
      </c>
    </row>
    <row r="159" spans="1:14" x14ac:dyDescent="0.3">
      <c r="A159" s="2">
        <v>714</v>
      </c>
      <c r="B159" s="2" t="s">
        <v>1103</v>
      </c>
      <c r="C159" s="3">
        <v>21095</v>
      </c>
      <c r="D159" s="2">
        <v>161</v>
      </c>
      <c r="E159" s="2" t="s">
        <v>45</v>
      </c>
      <c r="F159" s="2" t="s">
        <v>1052</v>
      </c>
      <c r="G159" s="2" t="s">
        <v>1069</v>
      </c>
      <c r="H159" s="2" t="s">
        <v>55</v>
      </c>
      <c r="I159" s="2" t="s">
        <v>19</v>
      </c>
      <c r="J159" s="2" t="s">
        <v>63</v>
      </c>
      <c r="K159" s="2">
        <v>2800000</v>
      </c>
      <c r="L159" s="2">
        <v>30600000</v>
      </c>
      <c r="M159" s="2">
        <v>8</v>
      </c>
      <c r="N159" s="2">
        <v>7</v>
      </c>
    </row>
    <row r="160" spans="1:14" x14ac:dyDescent="0.3">
      <c r="A160" s="2">
        <v>766</v>
      </c>
      <c r="B160" s="2" t="s">
        <v>1132</v>
      </c>
      <c r="C160" s="3">
        <v>19206</v>
      </c>
      <c r="D160" s="2">
        <v>106</v>
      </c>
      <c r="E160" s="2" t="s">
        <v>15</v>
      </c>
      <c r="F160" s="2" t="s">
        <v>1133</v>
      </c>
      <c r="G160" s="2" t="s">
        <v>834</v>
      </c>
      <c r="H160" s="2" t="s">
        <v>55</v>
      </c>
      <c r="I160" s="2" t="s">
        <v>19</v>
      </c>
      <c r="J160" s="2" t="s">
        <v>63</v>
      </c>
      <c r="K160" s="2">
        <v>3842000</v>
      </c>
      <c r="L160" s="2">
        <v>10878000</v>
      </c>
      <c r="M160" s="2">
        <v>3</v>
      </c>
      <c r="N160" s="2">
        <v>0</v>
      </c>
    </row>
    <row r="161" spans="1:14" x14ac:dyDescent="0.3">
      <c r="A161" s="2">
        <v>769</v>
      </c>
      <c r="B161" s="2" t="s">
        <v>1136</v>
      </c>
      <c r="C161" s="3">
        <v>19351</v>
      </c>
      <c r="D161" s="2">
        <v>119</v>
      </c>
      <c r="E161" s="2" t="s">
        <v>190</v>
      </c>
      <c r="F161" s="2" t="s">
        <v>894</v>
      </c>
      <c r="G161" s="2" t="s">
        <v>1137</v>
      </c>
      <c r="H161" s="2" t="s">
        <v>55</v>
      </c>
      <c r="I161" s="2" t="s">
        <v>19</v>
      </c>
      <c r="J161" s="2" t="s">
        <v>20</v>
      </c>
      <c r="K161" s="2">
        <v>1500000</v>
      </c>
      <c r="L161" s="2">
        <v>5000000</v>
      </c>
      <c r="M161" s="2">
        <v>7</v>
      </c>
      <c r="N161" s="2">
        <v>2</v>
      </c>
    </row>
    <row r="162" spans="1:14" x14ac:dyDescent="0.3">
      <c r="A162" s="2">
        <v>899</v>
      </c>
      <c r="B162" s="2" t="s">
        <v>1159</v>
      </c>
      <c r="C162" s="3">
        <v>14380</v>
      </c>
      <c r="D162" s="2">
        <v>114</v>
      </c>
      <c r="E162" s="2" t="s">
        <v>190</v>
      </c>
      <c r="F162" s="2" t="s">
        <v>1150</v>
      </c>
      <c r="G162" s="2" t="s">
        <v>834</v>
      </c>
      <c r="H162" s="2" t="s">
        <v>55</v>
      </c>
      <c r="I162" s="2" t="s">
        <v>19</v>
      </c>
      <c r="J162" s="2" t="s">
        <v>63</v>
      </c>
      <c r="K162" s="2">
        <v>1051000</v>
      </c>
      <c r="L162" s="2">
        <v>3252000</v>
      </c>
      <c r="M162" s="2">
        <v>7</v>
      </c>
      <c r="N162" s="2">
        <v>1</v>
      </c>
    </row>
    <row r="163" spans="1:14" x14ac:dyDescent="0.3">
      <c r="A163" s="2">
        <v>1125</v>
      </c>
      <c r="B163" s="2" t="s">
        <v>1179</v>
      </c>
      <c r="C163" s="3">
        <v>42303</v>
      </c>
      <c r="D163" s="2">
        <v>148</v>
      </c>
      <c r="E163" s="2" t="s">
        <v>84</v>
      </c>
      <c r="F163" s="2" t="s">
        <v>224</v>
      </c>
      <c r="G163" s="2" t="s">
        <v>86</v>
      </c>
      <c r="H163" s="2" t="s">
        <v>55</v>
      </c>
      <c r="I163" s="2" t="s">
        <v>19</v>
      </c>
      <c r="J163" s="2" t="s">
        <v>25</v>
      </c>
      <c r="K163" s="2">
        <v>245000000</v>
      </c>
      <c r="L163" s="2">
        <v>880700000</v>
      </c>
      <c r="M163" s="2">
        <v>1</v>
      </c>
      <c r="N163" s="2">
        <v>1</v>
      </c>
    </row>
    <row r="164" spans="1:14" x14ac:dyDescent="0.3">
      <c r="A164" s="2">
        <v>1150</v>
      </c>
      <c r="B164" s="2" t="s">
        <v>1215</v>
      </c>
      <c r="C164" s="3">
        <v>22810</v>
      </c>
      <c r="D164" s="2">
        <v>152</v>
      </c>
      <c r="E164" s="2" t="s">
        <v>190</v>
      </c>
      <c r="F164" s="2" t="s">
        <v>1007</v>
      </c>
      <c r="G164" s="2" t="s">
        <v>1214</v>
      </c>
      <c r="H164" s="2" t="s">
        <v>55</v>
      </c>
      <c r="I164" s="2" t="s">
        <v>19</v>
      </c>
      <c r="J164" s="2">
        <v>15</v>
      </c>
      <c r="K164" s="2">
        <v>2000000</v>
      </c>
      <c r="L164" s="2">
        <v>9250000</v>
      </c>
      <c r="M164" s="2">
        <v>1</v>
      </c>
      <c r="N164" s="2">
        <v>0</v>
      </c>
    </row>
    <row r="165" spans="1:14" x14ac:dyDescent="0.3">
      <c r="A165" s="2">
        <v>1151</v>
      </c>
      <c r="B165" s="2" t="s">
        <v>1216</v>
      </c>
      <c r="C165" s="3">
        <v>12941</v>
      </c>
      <c r="D165" s="2">
        <v>86</v>
      </c>
      <c r="E165" s="2" t="s">
        <v>84</v>
      </c>
      <c r="F165" s="2" t="s">
        <v>1066</v>
      </c>
      <c r="G165" s="2" t="s">
        <v>195</v>
      </c>
      <c r="H165" s="2" t="s">
        <v>55</v>
      </c>
      <c r="I165" s="2" t="s">
        <v>19</v>
      </c>
      <c r="J165" s="2" t="s">
        <v>63</v>
      </c>
      <c r="K165" s="2">
        <v>100000</v>
      </c>
      <c r="L165" s="2">
        <v>100000</v>
      </c>
      <c r="M165" s="2">
        <v>0</v>
      </c>
      <c r="N165" s="2">
        <v>0</v>
      </c>
    </row>
    <row r="166" spans="1:14" x14ac:dyDescent="0.3">
      <c r="A166" s="2">
        <v>1154</v>
      </c>
      <c r="B166" s="2" t="s">
        <v>1163</v>
      </c>
      <c r="C166" s="3">
        <v>17554</v>
      </c>
      <c r="D166" s="2">
        <v>139</v>
      </c>
      <c r="E166" s="2" t="s">
        <v>190</v>
      </c>
      <c r="F166" s="2" t="s">
        <v>1220</v>
      </c>
      <c r="G166" s="2" t="s">
        <v>1221</v>
      </c>
      <c r="H166" s="2" t="s">
        <v>55</v>
      </c>
      <c r="I166" s="2" t="s">
        <v>19</v>
      </c>
      <c r="J166" s="2" t="s">
        <v>20</v>
      </c>
      <c r="K166" s="2">
        <v>1000000</v>
      </c>
      <c r="L166" s="2">
        <v>1000000</v>
      </c>
      <c r="M166" s="2">
        <v>0</v>
      </c>
      <c r="N166" s="2">
        <v>0</v>
      </c>
    </row>
    <row r="167" spans="1:14" x14ac:dyDescent="0.3">
      <c r="A167" s="2">
        <v>1159</v>
      </c>
      <c r="B167" s="2" t="s">
        <v>1228</v>
      </c>
      <c r="C167" s="3">
        <v>16767</v>
      </c>
      <c r="D167" s="2">
        <v>86</v>
      </c>
      <c r="E167" s="2" t="s">
        <v>34</v>
      </c>
      <c r="F167" s="2" t="s">
        <v>1052</v>
      </c>
      <c r="G167" s="2" t="s">
        <v>1229</v>
      </c>
      <c r="H167" s="2" t="s">
        <v>55</v>
      </c>
      <c r="I167" s="2" t="s">
        <v>19</v>
      </c>
      <c r="J167" s="2" t="s">
        <v>20</v>
      </c>
      <c r="K167" s="2">
        <v>1000000</v>
      </c>
      <c r="L167" s="2">
        <v>1000000</v>
      </c>
      <c r="M167" s="2">
        <v>3</v>
      </c>
      <c r="N167" s="2">
        <v>0</v>
      </c>
    </row>
    <row r="168" spans="1:14" x14ac:dyDescent="0.3">
      <c r="A168" s="2">
        <v>1161</v>
      </c>
      <c r="B168" s="2" t="s">
        <v>1230</v>
      </c>
      <c r="C168" s="3">
        <v>16728</v>
      </c>
      <c r="D168" s="2">
        <v>94</v>
      </c>
      <c r="E168" s="2" t="s">
        <v>150</v>
      </c>
      <c r="F168" s="2" t="s">
        <v>1145</v>
      </c>
      <c r="G168" s="2" t="s">
        <v>1231</v>
      </c>
      <c r="H168" s="2" t="s">
        <v>55</v>
      </c>
      <c r="I168" s="2" t="s">
        <v>19</v>
      </c>
      <c r="J168" s="2" t="s">
        <v>20</v>
      </c>
      <c r="K168" s="2">
        <v>100000</v>
      </c>
      <c r="L168" s="2">
        <v>2000000</v>
      </c>
      <c r="M168" s="2">
        <v>1</v>
      </c>
      <c r="N168" s="2">
        <v>1</v>
      </c>
    </row>
    <row r="169" spans="1:14" x14ac:dyDescent="0.3">
      <c r="A169" s="2">
        <v>1162</v>
      </c>
      <c r="B169" s="2" t="s">
        <v>1232</v>
      </c>
      <c r="C169" s="3">
        <v>17162</v>
      </c>
      <c r="D169" s="2">
        <v>113</v>
      </c>
      <c r="E169" s="2" t="s">
        <v>190</v>
      </c>
      <c r="F169" s="2" t="s">
        <v>1052</v>
      </c>
      <c r="G169" s="2" t="s">
        <v>1229</v>
      </c>
      <c r="H169" s="2" t="s">
        <v>55</v>
      </c>
      <c r="I169" s="2" t="s">
        <v>19</v>
      </c>
      <c r="J169" s="2" t="s">
        <v>20</v>
      </c>
      <c r="K169" s="2">
        <v>500000</v>
      </c>
      <c r="L169" s="2">
        <v>2000000</v>
      </c>
      <c r="M169" s="2">
        <v>5</v>
      </c>
      <c r="N169" s="2">
        <v>2</v>
      </c>
    </row>
    <row r="170" spans="1:14" x14ac:dyDescent="0.3">
      <c r="A170" s="2">
        <v>1164</v>
      </c>
      <c r="B170" s="2" t="s">
        <v>1234</v>
      </c>
      <c r="C170" s="3">
        <v>17657</v>
      </c>
      <c r="D170" s="2">
        <v>155</v>
      </c>
      <c r="E170" s="2" t="s">
        <v>190</v>
      </c>
      <c r="F170" s="2" t="s">
        <v>1235</v>
      </c>
      <c r="G170" s="2" t="s">
        <v>1236</v>
      </c>
      <c r="H170" s="2" t="s">
        <v>55</v>
      </c>
      <c r="I170" s="2" t="s">
        <v>19</v>
      </c>
      <c r="J170" s="2" t="s">
        <v>63</v>
      </c>
      <c r="K170" s="2">
        <v>750000</v>
      </c>
      <c r="L170" s="2">
        <v>3250000</v>
      </c>
      <c r="M170" s="2">
        <v>7</v>
      </c>
      <c r="N170" s="2">
        <v>4</v>
      </c>
    </row>
    <row r="171" spans="1:14" x14ac:dyDescent="0.3">
      <c r="A171" s="2">
        <v>1172</v>
      </c>
      <c r="B171" s="2" t="s">
        <v>1249</v>
      </c>
      <c r="C171" s="3">
        <v>27493</v>
      </c>
      <c r="D171" s="2">
        <v>92</v>
      </c>
      <c r="E171" s="2" t="s">
        <v>38</v>
      </c>
      <c r="F171" s="2" t="s">
        <v>904</v>
      </c>
      <c r="G171" s="2" t="s">
        <v>1250</v>
      </c>
      <c r="H171" s="2" t="s">
        <v>55</v>
      </c>
      <c r="I171" s="2" t="s">
        <v>19</v>
      </c>
      <c r="J171" s="2">
        <v>15</v>
      </c>
      <c r="K171" s="2">
        <v>400000</v>
      </c>
      <c r="L171" s="2">
        <v>5000000</v>
      </c>
      <c r="M171" s="2">
        <v>0</v>
      </c>
      <c r="N171" s="2">
        <v>0</v>
      </c>
    </row>
    <row r="172" spans="1:14" x14ac:dyDescent="0.3">
      <c r="A172" s="2">
        <v>1173</v>
      </c>
      <c r="B172" s="2" t="s">
        <v>1251</v>
      </c>
      <c r="C172" s="3">
        <v>29084</v>
      </c>
      <c r="D172" s="2">
        <v>93</v>
      </c>
      <c r="E172" s="2" t="s">
        <v>38</v>
      </c>
      <c r="F172" s="2" t="s">
        <v>1252</v>
      </c>
      <c r="G172" s="2" t="s">
        <v>1250</v>
      </c>
      <c r="H172" s="2" t="s">
        <v>55</v>
      </c>
      <c r="I172" s="2" t="s">
        <v>19</v>
      </c>
      <c r="J172" s="2">
        <v>15</v>
      </c>
      <c r="K172" s="2">
        <v>4000000</v>
      </c>
      <c r="L172" s="2">
        <v>20000000</v>
      </c>
      <c r="M172" s="2">
        <v>0</v>
      </c>
      <c r="N172" s="2">
        <v>0</v>
      </c>
    </row>
    <row r="173" spans="1:14" x14ac:dyDescent="0.3">
      <c r="A173" s="2">
        <v>1219</v>
      </c>
      <c r="B173" s="2" t="s">
        <v>1282</v>
      </c>
      <c r="C173" s="3">
        <v>29749</v>
      </c>
      <c r="D173" s="2">
        <v>118</v>
      </c>
      <c r="E173" s="2" t="s">
        <v>15</v>
      </c>
      <c r="F173" s="2" t="s">
        <v>1283</v>
      </c>
      <c r="G173" s="2" t="s">
        <v>834</v>
      </c>
      <c r="H173" s="2" t="s">
        <v>55</v>
      </c>
      <c r="I173" s="2" t="s">
        <v>19</v>
      </c>
      <c r="J173" s="2">
        <v>12</v>
      </c>
      <c r="K173" s="2">
        <v>15000000</v>
      </c>
      <c r="L173" s="2">
        <v>41000000</v>
      </c>
      <c r="M173" s="2">
        <v>0</v>
      </c>
      <c r="N173" s="2">
        <v>0</v>
      </c>
    </row>
    <row r="174" spans="1:14" x14ac:dyDescent="0.3">
      <c r="A174" s="2">
        <v>1311</v>
      </c>
      <c r="B174" s="2" t="s">
        <v>1364</v>
      </c>
      <c r="C174" s="3">
        <v>38972</v>
      </c>
      <c r="D174" s="2">
        <v>102</v>
      </c>
      <c r="E174" s="2" t="s">
        <v>190</v>
      </c>
      <c r="F174" s="2" t="s">
        <v>1365</v>
      </c>
      <c r="G174" s="2" t="s">
        <v>1366</v>
      </c>
      <c r="H174" s="2" t="s">
        <v>55</v>
      </c>
      <c r="I174" s="2" t="s">
        <v>19</v>
      </c>
      <c r="J174" s="2">
        <v>18</v>
      </c>
      <c r="K174" s="2">
        <v>3000000</v>
      </c>
      <c r="L174" s="2">
        <v>10000000</v>
      </c>
      <c r="M174" s="2">
        <v>0</v>
      </c>
      <c r="N174" s="2">
        <v>0</v>
      </c>
    </row>
    <row r="175" spans="1:14" x14ac:dyDescent="0.3">
      <c r="A175" s="2">
        <v>1314</v>
      </c>
      <c r="B175" s="2" t="s">
        <v>1368</v>
      </c>
      <c r="C175" s="3">
        <v>38261</v>
      </c>
      <c r="D175" s="2">
        <v>90</v>
      </c>
      <c r="E175" s="2" t="s">
        <v>84</v>
      </c>
      <c r="F175" s="2" t="s">
        <v>1365</v>
      </c>
      <c r="G175" s="2" t="s">
        <v>1366</v>
      </c>
      <c r="H175" s="2" t="s">
        <v>55</v>
      </c>
      <c r="I175" s="2" t="s">
        <v>19</v>
      </c>
      <c r="J175" s="2">
        <v>18</v>
      </c>
      <c r="K175" s="2">
        <v>1000000</v>
      </c>
      <c r="L175" s="2">
        <v>1000000</v>
      </c>
      <c r="M175" s="2">
        <v>0</v>
      </c>
      <c r="N175" s="2">
        <v>0</v>
      </c>
    </row>
    <row r="176" spans="1:14" x14ac:dyDescent="0.3">
      <c r="A176" s="2">
        <v>1315</v>
      </c>
      <c r="B176" s="2" t="s">
        <v>1369</v>
      </c>
      <c r="C176" s="3">
        <v>38506</v>
      </c>
      <c r="D176" s="2">
        <v>92</v>
      </c>
      <c r="E176" s="2" t="s">
        <v>38</v>
      </c>
      <c r="F176" s="2" t="s">
        <v>1370</v>
      </c>
      <c r="G176" s="2" t="s">
        <v>1366</v>
      </c>
      <c r="H176" s="2" t="s">
        <v>55</v>
      </c>
      <c r="I176" s="2" t="s">
        <v>19</v>
      </c>
      <c r="J176" s="2">
        <v>15</v>
      </c>
      <c r="K176" s="2">
        <v>6000000</v>
      </c>
      <c r="L176" s="2">
        <v>6000000</v>
      </c>
      <c r="M176" s="2">
        <v>0</v>
      </c>
      <c r="N176" s="2">
        <v>0</v>
      </c>
    </row>
    <row r="177" spans="1:14" x14ac:dyDescent="0.3">
      <c r="A177" s="2">
        <v>1316</v>
      </c>
      <c r="B177" s="2" t="s">
        <v>1371</v>
      </c>
      <c r="C177" s="3">
        <v>40077</v>
      </c>
      <c r="D177" s="2">
        <v>93</v>
      </c>
      <c r="E177" s="2" t="s">
        <v>150</v>
      </c>
      <c r="F177" s="2" t="s">
        <v>1372</v>
      </c>
      <c r="G177" s="2" t="s">
        <v>1373</v>
      </c>
      <c r="H177" s="2" t="s">
        <v>55</v>
      </c>
      <c r="I177" s="2" t="s">
        <v>19</v>
      </c>
      <c r="J177" s="2">
        <v>15</v>
      </c>
      <c r="K177" s="2">
        <v>30000</v>
      </c>
      <c r="L177" s="2">
        <v>30000</v>
      </c>
      <c r="M177" s="2">
        <v>0</v>
      </c>
      <c r="N177" s="2">
        <v>0</v>
      </c>
    </row>
    <row r="178" spans="1:14" x14ac:dyDescent="0.3">
      <c r="A178" s="2">
        <v>1317</v>
      </c>
      <c r="B178" s="2" t="s">
        <v>1374</v>
      </c>
      <c r="C178" s="3">
        <v>40614</v>
      </c>
      <c r="D178" s="2">
        <v>95</v>
      </c>
      <c r="E178" s="2" t="s">
        <v>84</v>
      </c>
      <c r="F178" s="2" t="s">
        <v>1372</v>
      </c>
      <c r="G178" s="2" t="s">
        <v>1366</v>
      </c>
      <c r="H178" s="2" t="s">
        <v>55</v>
      </c>
      <c r="I178" s="2" t="s">
        <v>19</v>
      </c>
      <c r="J178" s="2">
        <v>18</v>
      </c>
      <c r="K178" s="2">
        <v>800000</v>
      </c>
      <c r="L178" s="2">
        <v>462206</v>
      </c>
      <c r="M178" s="2">
        <v>0</v>
      </c>
      <c r="N178" s="2">
        <v>0</v>
      </c>
    </row>
    <row r="179" spans="1:14" x14ac:dyDescent="0.3">
      <c r="A179" s="2">
        <v>1319</v>
      </c>
      <c r="B179" s="2" t="s">
        <v>1375</v>
      </c>
      <c r="C179" s="3">
        <v>41460</v>
      </c>
      <c r="D179" s="2">
        <v>91</v>
      </c>
      <c r="E179" s="2" t="s">
        <v>84</v>
      </c>
      <c r="F179" s="2" t="s">
        <v>1372</v>
      </c>
      <c r="G179" s="2" t="s">
        <v>1366</v>
      </c>
      <c r="H179" s="2" t="s">
        <v>55</v>
      </c>
      <c r="I179" s="2" t="s">
        <v>19</v>
      </c>
      <c r="J179" s="2">
        <v>15</v>
      </c>
      <c r="K179" s="2">
        <v>500000</v>
      </c>
      <c r="L179" s="2">
        <v>500000</v>
      </c>
      <c r="M179" s="2">
        <v>0</v>
      </c>
      <c r="N179" s="2">
        <v>0</v>
      </c>
    </row>
    <row r="180" spans="1:14" x14ac:dyDescent="0.3">
      <c r="A180" s="2">
        <v>1320</v>
      </c>
      <c r="B180" s="2" t="s">
        <v>1376</v>
      </c>
      <c r="C180" s="3">
        <v>42260</v>
      </c>
      <c r="D180" s="2">
        <v>119</v>
      </c>
      <c r="E180" s="2" t="s">
        <v>49</v>
      </c>
      <c r="F180" s="2" t="s">
        <v>1372</v>
      </c>
      <c r="G180" s="2" t="s">
        <v>1366</v>
      </c>
      <c r="H180" s="2" t="s">
        <v>55</v>
      </c>
      <c r="I180" s="2" t="s">
        <v>19</v>
      </c>
      <c r="J180" s="2">
        <v>15</v>
      </c>
      <c r="K180" s="2">
        <v>8000000</v>
      </c>
      <c r="L180" s="2">
        <v>3900000</v>
      </c>
      <c r="M180" s="2">
        <v>0</v>
      </c>
      <c r="N180" s="2">
        <v>0</v>
      </c>
    </row>
    <row r="181" spans="1:14" x14ac:dyDescent="0.3">
      <c r="A181" s="2">
        <v>1326</v>
      </c>
      <c r="B181" s="2" t="s">
        <v>1385</v>
      </c>
      <c r="C181" s="3">
        <v>39690</v>
      </c>
      <c r="D181" s="2">
        <v>120</v>
      </c>
      <c r="E181" s="2" t="s">
        <v>190</v>
      </c>
      <c r="F181" s="2" t="s">
        <v>445</v>
      </c>
      <c r="G181" s="2" t="s">
        <v>1366</v>
      </c>
      <c r="H181" s="2" t="s">
        <v>55</v>
      </c>
      <c r="I181" s="2" t="s">
        <v>19</v>
      </c>
      <c r="J181" s="2">
        <v>15</v>
      </c>
      <c r="K181" s="2">
        <v>15000000</v>
      </c>
      <c r="L181" s="2">
        <v>377900000</v>
      </c>
      <c r="M181" s="2">
        <v>10</v>
      </c>
      <c r="N181" s="2">
        <v>8</v>
      </c>
    </row>
    <row r="182" spans="1:14" x14ac:dyDescent="0.3">
      <c r="A182" s="2">
        <v>1327</v>
      </c>
      <c r="B182" s="2" t="s">
        <v>1386</v>
      </c>
      <c r="C182" s="3">
        <v>40877</v>
      </c>
      <c r="D182" s="2">
        <v>124</v>
      </c>
      <c r="E182" s="2" t="s">
        <v>38</v>
      </c>
      <c r="F182" s="2" t="s">
        <v>710</v>
      </c>
      <c r="G182" s="2" t="s">
        <v>1387</v>
      </c>
      <c r="H182" s="2" t="s">
        <v>55</v>
      </c>
      <c r="I182" s="2" t="s">
        <v>19</v>
      </c>
      <c r="J182" s="2" t="s">
        <v>25</v>
      </c>
      <c r="K182" s="2">
        <v>10000000</v>
      </c>
      <c r="L182" s="2">
        <v>136800000</v>
      </c>
      <c r="M182" s="2">
        <v>0</v>
      </c>
      <c r="N182" s="2">
        <v>0</v>
      </c>
    </row>
    <row r="183" spans="1:14" x14ac:dyDescent="0.3">
      <c r="A183" s="2">
        <v>1328</v>
      </c>
      <c r="B183" s="2" t="s">
        <v>1388</v>
      </c>
      <c r="C183" s="3">
        <v>42061</v>
      </c>
      <c r="D183" s="2">
        <v>122</v>
      </c>
      <c r="E183" s="2" t="s">
        <v>38</v>
      </c>
      <c r="F183" s="2" t="s">
        <v>710</v>
      </c>
      <c r="G183" s="2" t="s">
        <v>1387</v>
      </c>
      <c r="H183" s="2" t="s">
        <v>55</v>
      </c>
      <c r="I183" s="2" t="s">
        <v>19</v>
      </c>
      <c r="J183" s="2" t="s">
        <v>20</v>
      </c>
      <c r="K183" s="2">
        <v>10000000</v>
      </c>
      <c r="L183" s="2">
        <v>86000000</v>
      </c>
      <c r="M183" s="2">
        <v>0</v>
      </c>
      <c r="N183" s="2">
        <v>0</v>
      </c>
    </row>
    <row r="184" spans="1:14" x14ac:dyDescent="0.3">
      <c r="A184" s="2">
        <v>1330</v>
      </c>
      <c r="B184" s="2" t="s">
        <v>1390</v>
      </c>
      <c r="C184" s="3">
        <v>40606</v>
      </c>
      <c r="D184" s="2">
        <v>121</v>
      </c>
      <c r="E184" s="2" t="s">
        <v>245</v>
      </c>
      <c r="F184" s="2" t="s">
        <v>1391</v>
      </c>
      <c r="G184" s="2" t="s">
        <v>1392</v>
      </c>
      <c r="H184" s="2" t="s">
        <v>55</v>
      </c>
      <c r="I184" s="2" t="s">
        <v>19</v>
      </c>
      <c r="J184" s="2">
        <v>15</v>
      </c>
      <c r="K184" s="2">
        <v>25000000</v>
      </c>
      <c r="L184" s="2">
        <v>25000000</v>
      </c>
      <c r="M184" s="2">
        <v>0</v>
      </c>
      <c r="N184" s="2">
        <v>0</v>
      </c>
    </row>
    <row r="185" spans="1:14" x14ac:dyDescent="0.3">
      <c r="A185" s="2">
        <v>1333</v>
      </c>
      <c r="B185" s="2" t="s">
        <v>1397</v>
      </c>
      <c r="C185" s="3">
        <v>34471</v>
      </c>
      <c r="D185" s="2">
        <v>92</v>
      </c>
      <c r="E185" s="2" t="s">
        <v>150</v>
      </c>
      <c r="F185" s="2" t="s">
        <v>445</v>
      </c>
      <c r="G185" s="2" t="s">
        <v>1366</v>
      </c>
      <c r="H185" s="2" t="s">
        <v>55</v>
      </c>
      <c r="I185" s="2" t="s">
        <v>19</v>
      </c>
      <c r="J185" s="2">
        <v>18</v>
      </c>
      <c r="K185" s="2">
        <v>2500000</v>
      </c>
      <c r="L185" s="2">
        <v>19800000</v>
      </c>
      <c r="M185" s="2">
        <v>0</v>
      </c>
      <c r="N185" s="2">
        <v>0</v>
      </c>
    </row>
    <row r="186" spans="1:14" x14ac:dyDescent="0.3">
      <c r="A186" s="2">
        <v>1334</v>
      </c>
      <c r="B186" s="2" t="s">
        <v>1398</v>
      </c>
      <c r="C186" s="3">
        <v>35727</v>
      </c>
      <c r="D186" s="2">
        <v>103</v>
      </c>
      <c r="E186" s="2" t="s">
        <v>38</v>
      </c>
      <c r="F186" s="2" t="s">
        <v>445</v>
      </c>
      <c r="G186" s="2" t="s">
        <v>449</v>
      </c>
      <c r="H186" s="2" t="s">
        <v>55</v>
      </c>
      <c r="I186" s="2" t="s">
        <v>19</v>
      </c>
      <c r="J186" s="2">
        <v>15</v>
      </c>
      <c r="K186" s="2">
        <v>12000000</v>
      </c>
      <c r="L186" s="2">
        <v>4366722</v>
      </c>
      <c r="M186" s="2">
        <v>0</v>
      </c>
      <c r="N186" s="2">
        <v>0</v>
      </c>
    </row>
    <row r="187" spans="1:14" x14ac:dyDescent="0.3">
      <c r="A187" s="2">
        <v>1335</v>
      </c>
      <c r="B187" s="2" t="s">
        <v>1399</v>
      </c>
      <c r="C187" s="3">
        <v>39198</v>
      </c>
      <c r="D187" s="2">
        <v>100</v>
      </c>
      <c r="E187" s="2" t="s">
        <v>68</v>
      </c>
      <c r="F187" s="2" t="s">
        <v>1400</v>
      </c>
      <c r="G187" s="2" t="s">
        <v>527</v>
      </c>
      <c r="H187" s="2" t="s">
        <v>55</v>
      </c>
      <c r="I187" s="2" t="s">
        <v>19</v>
      </c>
      <c r="J187" s="2">
        <v>18</v>
      </c>
      <c r="K187" s="2">
        <v>15000000</v>
      </c>
      <c r="L187" s="2">
        <v>64200000</v>
      </c>
      <c r="M187" s="2">
        <v>0</v>
      </c>
      <c r="N187" s="2">
        <v>0</v>
      </c>
    </row>
    <row r="188" spans="1:14" x14ac:dyDescent="0.3">
      <c r="A188" s="2">
        <v>1336</v>
      </c>
      <c r="B188" s="2" t="s">
        <v>1401</v>
      </c>
      <c r="C188" s="3">
        <v>40425</v>
      </c>
      <c r="D188" s="2">
        <v>93</v>
      </c>
      <c r="E188" s="2" t="s">
        <v>166</v>
      </c>
      <c r="F188" s="2" t="s">
        <v>445</v>
      </c>
      <c r="G188" s="2" t="s">
        <v>1366</v>
      </c>
      <c r="H188" s="2" t="s">
        <v>55</v>
      </c>
      <c r="I188" s="2" t="s">
        <v>19</v>
      </c>
      <c r="J188" s="2">
        <v>15</v>
      </c>
      <c r="K188" s="2">
        <v>18000000</v>
      </c>
      <c r="L188" s="2">
        <v>60700000</v>
      </c>
      <c r="M188" s="2">
        <v>6</v>
      </c>
      <c r="N188" s="2">
        <v>0</v>
      </c>
    </row>
    <row r="189" spans="1:14" x14ac:dyDescent="0.3">
      <c r="A189" s="2">
        <v>1337</v>
      </c>
      <c r="B189" s="2" t="s">
        <v>1402</v>
      </c>
      <c r="C189" s="3">
        <v>41352</v>
      </c>
      <c r="D189" s="2">
        <v>101</v>
      </c>
      <c r="E189" s="2" t="s">
        <v>150</v>
      </c>
      <c r="F189" s="2" t="s">
        <v>445</v>
      </c>
      <c r="G189" s="2" t="s">
        <v>1083</v>
      </c>
      <c r="H189" s="2" t="s">
        <v>55</v>
      </c>
      <c r="I189" s="2" t="s">
        <v>19</v>
      </c>
      <c r="J189" s="2">
        <v>15</v>
      </c>
      <c r="K189" s="2">
        <v>20000000</v>
      </c>
      <c r="L189" s="2">
        <v>24300000</v>
      </c>
      <c r="M189" s="2">
        <v>0</v>
      </c>
      <c r="N189" s="2">
        <v>0</v>
      </c>
    </row>
    <row r="190" spans="1:14" x14ac:dyDescent="0.3">
      <c r="A190" s="2">
        <v>1371</v>
      </c>
      <c r="B190" s="2" t="s">
        <v>1448</v>
      </c>
      <c r="C190" s="3">
        <v>41986</v>
      </c>
      <c r="D190" s="2">
        <v>129</v>
      </c>
      <c r="E190" s="2" t="s">
        <v>22</v>
      </c>
      <c r="F190" s="2" t="s">
        <v>1445</v>
      </c>
      <c r="G190" s="2" t="s">
        <v>58</v>
      </c>
      <c r="H190" s="2" t="s">
        <v>55</v>
      </c>
      <c r="I190" s="2" t="s">
        <v>19</v>
      </c>
      <c r="J190" s="2">
        <v>15</v>
      </c>
      <c r="K190" s="2">
        <v>94000000</v>
      </c>
      <c r="L190" s="2">
        <v>414400000</v>
      </c>
      <c r="M190" s="2">
        <v>0</v>
      </c>
      <c r="N190" s="2">
        <v>0</v>
      </c>
    </row>
    <row r="191" spans="1:14" x14ac:dyDescent="0.3">
      <c r="A191" s="2">
        <v>1372</v>
      </c>
      <c r="B191" s="2" t="s">
        <v>1449</v>
      </c>
      <c r="C191" s="3">
        <v>40263</v>
      </c>
      <c r="D191" s="2">
        <v>117</v>
      </c>
      <c r="E191" s="2" t="s">
        <v>22</v>
      </c>
      <c r="F191" s="2" t="s">
        <v>1445</v>
      </c>
      <c r="G191" s="2" t="s">
        <v>1450</v>
      </c>
      <c r="H191" s="2" t="s">
        <v>55</v>
      </c>
      <c r="I191" s="2" t="s">
        <v>19</v>
      </c>
      <c r="J191" s="2">
        <v>15</v>
      </c>
      <c r="K191" s="2">
        <v>30000000</v>
      </c>
      <c r="L191" s="2">
        <v>96200000</v>
      </c>
      <c r="M191" s="2">
        <v>0</v>
      </c>
      <c r="N191" s="2">
        <v>0</v>
      </c>
    </row>
    <row r="192" spans="1:14" x14ac:dyDescent="0.3">
      <c r="A192" s="2">
        <v>1373</v>
      </c>
      <c r="B192" s="2" t="s">
        <v>1451</v>
      </c>
      <c r="C192" s="3">
        <v>39304</v>
      </c>
      <c r="D192" s="2">
        <v>127</v>
      </c>
      <c r="E192" s="2" t="s">
        <v>52</v>
      </c>
      <c r="F192" s="2" t="s">
        <v>1445</v>
      </c>
      <c r="G192" s="2" t="s">
        <v>1452</v>
      </c>
      <c r="H192" s="2" t="s">
        <v>55</v>
      </c>
      <c r="I192" s="2" t="s">
        <v>19</v>
      </c>
      <c r="J192" s="2" t="s">
        <v>20</v>
      </c>
      <c r="K192" s="2">
        <v>88500000</v>
      </c>
      <c r="L192" s="2">
        <v>135600000</v>
      </c>
      <c r="M192" s="2">
        <v>0</v>
      </c>
      <c r="N192" s="2">
        <v>0</v>
      </c>
    </row>
    <row r="193" spans="1:14" x14ac:dyDescent="0.3">
      <c r="A193" s="2">
        <v>1374</v>
      </c>
      <c r="B193" s="2" t="s">
        <v>1453</v>
      </c>
      <c r="C193" s="3">
        <v>38261</v>
      </c>
      <c r="D193" s="2">
        <v>105</v>
      </c>
      <c r="E193" s="2" t="s">
        <v>150</v>
      </c>
      <c r="F193" s="2" t="s">
        <v>1445</v>
      </c>
      <c r="G193" s="2" t="s">
        <v>1452</v>
      </c>
      <c r="H193" s="2" t="s">
        <v>55</v>
      </c>
      <c r="I193" s="2" t="s">
        <v>19</v>
      </c>
      <c r="J193" s="2">
        <v>15</v>
      </c>
      <c r="K193" s="2">
        <v>6500000</v>
      </c>
      <c r="L193" s="2">
        <v>11900000</v>
      </c>
      <c r="M193" s="2">
        <v>0</v>
      </c>
      <c r="N193" s="2">
        <v>0</v>
      </c>
    </row>
    <row r="194" spans="1:14" x14ac:dyDescent="0.3">
      <c r="A194" s="2">
        <v>1375</v>
      </c>
      <c r="B194" s="2" t="s">
        <v>1454</v>
      </c>
      <c r="C194" s="3">
        <v>37883</v>
      </c>
      <c r="D194" s="2">
        <v>121</v>
      </c>
      <c r="E194" s="2" t="s">
        <v>22</v>
      </c>
      <c r="F194" s="2" t="s">
        <v>154</v>
      </c>
      <c r="G194" s="2" t="s">
        <v>365</v>
      </c>
      <c r="H194" s="2" t="s">
        <v>55</v>
      </c>
      <c r="I194" s="2" t="s">
        <v>19</v>
      </c>
      <c r="J194" s="2">
        <v>15</v>
      </c>
      <c r="K194" s="2">
        <v>22000000</v>
      </c>
      <c r="L194" s="2">
        <v>95700000</v>
      </c>
      <c r="M194" s="2">
        <v>0</v>
      </c>
      <c r="N194" s="2">
        <v>0</v>
      </c>
    </row>
    <row r="195" spans="1:14" x14ac:dyDescent="0.3">
      <c r="A195" s="2">
        <v>1376</v>
      </c>
      <c r="B195" s="2" t="s">
        <v>1455</v>
      </c>
      <c r="C195" s="3">
        <v>38737</v>
      </c>
      <c r="D195" s="2">
        <v>106</v>
      </c>
      <c r="E195" s="2" t="s">
        <v>22</v>
      </c>
      <c r="F195" s="2" t="s">
        <v>154</v>
      </c>
      <c r="G195" s="2" t="s">
        <v>365</v>
      </c>
      <c r="H195" s="2" t="s">
        <v>55</v>
      </c>
      <c r="I195" s="2" t="s">
        <v>19</v>
      </c>
      <c r="J195" s="2">
        <v>18</v>
      </c>
      <c r="K195" s="2">
        <v>45000000</v>
      </c>
      <c r="L195" s="2">
        <v>111300000</v>
      </c>
      <c r="M195" s="2">
        <v>0</v>
      </c>
      <c r="N195" s="2">
        <v>0</v>
      </c>
    </row>
    <row r="196" spans="1:14" x14ac:dyDescent="0.3">
      <c r="A196" s="2">
        <v>1404</v>
      </c>
      <c r="B196" s="2" t="s">
        <v>1485</v>
      </c>
      <c r="C196" s="3">
        <v>29728</v>
      </c>
      <c r="D196" s="2">
        <v>109</v>
      </c>
      <c r="E196" s="2" t="s">
        <v>49</v>
      </c>
      <c r="F196" s="2" t="s">
        <v>1420</v>
      </c>
      <c r="G196" s="2" t="s">
        <v>376</v>
      </c>
      <c r="H196" s="2" t="s">
        <v>55</v>
      </c>
      <c r="I196" s="2" t="s">
        <v>19</v>
      </c>
      <c r="J196" s="2">
        <v>15</v>
      </c>
      <c r="K196" s="2">
        <v>16000000</v>
      </c>
      <c r="L196" s="2">
        <v>20000000</v>
      </c>
      <c r="M196" s="2">
        <v>1</v>
      </c>
      <c r="N196" s="2">
        <v>0</v>
      </c>
    </row>
    <row r="197" spans="1:14" x14ac:dyDescent="0.3">
      <c r="A197" s="2">
        <v>1415</v>
      </c>
      <c r="B197" s="2" t="s">
        <v>1505</v>
      </c>
      <c r="C197" s="3">
        <v>31945</v>
      </c>
      <c r="D197" s="2">
        <v>116</v>
      </c>
      <c r="E197" s="2" t="s">
        <v>45</v>
      </c>
      <c r="F197" s="2" t="s">
        <v>1007</v>
      </c>
      <c r="G197" s="2" t="s">
        <v>1026</v>
      </c>
      <c r="H197" s="2" t="s">
        <v>55</v>
      </c>
      <c r="I197" s="2" t="s">
        <v>19</v>
      </c>
      <c r="J197" s="2">
        <v>15</v>
      </c>
      <c r="K197" s="2">
        <v>30000000</v>
      </c>
      <c r="L197" s="2">
        <v>46400000</v>
      </c>
      <c r="M197" s="2">
        <v>1</v>
      </c>
      <c r="N197" s="2">
        <v>0</v>
      </c>
    </row>
    <row r="198" spans="1:14" x14ac:dyDescent="0.3">
      <c r="A198" s="2">
        <v>1416</v>
      </c>
      <c r="B198" s="2" t="s">
        <v>1506</v>
      </c>
      <c r="C198" s="3">
        <v>36357</v>
      </c>
      <c r="D198" s="2">
        <v>159</v>
      </c>
      <c r="E198" s="2" t="s">
        <v>190</v>
      </c>
      <c r="F198" s="2" t="s">
        <v>1007</v>
      </c>
      <c r="G198" s="2" t="s">
        <v>1026</v>
      </c>
      <c r="H198" s="2" t="s">
        <v>55</v>
      </c>
      <c r="I198" s="2" t="s">
        <v>19</v>
      </c>
      <c r="J198" s="2">
        <v>18</v>
      </c>
      <c r="K198" s="2">
        <v>65000000</v>
      </c>
      <c r="L198" s="2">
        <v>162100000</v>
      </c>
      <c r="M198" s="2">
        <v>0</v>
      </c>
      <c r="N198" s="2">
        <v>0</v>
      </c>
    </row>
    <row r="199" spans="1:14" x14ac:dyDescent="0.3">
      <c r="A199" s="2">
        <v>1417</v>
      </c>
      <c r="B199" s="2" t="s">
        <v>1507</v>
      </c>
      <c r="C199" s="3">
        <v>29364</v>
      </c>
      <c r="D199" s="2">
        <v>146</v>
      </c>
      <c r="E199" s="2" t="s">
        <v>68</v>
      </c>
      <c r="F199" s="2" t="s">
        <v>1007</v>
      </c>
      <c r="G199" s="2" t="s">
        <v>1008</v>
      </c>
      <c r="H199" s="2" t="s">
        <v>55</v>
      </c>
      <c r="I199" s="2" t="s">
        <v>19</v>
      </c>
      <c r="J199" s="2">
        <v>18</v>
      </c>
      <c r="K199" s="2">
        <v>19000000</v>
      </c>
      <c r="L199" s="2">
        <v>44400000</v>
      </c>
      <c r="M199" s="2">
        <v>0</v>
      </c>
      <c r="N199" s="2">
        <v>0</v>
      </c>
    </row>
    <row r="200" spans="1:14" x14ac:dyDescent="0.3">
      <c r="A200" s="2">
        <v>1418</v>
      </c>
      <c r="B200" s="2" t="s">
        <v>1508</v>
      </c>
      <c r="C200" s="3">
        <v>23405</v>
      </c>
      <c r="D200" s="2">
        <v>94</v>
      </c>
      <c r="E200" s="2" t="s">
        <v>38</v>
      </c>
      <c r="F200" s="2" t="s">
        <v>1007</v>
      </c>
      <c r="G200" s="2" t="s">
        <v>1008</v>
      </c>
      <c r="H200" s="2" t="s">
        <v>55</v>
      </c>
      <c r="I200" s="2" t="s">
        <v>19</v>
      </c>
      <c r="J200" s="2" t="s">
        <v>20</v>
      </c>
      <c r="K200" s="2">
        <v>1800000</v>
      </c>
      <c r="L200" s="2">
        <v>9400000</v>
      </c>
      <c r="M200" s="2">
        <v>4</v>
      </c>
      <c r="N200" s="2">
        <v>0</v>
      </c>
    </row>
    <row r="201" spans="1:14" x14ac:dyDescent="0.3">
      <c r="A201" s="2">
        <v>1427</v>
      </c>
      <c r="B201" s="2" t="s">
        <v>1513</v>
      </c>
      <c r="C201" s="3">
        <v>27357</v>
      </c>
      <c r="D201" s="2">
        <v>131</v>
      </c>
      <c r="E201" s="2" t="s">
        <v>150</v>
      </c>
      <c r="F201" s="2" t="s">
        <v>968</v>
      </c>
      <c r="G201" s="2" t="s">
        <v>944</v>
      </c>
      <c r="H201" s="2" t="s">
        <v>55</v>
      </c>
      <c r="I201" s="2" t="s">
        <v>19</v>
      </c>
      <c r="J201" s="2" t="s">
        <v>20</v>
      </c>
      <c r="K201" s="2">
        <v>2500000</v>
      </c>
      <c r="L201" s="2">
        <v>30000000</v>
      </c>
      <c r="M201" s="2">
        <v>6</v>
      </c>
      <c r="N201" s="2">
        <v>1</v>
      </c>
    </row>
    <row r="202" spans="1:14" x14ac:dyDescent="0.3">
      <c r="A202" s="2">
        <v>1429</v>
      </c>
      <c r="B202" s="2" t="s">
        <v>1514</v>
      </c>
      <c r="C202" s="3">
        <v>29560</v>
      </c>
      <c r="D202" s="2">
        <v>114</v>
      </c>
      <c r="E202" s="2" t="s">
        <v>49</v>
      </c>
      <c r="F202" s="2" t="s">
        <v>1515</v>
      </c>
      <c r="G202" s="2" t="s">
        <v>399</v>
      </c>
      <c r="H202" s="2" t="s">
        <v>55</v>
      </c>
      <c r="I202" s="2" t="s">
        <v>19</v>
      </c>
      <c r="J202" s="2" t="s">
        <v>20</v>
      </c>
      <c r="K202" s="2">
        <v>20000000</v>
      </c>
      <c r="L202" s="2">
        <v>27100000</v>
      </c>
      <c r="M202" s="2">
        <v>0</v>
      </c>
      <c r="N202" s="2">
        <v>0</v>
      </c>
    </row>
    <row r="203" spans="1:14" x14ac:dyDescent="0.3">
      <c r="A203" s="2">
        <v>1433</v>
      </c>
      <c r="B203" s="2" t="s">
        <v>1518</v>
      </c>
      <c r="C203" s="3">
        <v>25176</v>
      </c>
      <c r="D203" s="2">
        <v>155</v>
      </c>
      <c r="E203" s="2" t="s">
        <v>45</v>
      </c>
      <c r="F203" s="2" t="s">
        <v>1519</v>
      </c>
      <c r="G203" s="2" t="s">
        <v>834</v>
      </c>
      <c r="H203" s="2" t="s">
        <v>55</v>
      </c>
      <c r="I203" s="2" t="s">
        <v>19</v>
      </c>
      <c r="J203" s="2" t="s">
        <v>20</v>
      </c>
      <c r="K203" s="2">
        <v>7700000</v>
      </c>
      <c r="L203" s="2">
        <v>21000000</v>
      </c>
      <c r="M203" s="2">
        <v>0</v>
      </c>
      <c r="N203" s="2">
        <v>0</v>
      </c>
    </row>
    <row r="204" spans="1:14" x14ac:dyDescent="0.3">
      <c r="A204" s="2">
        <v>1456</v>
      </c>
      <c r="B204" s="2" t="s">
        <v>1547</v>
      </c>
      <c r="C204" s="3">
        <v>28153</v>
      </c>
      <c r="D204" s="2">
        <v>133</v>
      </c>
      <c r="E204" s="2" t="s">
        <v>45</v>
      </c>
      <c r="F204" s="2" t="s">
        <v>1543</v>
      </c>
      <c r="G204" s="2" t="s">
        <v>944</v>
      </c>
      <c r="H204" s="2" t="s">
        <v>55</v>
      </c>
      <c r="I204" s="2" t="s">
        <v>19</v>
      </c>
      <c r="J204" s="2">
        <v>18</v>
      </c>
      <c r="K204" s="2">
        <v>6000000</v>
      </c>
      <c r="L204" s="2">
        <v>6000000</v>
      </c>
      <c r="M204" s="2">
        <v>0</v>
      </c>
      <c r="N204" s="2">
        <v>0</v>
      </c>
    </row>
    <row r="205" spans="1:14" x14ac:dyDescent="0.3">
      <c r="A205" s="2">
        <v>1461</v>
      </c>
      <c r="B205" s="2" t="s">
        <v>1554</v>
      </c>
      <c r="C205" s="3">
        <v>23398</v>
      </c>
      <c r="D205" s="2">
        <v>139</v>
      </c>
      <c r="E205" s="2" t="s">
        <v>245</v>
      </c>
      <c r="F205" s="2" t="s">
        <v>1555</v>
      </c>
      <c r="G205" s="2" t="s">
        <v>257</v>
      </c>
      <c r="H205" s="2" t="s">
        <v>55</v>
      </c>
      <c r="I205" s="2" t="s">
        <v>19</v>
      </c>
      <c r="J205" s="2" t="s">
        <v>20</v>
      </c>
      <c r="K205" s="2">
        <v>3500000</v>
      </c>
      <c r="L205" s="2">
        <v>8000000</v>
      </c>
      <c r="M205" s="2">
        <v>0</v>
      </c>
      <c r="N205" s="2">
        <v>0</v>
      </c>
    </row>
    <row r="206" spans="1:14" x14ac:dyDescent="0.3">
      <c r="A206" s="2">
        <v>1472</v>
      </c>
      <c r="B206" s="2" t="s">
        <v>1569</v>
      </c>
      <c r="C206" s="3">
        <v>39738</v>
      </c>
      <c r="D206" s="2">
        <v>92</v>
      </c>
      <c r="E206" s="2" t="s">
        <v>150</v>
      </c>
      <c r="F206" s="2" t="s">
        <v>1570</v>
      </c>
      <c r="G206" s="2" t="s">
        <v>1571</v>
      </c>
      <c r="H206" s="2" t="s">
        <v>55</v>
      </c>
      <c r="I206" s="2" t="s">
        <v>19</v>
      </c>
      <c r="J206" s="2">
        <v>18</v>
      </c>
      <c r="K206" s="2">
        <v>230000</v>
      </c>
      <c r="L206" s="2">
        <v>2300000</v>
      </c>
      <c r="M206" s="2">
        <v>0</v>
      </c>
      <c r="N206" s="2">
        <v>0</v>
      </c>
    </row>
    <row r="207" spans="1:14" x14ac:dyDescent="0.3">
      <c r="A207" s="2">
        <v>1485</v>
      </c>
      <c r="B207" s="2" t="s">
        <v>1586</v>
      </c>
      <c r="C207" s="3">
        <v>40826</v>
      </c>
      <c r="D207" s="2">
        <v>126</v>
      </c>
      <c r="E207" s="2" t="s">
        <v>15</v>
      </c>
      <c r="F207" s="2" t="s">
        <v>167</v>
      </c>
      <c r="G207" s="2" t="s">
        <v>257</v>
      </c>
      <c r="H207" s="2" t="s">
        <v>55</v>
      </c>
      <c r="I207" s="2" t="s">
        <v>19</v>
      </c>
      <c r="J207" s="2" t="s">
        <v>63</v>
      </c>
      <c r="K207" s="2">
        <v>170000000</v>
      </c>
      <c r="L207" s="2">
        <v>185800000</v>
      </c>
      <c r="M207" s="2">
        <v>11</v>
      </c>
      <c r="N207" s="2">
        <v>5</v>
      </c>
    </row>
    <row r="208" spans="1:14" x14ac:dyDescent="0.3">
      <c r="A208" s="2">
        <v>1488</v>
      </c>
      <c r="B208" s="2" t="s">
        <v>1590</v>
      </c>
      <c r="C208" s="3">
        <v>31590</v>
      </c>
      <c r="D208" s="2">
        <v>101</v>
      </c>
      <c r="E208" s="2" t="s">
        <v>52</v>
      </c>
      <c r="F208" s="2" t="s">
        <v>1591</v>
      </c>
      <c r="G208" s="2" t="s">
        <v>929</v>
      </c>
      <c r="H208" s="2" t="s">
        <v>55</v>
      </c>
      <c r="I208" s="2" t="s">
        <v>19</v>
      </c>
      <c r="J208" s="2" t="s">
        <v>63</v>
      </c>
      <c r="K208" s="2">
        <v>25000000</v>
      </c>
      <c r="L208" s="2">
        <v>12900000</v>
      </c>
      <c r="M208" s="2">
        <v>0</v>
      </c>
      <c r="N208" s="2">
        <v>0</v>
      </c>
    </row>
    <row r="209" spans="1:14" x14ac:dyDescent="0.3">
      <c r="A209" s="2">
        <v>1505</v>
      </c>
      <c r="B209" s="2" t="s">
        <v>1608</v>
      </c>
      <c r="C209" s="3">
        <v>40386</v>
      </c>
      <c r="D209" s="2">
        <v>112</v>
      </c>
      <c r="E209" s="2" t="s">
        <v>38</v>
      </c>
      <c r="F209" s="2" t="s">
        <v>425</v>
      </c>
      <c r="G209" s="2" t="s">
        <v>426</v>
      </c>
      <c r="H209" s="2" t="s">
        <v>55</v>
      </c>
      <c r="I209" s="2" t="s">
        <v>19</v>
      </c>
      <c r="J209" s="2" t="s">
        <v>25</v>
      </c>
      <c r="K209" s="2">
        <v>90000000</v>
      </c>
      <c r="L209" s="2">
        <v>47700000</v>
      </c>
      <c r="M209" s="2">
        <v>0</v>
      </c>
      <c r="N209" s="2">
        <v>0</v>
      </c>
    </row>
    <row r="210" spans="1:14" x14ac:dyDescent="0.3">
      <c r="A210" s="2">
        <v>1535</v>
      </c>
      <c r="B210" s="2" t="s">
        <v>1637</v>
      </c>
      <c r="C210" s="3">
        <v>42684</v>
      </c>
      <c r="D210" s="2">
        <v>133</v>
      </c>
      <c r="E210" s="2" t="s">
        <v>52</v>
      </c>
      <c r="F210" s="2" t="s">
        <v>53</v>
      </c>
      <c r="G210" s="2" t="s">
        <v>54</v>
      </c>
      <c r="H210" s="2" t="s">
        <v>55</v>
      </c>
      <c r="I210" s="2" t="s">
        <v>19</v>
      </c>
      <c r="J210" s="2" t="s">
        <v>25</v>
      </c>
      <c r="K210" s="2">
        <v>180000000</v>
      </c>
      <c r="L210" s="2">
        <v>615800000</v>
      </c>
      <c r="M210" s="2">
        <v>0</v>
      </c>
      <c r="N210" s="2">
        <v>0</v>
      </c>
    </row>
    <row r="211" spans="1:14" x14ac:dyDescent="0.3">
      <c r="A211" s="2">
        <v>1542</v>
      </c>
      <c r="B211" s="2" t="s">
        <v>1649</v>
      </c>
      <c r="C211" s="3">
        <v>42025</v>
      </c>
      <c r="D211" s="2">
        <v>108</v>
      </c>
      <c r="E211" s="2" t="s">
        <v>49</v>
      </c>
      <c r="F211" s="2" t="s">
        <v>1650</v>
      </c>
      <c r="G211" s="2" t="s">
        <v>1366</v>
      </c>
      <c r="H211" s="2" t="s">
        <v>55</v>
      </c>
      <c r="I211" s="2" t="s">
        <v>19</v>
      </c>
      <c r="J211" s="2">
        <v>15</v>
      </c>
      <c r="K211" s="2">
        <v>15000000</v>
      </c>
      <c r="L211" s="2">
        <v>36900000</v>
      </c>
      <c r="M211" s="2">
        <v>2</v>
      </c>
      <c r="N211" s="2">
        <v>1</v>
      </c>
    </row>
    <row r="212" spans="1:14" x14ac:dyDescent="0.3">
      <c r="A212" s="2">
        <v>1543</v>
      </c>
      <c r="B212" s="2" t="s">
        <v>1163</v>
      </c>
      <c r="C212" s="3">
        <v>41159</v>
      </c>
      <c r="D212" s="2">
        <v>130</v>
      </c>
      <c r="E212" s="2" t="s">
        <v>34</v>
      </c>
      <c r="F212" s="2" t="s">
        <v>1651</v>
      </c>
      <c r="G212" s="2" t="s">
        <v>1264</v>
      </c>
      <c r="H212" s="2" t="s">
        <v>55</v>
      </c>
      <c r="I212" s="2" t="s">
        <v>19</v>
      </c>
      <c r="J212" s="2" t="s">
        <v>25</v>
      </c>
      <c r="K212" s="2">
        <v>31000000</v>
      </c>
      <c r="L212" s="2">
        <v>69000000</v>
      </c>
      <c r="M212" s="2">
        <v>4</v>
      </c>
      <c r="N212" s="2">
        <v>1</v>
      </c>
    </row>
    <row r="213" spans="1:14" x14ac:dyDescent="0.3">
      <c r="A213" s="2">
        <v>1546</v>
      </c>
      <c r="B213" s="2" t="s">
        <v>1652</v>
      </c>
      <c r="C213" s="3">
        <v>36875</v>
      </c>
      <c r="D213" s="2">
        <v>121</v>
      </c>
      <c r="E213" s="2" t="s">
        <v>34</v>
      </c>
      <c r="F213" s="2" t="s">
        <v>1653</v>
      </c>
      <c r="G213" s="2" t="s">
        <v>1481</v>
      </c>
      <c r="H213" s="2" t="s">
        <v>55</v>
      </c>
      <c r="I213" s="2" t="s">
        <v>19</v>
      </c>
      <c r="J213" s="2">
        <v>12</v>
      </c>
      <c r="K213" s="2">
        <v>25000000</v>
      </c>
      <c r="L213" s="2">
        <v>152699000</v>
      </c>
      <c r="M213" s="2">
        <v>5</v>
      </c>
      <c r="N213" s="2">
        <v>0</v>
      </c>
    </row>
    <row r="214" spans="1:14" x14ac:dyDescent="0.3">
      <c r="A214" s="2">
        <v>1547</v>
      </c>
      <c r="B214" s="2" t="s">
        <v>1654</v>
      </c>
      <c r="C214" s="3">
        <v>35384</v>
      </c>
      <c r="D214" s="2">
        <v>162</v>
      </c>
      <c r="E214" s="2" t="s">
        <v>34</v>
      </c>
      <c r="F214" s="2" t="s">
        <v>1655</v>
      </c>
      <c r="G214" s="2" t="s">
        <v>1481</v>
      </c>
      <c r="H214" s="2" t="s">
        <v>55</v>
      </c>
      <c r="I214" s="2" t="s">
        <v>19</v>
      </c>
      <c r="J214" s="2">
        <v>15</v>
      </c>
      <c r="K214" s="2">
        <v>27000000</v>
      </c>
      <c r="L214" s="2">
        <v>232000000</v>
      </c>
      <c r="M214" s="2">
        <v>12</v>
      </c>
      <c r="N214" s="2">
        <v>9</v>
      </c>
    </row>
    <row r="215" spans="1:14" x14ac:dyDescent="0.3">
      <c r="A215" s="2">
        <v>1557</v>
      </c>
      <c r="B215" s="2" t="s">
        <v>1665</v>
      </c>
      <c r="C215" s="3">
        <v>36035</v>
      </c>
      <c r="D215" s="2">
        <v>106</v>
      </c>
      <c r="E215" s="2" t="s">
        <v>150</v>
      </c>
      <c r="F215" s="2" t="s">
        <v>626</v>
      </c>
      <c r="G215" s="2" t="s">
        <v>905</v>
      </c>
      <c r="H215" s="2" t="s">
        <v>55</v>
      </c>
      <c r="I215" s="2" t="s">
        <v>19</v>
      </c>
      <c r="J215" s="2">
        <v>18</v>
      </c>
      <c r="K215" s="2">
        <v>1350000</v>
      </c>
      <c r="L215" s="2">
        <v>28100000</v>
      </c>
      <c r="M215" s="2">
        <v>0</v>
      </c>
      <c r="N215" s="2">
        <v>0</v>
      </c>
    </row>
    <row r="216" spans="1:14" x14ac:dyDescent="0.3">
      <c r="A216" s="2">
        <v>1558</v>
      </c>
      <c r="B216" s="2" t="s">
        <v>1666</v>
      </c>
      <c r="C216" s="3">
        <v>36761</v>
      </c>
      <c r="D216" s="2">
        <v>102</v>
      </c>
      <c r="E216" s="2" t="s">
        <v>150</v>
      </c>
      <c r="F216" s="2" t="s">
        <v>626</v>
      </c>
      <c r="G216" s="2" t="s">
        <v>213</v>
      </c>
      <c r="H216" s="2" t="s">
        <v>55</v>
      </c>
      <c r="I216" s="2" t="s">
        <v>19</v>
      </c>
      <c r="J216" s="2">
        <v>18</v>
      </c>
      <c r="K216" s="2">
        <v>10000000</v>
      </c>
      <c r="L216" s="2">
        <v>83600000</v>
      </c>
      <c r="M216" s="2">
        <v>0</v>
      </c>
      <c r="N216" s="2">
        <v>0</v>
      </c>
    </row>
    <row r="217" spans="1:14" x14ac:dyDescent="0.3">
      <c r="A217" s="2">
        <v>1560</v>
      </c>
      <c r="B217" s="2" t="s">
        <v>1667</v>
      </c>
      <c r="C217" s="3">
        <v>39695</v>
      </c>
      <c r="D217" s="2">
        <v>114</v>
      </c>
      <c r="E217" s="2" t="s">
        <v>150</v>
      </c>
      <c r="F217" s="2" t="s">
        <v>626</v>
      </c>
      <c r="G217" s="2" t="s">
        <v>130</v>
      </c>
      <c r="H217" s="2" t="s">
        <v>55</v>
      </c>
      <c r="I217" s="2" t="s">
        <v>19</v>
      </c>
      <c r="J217" s="2">
        <v>15</v>
      </c>
      <c r="K217" s="2">
        <v>13000000</v>
      </c>
      <c r="L217" s="2">
        <v>25739000</v>
      </c>
      <c r="M217" s="2">
        <v>0</v>
      </c>
      <c r="N217" s="2">
        <v>0</v>
      </c>
    </row>
    <row r="218" spans="1:14" x14ac:dyDescent="0.3">
      <c r="A218" s="2">
        <v>1561</v>
      </c>
      <c r="B218" s="2" t="s">
        <v>1668</v>
      </c>
      <c r="C218" s="3">
        <v>40893</v>
      </c>
      <c r="D218" s="2">
        <v>129</v>
      </c>
      <c r="E218" s="2" t="s">
        <v>22</v>
      </c>
      <c r="F218" s="2" t="s">
        <v>626</v>
      </c>
      <c r="G218" s="2" t="s">
        <v>70</v>
      </c>
      <c r="H218" s="2" t="s">
        <v>55</v>
      </c>
      <c r="I218" s="2" t="s">
        <v>19</v>
      </c>
      <c r="J218" s="2" t="s">
        <v>25</v>
      </c>
      <c r="K218" s="2">
        <v>125000000</v>
      </c>
      <c r="L218" s="2">
        <v>545400000</v>
      </c>
      <c r="M218" s="2">
        <v>0</v>
      </c>
      <c r="N218" s="2">
        <v>0</v>
      </c>
    </row>
    <row r="219" spans="1:14" x14ac:dyDescent="0.3">
      <c r="A219" s="2">
        <v>1572</v>
      </c>
      <c r="B219" s="2" t="s">
        <v>1678</v>
      </c>
      <c r="C219" s="3">
        <v>41550</v>
      </c>
      <c r="D219" s="2">
        <v>118</v>
      </c>
      <c r="E219" s="2" t="s">
        <v>84</v>
      </c>
      <c r="F219" s="2" t="s">
        <v>160</v>
      </c>
      <c r="G219" s="2" t="s">
        <v>161</v>
      </c>
      <c r="H219" s="2" t="s">
        <v>55</v>
      </c>
      <c r="I219" s="2" t="s">
        <v>19</v>
      </c>
      <c r="J219" s="2">
        <v>18</v>
      </c>
      <c r="K219" s="2">
        <v>25000000</v>
      </c>
      <c r="L219" s="2">
        <v>71000000</v>
      </c>
      <c r="M219" s="2">
        <v>0</v>
      </c>
      <c r="N219" s="2">
        <v>0</v>
      </c>
    </row>
    <row r="220" spans="1:14" x14ac:dyDescent="0.3">
      <c r="A220" s="2">
        <v>1599</v>
      </c>
      <c r="B220" s="2" t="s">
        <v>1715</v>
      </c>
      <c r="C220" s="3">
        <v>41889</v>
      </c>
      <c r="D220" s="2">
        <v>123</v>
      </c>
      <c r="E220" s="2" t="s">
        <v>166</v>
      </c>
      <c r="F220" s="2" t="s">
        <v>1716</v>
      </c>
      <c r="G220" s="2" t="s">
        <v>103</v>
      </c>
      <c r="H220" s="2" t="s">
        <v>55</v>
      </c>
      <c r="I220" s="2" t="s">
        <v>19</v>
      </c>
      <c r="J220" s="2" t="s">
        <v>25</v>
      </c>
      <c r="K220" s="2">
        <v>15000000</v>
      </c>
      <c r="L220" s="2">
        <v>123700000</v>
      </c>
      <c r="M220" s="2">
        <v>5</v>
      </c>
      <c r="N220" s="2">
        <v>1</v>
      </c>
    </row>
    <row r="221" spans="1:14" x14ac:dyDescent="0.3">
      <c r="A221" s="2">
        <v>1605</v>
      </c>
      <c r="B221" s="2" t="s">
        <v>1726</v>
      </c>
      <c r="C221" s="3">
        <v>39469</v>
      </c>
      <c r="D221" s="2">
        <v>94</v>
      </c>
      <c r="E221" s="2" t="s">
        <v>520</v>
      </c>
      <c r="F221" s="2" t="s">
        <v>1716</v>
      </c>
      <c r="G221" s="2" t="s">
        <v>1367</v>
      </c>
      <c r="H221" s="2" t="s">
        <v>55</v>
      </c>
      <c r="I221" s="2" t="s">
        <v>19</v>
      </c>
      <c r="J221" s="2">
        <v>12</v>
      </c>
      <c r="K221" s="2">
        <v>1900000</v>
      </c>
      <c r="L221" s="2">
        <v>5300000</v>
      </c>
      <c r="M221" s="2">
        <v>1</v>
      </c>
      <c r="N221" s="2">
        <v>1</v>
      </c>
    </row>
    <row r="222" spans="1:14" x14ac:dyDescent="0.3">
      <c r="A222" s="2">
        <v>1606</v>
      </c>
      <c r="B222" s="2" t="s">
        <v>1727</v>
      </c>
      <c r="C222" s="3">
        <v>42252</v>
      </c>
      <c r="D222" s="2">
        <v>119</v>
      </c>
      <c r="E222" s="2" t="s">
        <v>166</v>
      </c>
      <c r="F222" s="2" t="s">
        <v>1728</v>
      </c>
      <c r="G222" s="2" t="s">
        <v>1729</v>
      </c>
      <c r="H222" s="2" t="s">
        <v>55</v>
      </c>
      <c r="I222" s="2" t="s">
        <v>19</v>
      </c>
      <c r="J222" s="2">
        <v>15</v>
      </c>
      <c r="K222" s="2">
        <v>15000000</v>
      </c>
      <c r="L222" s="2">
        <v>64200000</v>
      </c>
      <c r="M222" s="2">
        <v>4</v>
      </c>
      <c r="N222" s="2">
        <v>1</v>
      </c>
    </row>
    <row r="223" spans="1:14" x14ac:dyDescent="0.3">
      <c r="A223" s="2">
        <v>1609</v>
      </c>
      <c r="B223" s="2" t="s">
        <v>1732</v>
      </c>
      <c r="C223" s="3">
        <v>39493</v>
      </c>
      <c r="D223" s="2">
        <v>115</v>
      </c>
      <c r="E223" s="2" t="s">
        <v>190</v>
      </c>
      <c r="F223" s="2" t="s">
        <v>1733</v>
      </c>
      <c r="G223" s="2" t="s">
        <v>1367</v>
      </c>
      <c r="H223" s="2" t="s">
        <v>55</v>
      </c>
      <c r="I223" s="2" t="s">
        <v>19</v>
      </c>
      <c r="J223" s="2" t="s">
        <v>25</v>
      </c>
      <c r="K223" s="2">
        <v>35000000</v>
      </c>
      <c r="L223" s="2">
        <v>77700000</v>
      </c>
      <c r="M223" s="2">
        <v>0</v>
      </c>
      <c r="N223" s="2">
        <v>0</v>
      </c>
    </row>
    <row r="224" spans="1:14" x14ac:dyDescent="0.3">
      <c r="A224" s="2">
        <v>1610</v>
      </c>
      <c r="B224" s="2" t="s">
        <v>1734</v>
      </c>
      <c r="C224" s="3">
        <v>41524</v>
      </c>
      <c r="D224" s="2">
        <v>146</v>
      </c>
      <c r="E224" s="2" t="s">
        <v>166</v>
      </c>
      <c r="F224" s="2" t="s">
        <v>1733</v>
      </c>
      <c r="G224" s="2" t="s">
        <v>1083</v>
      </c>
      <c r="H224" s="2" t="s">
        <v>55</v>
      </c>
      <c r="I224" s="2" t="s">
        <v>19</v>
      </c>
      <c r="J224" s="2" t="s">
        <v>25</v>
      </c>
      <c r="K224" s="2">
        <v>35000000</v>
      </c>
      <c r="L224" s="2">
        <v>27300000</v>
      </c>
      <c r="M224" s="2">
        <v>1</v>
      </c>
      <c r="N224" s="2">
        <v>0</v>
      </c>
    </row>
    <row r="225" spans="1:14" x14ac:dyDescent="0.3">
      <c r="A225" s="2">
        <v>1612</v>
      </c>
      <c r="B225" s="2" t="s">
        <v>1735</v>
      </c>
      <c r="C225" s="3">
        <v>41248</v>
      </c>
      <c r="D225" s="2">
        <v>158</v>
      </c>
      <c r="E225" s="2" t="s">
        <v>636</v>
      </c>
      <c r="F225" s="2" t="s">
        <v>1728</v>
      </c>
      <c r="G225" s="2" t="s">
        <v>1729</v>
      </c>
      <c r="H225" s="2" t="s">
        <v>55</v>
      </c>
      <c r="I225" s="2" t="s">
        <v>19</v>
      </c>
      <c r="J225" s="2" t="s">
        <v>25</v>
      </c>
      <c r="K225" s="2">
        <v>61000000</v>
      </c>
      <c r="L225" s="2">
        <v>441800000</v>
      </c>
      <c r="M225" s="2">
        <v>8</v>
      </c>
      <c r="N225" s="2">
        <v>3</v>
      </c>
    </row>
    <row r="226" spans="1:14" x14ac:dyDescent="0.3">
      <c r="A226" s="2">
        <v>1613</v>
      </c>
      <c r="B226" s="2" t="s">
        <v>1736</v>
      </c>
      <c r="C226" s="3">
        <v>40427</v>
      </c>
      <c r="D226" s="2">
        <v>119</v>
      </c>
      <c r="E226" s="2" t="s">
        <v>166</v>
      </c>
      <c r="F226" s="2" t="s">
        <v>1728</v>
      </c>
      <c r="G226" s="2" t="s">
        <v>1729</v>
      </c>
      <c r="H226" s="2" t="s">
        <v>55</v>
      </c>
      <c r="I226" s="2" t="s">
        <v>19</v>
      </c>
      <c r="J226" s="2" t="s">
        <v>25</v>
      </c>
      <c r="K226" s="2">
        <v>15000000</v>
      </c>
      <c r="L226" s="2">
        <v>414200000</v>
      </c>
      <c r="M226" s="2">
        <v>12</v>
      </c>
      <c r="N226" s="2">
        <v>4</v>
      </c>
    </row>
    <row r="227" spans="1:14" x14ac:dyDescent="0.3">
      <c r="A227" s="2">
        <v>1620</v>
      </c>
      <c r="B227" s="2" t="s">
        <v>1744</v>
      </c>
      <c r="C227" s="3">
        <v>40790</v>
      </c>
      <c r="D227" s="2">
        <v>101</v>
      </c>
      <c r="E227" s="2" t="s">
        <v>190</v>
      </c>
      <c r="F227" s="2" t="s">
        <v>1720</v>
      </c>
      <c r="G227" s="2" t="s">
        <v>1366</v>
      </c>
      <c r="H227" s="2" t="s">
        <v>55</v>
      </c>
      <c r="I227" s="2" t="s">
        <v>19</v>
      </c>
      <c r="J227" s="2">
        <v>18</v>
      </c>
      <c r="K227" s="2">
        <v>6500000</v>
      </c>
      <c r="L227" s="2">
        <v>17700000</v>
      </c>
      <c r="M227" s="2">
        <v>0</v>
      </c>
      <c r="N227" s="2">
        <v>0</v>
      </c>
    </row>
    <row r="228" spans="1:14" x14ac:dyDescent="0.3">
      <c r="A228" s="2">
        <v>1625</v>
      </c>
      <c r="B228" s="2" t="s">
        <v>1749</v>
      </c>
      <c r="C228" s="3">
        <v>41519</v>
      </c>
      <c r="D228" s="2">
        <v>122</v>
      </c>
      <c r="E228" s="2" t="s">
        <v>364</v>
      </c>
      <c r="F228" s="2" t="s">
        <v>118</v>
      </c>
      <c r="G228" s="2" t="s">
        <v>119</v>
      </c>
      <c r="H228" s="2" t="s">
        <v>55</v>
      </c>
      <c r="I228" s="2" t="s">
        <v>19</v>
      </c>
      <c r="J228" s="2">
        <v>15</v>
      </c>
      <c r="K228" s="2">
        <v>38000000</v>
      </c>
      <c r="L228" s="2">
        <v>98200000</v>
      </c>
      <c r="M228" s="2">
        <v>0</v>
      </c>
      <c r="N228" s="2">
        <v>0</v>
      </c>
    </row>
    <row r="229" spans="1:14" x14ac:dyDescent="0.3">
      <c r="A229" s="2">
        <v>1644</v>
      </c>
      <c r="B229" s="2" t="s">
        <v>1773</v>
      </c>
      <c r="C229" s="3">
        <v>40627</v>
      </c>
      <c r="D229" s="2">
        <v>114</v>
      </c>
      <c r="E229" s="2" t="s">
        <v>15</v>
      </c>
      <c r="F229" s="2" t="s">
        <v>1774</v>
      </c>
      <c r="G229" s="2" t="s">
        <v>1366</v>
      </c>
      <c r="H229" s="2" t="s">
        <v>55</v>
      </c>
      <c r="I229" s="2" t="s">
        <v>19</v>
      </c>
      <c r="J229" s="2" t="s">
        <v>25</v>
      </c>
      <c r="K229" s="2">
        <v>25000000</v>
      </c>
      <c r="L229" s="2">
        <v>35500000</v>
      </c>
      <c r="M229" s="2">
        <v>0</v>
      </c>
      <c r="N229" s="2">
        <v>0</v>
      </c>
    </row>
    <row r="230" spans="1:14" x14ac:dyDescent="0.3">
      <c r="A230" s="2">
        <v>1645</v>
      </c>
      <c r="B230" s="2" t="s">
        <v>1775</v>
      </c>
      <c r="C230" s="3">
        <v>39094</v>
      </c>
      <c r="D230" s="2">
        <v>123</v>
      </c>
      <c r="E230" s="2" t="s">
        <v>190</v>
      </c>
      <c r="F230" s="2" t="s">
        <v>1774</v>
      </c>
      <c r="G230" s="2" t="s">
        <v>1366</v>
      </c>
      <c r="H230" s="2" t="s">
        <v>55</v>
      </c>
      <c r="I230" s="2" t="s">
        <v>19</v>
      </c>
      <c r="J230" s="2">
        <v>15</v>
      </c>
      <c r="K230" s="2">
        <v>6000000</v>
      </c>
      <c r="L230" s="2">
        <v>48400000</v>
      </c>
      <c r="M230" s="2">
        <v>1</v>
      </c>
      <c r="N230" s="2">
        <v>1</v>
      </c>
    </row>
    <row r="231" spans="1:14" x14ac:dyDescent="0.3">
      <c r="A231" s="2">
        <v>1646</v>
      </c>
      <c r="B231" s="2" t="s">
        <v>1776</v>
      </c>
      <c r="C231" s="3">
        <v>40291</v>
      </c>
      <c r="D231" s="2">
        <v>97</v>
      </c>
      <c r="E231" s="2" t="s">
        <v>15</v>
      </c>
      <c r="F231" s="2" t="s">
        <v>1777</v>
      </c>
      <c r="G231" s="2" t="s">
        <v>1729</v>
      </c>
      <c r="H231" s="2" t="s">
        <v>55</v>
      </c>
      <c r="I231" s="2" t="s">
        <v>19</v>
      </c>
      <c r="J231" s="2">
        <v>15</v>
      </c>
      <c r="K231" s="2">
        <v>12000000</v>
      </c>
      <c r="L231" s="2">
        <v>6168000</v>
      </c>
      <c r="M231" s="2">
        <v>0</v>
      </c>
      <c r="N231" s="2">
        <v>0</v>
      </c>
    </row>
    <row r="232" spans="1:14" x14ac:dyDescent="0.3">
      <c r="A232" s="2">
        <v>1647</v>
      </c>
      <c r="B232" s="2" t="s">
        <v>1778</v>
      </c>
      <c r="C232" s="3">
        <v>23181</v>
      </c>
      <c r="D232" s="2">
        <v>101</v>
      </c>
      <c r="E232" s="2" t="s">
        <v>52</v>
      </c>
      <c r="F232" s="2" t="s">
        <v>1779</v>
      </c>
      <c r="G232" s="2" t="s">
        <v>213</v>
      </c>
      <c r="H232" s="2" t="s">
        <v>55</v>
      </c>
      <c r="I232" s="2" t="s">
        <v>19</v>
      </c>
      <c r="J232" s="2" t="s">
        <v>63</v>
      </c>
      <c r="K232" s="2">
        <v>1000000</v>
      </c>
      <c r="L232" s="2">
        <v>2100000</v>
      </c>
      <c r="M232" s="2">
        <v>0</v>
      </c>
      <c r="N232" s="2">
        <v>0</v>
      </c>
    </row>
    <row r="233" spans="1:14" x14ac:dyDescent="0.3">
      <c r="A233" s="2">
        <v>1650</v>
      </c>
      <c r="B233" s="2" t="s">
        <v>1782</v>
      </c>
      <c r="C233" s="3">
        <v>24471</v>
      </c>
      <c r="D233" s="2">
        <v>100</v>
      </c>
      <c r="E233" s="2" t="s">
        <v>15</v>
      </c>
      <c r="F233" s="2" t="s">
        <v>1779</v>
      </c>
      <c r="G233" s="2" t="s">
        <v>1783</v>
      </c>
      <c r="H233" s="2" t="s">
        <v>55</v>
      </c>
      <c r="I233" s="2" t="s">
        <v>19</v>
      </c>
      <c r="J233" s="2" t="s">
        <v>20</v>
      </c>
      <c r="K233" s="2">
        <v>500000</v>
      </c>
      <c r="L233" s="2">
        <v>8000000</v>
      </c>
      <c r="M233" s="2">
        <v>0</v>
      </c>
      <c r="N233" s="2">
        <v>0</v>
      </c>
    </row>
    <row r="234" spans="1:14" x14ac:dyDescent="0.3">
      <c r="A234" s="2">
        <v>1653</v>
      </c>
      <c r="B234" s="2" t="s">
        <v>1784</v>
      </c>
      <c r="C234" s="3">
        <v>30484</v>
      </c>
      <c r="D234" s="2">
        <v>125</v>
      </c>
      <c r="E234" s="2" t="s">
        <v>22</v>
      </c>
      <c r="F234" s="2" t="s">
        <v>896</v>
      </c>
      <c r="G234" s="2" t="s">
        <v>295</v>
      </c>
      <c r="H234" s="2" t="s">
        <v>55</v>
      </c>
      <c r="I234" s="2" t="s">
        <v>19</v>
      </c>
      <c r="J234" s="2" t="s">
        <v>20</v>
      </c>
      <c r="K234" s="2">
        <v>39000000</v>
      </c>
      <c r="L234" s="2">
        <v>80200000</v>
      </c>
      <c r="M234" s="2">
        <v>0</v>
      </c>
      <c r="N234" s="2">
        <v>0</v>
      </c>
    </row>
    <row r="235" spans="1:14" x14ac:dyDescent="0.3">
      <c r="A235" s="2">
        <v>1</v>
      </c>
      <c r="B235" s="2" t="s">
        <v>14</v>
      </c>
      <c r="C235" s="3">
        <v>34131</v>
      </c>
      <c r="D235" s="2">
        <v>126</v>
      </c>
      <c r="E235" s="2" t="s">
        <v>15</v>
      </c>
      <c r="F235" s="2" t="s">
        <v>16</v>
      </c>
      <c r="G235" s="2" t="s">
        <v>17</v>
      </c>
      <c r="H235" s="2" t="s">
        <v>18</v>
      </c>
      <c r="I235" s="2" t="s">
        <v>19</v>
      </c>
      <c r="J235" s="2" t="s">
        <v>20</v>
      </c>
      <c r="K235" s="2">
        <v>63000000</v>
      </c>
      <c r="L235" s="2">
        <v>1029939903</v>
      </c>
      <c r="M235" s="2">
        <v>3</v>
      </c>
      <c r="N235" s="2">
        <v>3</v>
      </c>
    </row>
    <row r="236" spans="1:14" x14ac:dyDescent="0.3">
      <c r="A236" s="2">
        <v>2</v>
      </c>
      <c r="B236" s="2" t="s">
        <v>21</v>
      </c>
      <c r="C236" s="3">
        <v>37379</v>
      </c>
      <c r="D236" s="2">
        <v>121</v>
      </c>
      <c r="E236" s="2" t="s">
        <v>22</v>
      </c>
      <c r="F236" s="2" t="s">
        <v>23</v>
      </c>
      <c r="G236" s="2" t="s">
        <v>24</v>
      </c>
      <c r="H236" s="2" t="s">
        <v>18</v>
      </c>
      <c r="I236" s="2" t="s">
        <v>19</v>
      </c>
      <c r="J236" s="2" t="s">
        <v>25</v>
      </c>
      <c r="K236" s="2">
        <v>140000000</v>
      </c>
      <c r="L236" s="2">
        <v>821708551</v>
      </c>
      <c r="M236" s="2">
        <v>2</v>
      </c>
      <c r="N236" s="2">
        <v>0</v>
      </c>
    </row>
    <row r="237" spans="1:14" x14ac:dyDescent="0.3">
      <c r="A237" s="2">
        <v>5</v>
      </c>
      <c r="B237" s="2" t="s">
        <v>30</v>
      </c>
      <c r="C237" s="3">
        <v>38912</v>
      </c>
      <c r="D237" s="2">
        <v>154</v>
      </c>
      <c r="E237" s="2" t="s">
        <v>22</v>
      </c>
      <c r="F237" s="2" t="s">
        <v>31</v>
      </c>
      <c r="G237" s="2" t="s">
        <v>32</v>
      </c>
      <c r="H237" s="2" t="s">
        <v>18</v>
      </c>
      <c r="I237" s="2" t="s">
        <v>19</v>
      </c>
      <c r="J237" s="2" t="s">
        <v>25</v>
      </c>
      <c r="K237" s="2">
        <v>204000000</v>
      </c>
      <c r="L237" s="2">
        <v>391081192</v>
      </c>
      <c r="M237" s="2">
        <v>1</v>
      </c>
      <c r="N237" s="2">
        <v>0</v>
      </c>
    </row>
    <row r="238" spans="1:14" x14ac:dyDescent="0.3">
      <c r="A238" s="2">
        <v>6</v>
      </c>
      <c r="B238" s="2" t="s">
        <v>33</v>
      </c>
      <c r="C238" s="3">
        <v>35818</v>
      </c>
      <c r="D238" s="2">
        <v>194</v>
      </c>
      <c r="E238" s="2" t="s">
        <v>34</v>
      </c>
      <c r="F238" s="2" t="s">
        <v>35</v>
      </c>
      <c r="G238" s="2" t="s">
        <v>36</v>
      </c>
      <c r="H238" s="2" t="s">
        <v>18</v>
      </c>
      <c r="I238" s="2" t="s">
        <v>19</v>
      </c>
      <c r="J238" s="2">
        <v>12</v>
      </c>
      <c r="K238" s="2">
        <v>200000000</v>
      </c>
      <c r="L238" s="2">
        <v>2186772302</v>
      </c>
      <c r="M238" s="2">
        <v>14</v>
      </c>
      <c r="N238" s="2">
        <v>11</v>
      </c>
    </row>
    <row r="239" spans="1:14" x14ac:dyDescent="0.3">
      <c r="A239" s="2">
        <v>7</v>
      </c>
      <c r="B239" s="2" t="s">
        <v>37</v>
      </c>
      <c r="C239" s="3">
        <v>39255</v>
      </c>
      <c r="D239" s="2">
        <v>96</v>
      </c>
      <c r="E239" s="2" t="s">
        <v>38</v>
      </c>
      <c r="F239" s="2" t="s">
        <v>39</v>
      </c>
      <c r="G239" s="2" t="s">
        <v>40</v>
      </c>
      <c r="H239" s="2" t="s">
        <v>18</v>
      </c>
      <c r="I239" s="2" t="s">
        <v>19</v>
      </c>
      <c r="J239" s="2" t="s">
        <v>20</v>
      </c>
      <c r="K239" s="2">
        <v>175000000</v>
      </c>
      <c r="L239" s="2">
        <v>173418781</v>
      </c>
      <c r="M239" s="2">
        <v>0</v>
      </c>
      <c r="N239" s="2">
        <v>0</v>
      </c>
    </row>
    <row r="240" spans="1:14" x14ac:dyDescent="0.3">
      <c r="A240" s="2">
        <v>8</v>
      </c>
      <c r="B240" s="2" t="s">
        <v>41</v>
      </c>
      <c r="C240" s="3">
        <v>34908</v>
      </c>
      <c r="D240" s="2">
        <v>135</v>
      </c>
      <c r="E240" s="2" t="s">
        <v>15</v>
      </c>
      <c r="F240" s="2" t="s">
        <v>42</v>
      </c>
      <c r="G240" s="2" t="s">
        <v>43</v>
      </c>
      <c r="H240" s="2" t="s">
        <v>18</v>
      </c>
      <c r="I240" s="2" t="s">
        <v>19</v>
      </c>
      <c r="J240" s="2">
        <v>12</v>
      </c>
      <c r="K240" s="2">
        <v>175000000</v>
      </c>
      <c r="L240" s="2">
        <v>264218220</v>
      </c>
      <c r="M240" s="2">
        <v>1</v>
      </c>
      <c r="N240" s="2">
        <v>0</v>
      </c>
    </row>
    <row r="241" spans="1:14" x14ac:dyDescent="0.3">
      <c r="A241" s="2">
        <v>9</v>
      </c>
      <c r="B241" s="2" t="s">
        <v>44</v>
      </c>
      <c r="C241" s="3">
        <v>37032</v>
      </c>
      <c r="D241" s="2">
        <v>183</v>
      </c>
      <c r="E241" s="2" t="s">
        <v>45</v>
      </c>
      <c r="F241" s="2" t="s">
        <v>46</v>
      </c>
      <c r="G241" s="2" t="s">
        <v>47</v>
      </c>
      <c r="H241" s="2" t="s">
        <v>18</v>
      </c>
      <c r="I241" s="2" t="s">
        <v>19</v>
      </c>
      <c r="J241" s="2">
        <v>12</v>
      </c>
      <c r="K241" s="2">
        <v>140000000</v>
      </c>
      <c r="L241" s="2">
        <v>449220945</v>
      </c>
      <c r="M241" s="2">
        <v>4</v>
      </c>
      <c r="N241" s="2">
        <v>1</v>
      </c>
    </row>
    <row r="242" spans="1:14" x14ac:dyDescent="0.3">
      <c r="A242" s="2">
        <v>10</v>
      </c>
      <c r="B242" s="2" t="s">
        <v>48</v>
      </c>
      <c r="C242" s="3">
        <v>39266</v>
      </c>
      <c r="D242" s="2">
        <v>144</v>
      </c>
      <c r="E242" s="2" t="s">
        <v>49</v>
      </c>
      <c r="F242" s="2" t="s">
        <v>46</v>
      </c>
      <c r="G242" s="2" t="s">
        <v>50</v>
      </c>
      <c r="H242" s="2" t="s">
        <v>18</v>
      </c>
      <c r="I242" s="2" t="s">
        <v>19</v>
      </c>
      <c r="J242" s="2" t="s">
        <v>25</v>
      </c>
      <c r="K242" s="2">
        <v>150000000</v>
      </c>
      <c r="L242" s="2">
        <v>709709780</v>
      </c>
      <c r="M242" s="2">
        <v>3</v>
      </c>
      <c r="N242" s="2">
        <v>0</v>
      </c>
    </row>
    <row r="243" spans="1:14" x14ac:dyDescent="0.3">
      <c r="A243" s="2">
        <v>12</v>
      </c>
      <c r="B243" s="2" t="s">
        <v>56</v>
      </c>
      <c r="C243" s="3">
        <v>39402</v>
      </c>
      <c r="D243" s="2">
        <v>115</v>
      </c>
      <c r="E243" s="2" t="s">
        <v>52</v>
      </c>
      <c r="F243" s="2" t="s">
        <v>57</v>
      </c>
      <c r="G243" s="2" t="s">
        <v>58</v>
      </c>
      <c r="H243" s="2" t="s">
        <v>18</v>
      </c>
      <c r="I243" s="2" t="s">
        <v>19</v>
      </c>
      <c r="J243" s="2" t="s">
        <v>25</v>
      </c>
      <c r="K243" s="2">
        <v>150000000</v>
      </c>
      <c r="L243" s="2">
        <v>196393745</v>
      </c>
      <c r="M243" s="2">
        <v>0</v>
      </c>
      <c r="N243" s="2">
        <v>0</v>
      </c>
    </row>
    <row r="244" spans="1:14" x14ac:dyDescent="0.3">
      <c r="A244" s="2">
        <v>13</v>
      </c>
      <c r="B244" s="2" t="s">
        <v>59</v>
      </c>
      <c r="C244" s="3">
        <v>39388</v>
      </c>
      <c r="D244" s="2">
        <v>91</v>
      </c>
      <c r="E244" s="2" t="s">
        <v>60</v>
      </c>
      <c r="F244" s="2" t="s">
        <v>61</v>
      </c>
      <c r="G244" s="2" t="s">
        <v>62</v>
      </c>
      <c r="H244" s="2" t="s">
        <v>18</v>
      </c>
      <c r="I244" s="2" t="s">
        <v>19</v>
      </c>
      <c r="J244" s="2" t="s">
        <v>63</v>
      </c>
      <c r="K244" s="2">
        <v>150000000</v>
      </c>
      <c r="L244" s="2">
        <v>287594577</v>
      </c>
      <c r="M244" s="2">
        <v>0</v>
      </c>
      <c r="N244" s="2">
        <v>0</v>
      </c>
    </row>
    <row r="245" spans="1:14" x14ac:dyDescent="0.3">
      <c r="A245" s="2">
        <v>14</v>
      </c>
      <c r="B245" s="2" t="s">
        <v>64</v>
      </c>
      <c r="C245" s="3">
        <v>39227</v>
      </c>
      <c r="D245" s="2">
        <v>168</v>
      </c>
      <c r="E245" s="2" t="s">
        <v>15</v>
      </c>
      <c r="F245" s="2" t="s">
        <v>65</v>
      </c>
      <c r="G245" s="2" t="s">
        <v>66</v>
      </c>
      <c r="H245" s="2" t="s">
        <v>18</v>
      </c>
      <c r="I245" s="2" t="s">
        <v>19</v>
      </c>
      <c r="J245" s="2" t="s">
        <v>25</v>
      </c>
      <c r="K245" s="2">
        <v>300000000</v>
      </c>
      <c r="L245" s="2">
        <v>963420425</v>
      </c>
      <c r="M245" s="2">
        <v>2</v>
      </c>
      <c r="N245" s="2">
        <v>0</v>
      </c>
    </row>
    <row r="246" spans="1:14" x14ac:dyDescent="0.3">
      <c r="A246" s="2">
        <v>15</v>
      </c>
      <c r="B246" s="2" t="s">
        <v>67</v>
      </c>
      <c r="C246" s="3">
        <v>39430</v>
      </c>
      <c r="D246" s="2">
        <v>100</v>
      </c>
      <c r="E246" s="2" t="s">
        <v>68</v>
      </c>
      <c r="F246" s="2" t="s">
        <v>69</v>
      </c>
      <c r="G246" s="2" t="s">
        <v>70</v>
      </c>
      <c r="H246" s="2" t="s">
        <v>18</v>
      </c>
      <c r="I246" s="2" t="s">
        <v>19</v>
      </c>
      <c r="J246" s="2">
        <v>15</v>
      </c>
      <c r="K246" s="2">
        <v>150000000</v>
      </c>
      <c r="L246" s="2">
        <v>585349010</v>
      </c>
      <c r="M246" s="2">
        <v>0</v>
      </c>
      <c r="N246" s="2">
        <v>0</v>
      </c>
    </row>
    <row r="247" spans="1:14" x14ac:dyDescent="0.3">
      <c r="A247" s="2">
        <v>16</v>
      </c>
      <c r="B247" s="2" t="s">
        <v>71</v>
      </c>
      <c r="C247" s="3">
        <v>39255</v>
      </c>
      <c r="D247" s="2">
        <v>111</v>
      </c>
      <c r="E247" s="2" t="s">
        <v>60</v>
      </c>
      <c r="F247" s="2" t="s">
        <v>72</v>
      </c>
      <c r="G247" s="2" t="s">
        <v>66</v>
      </c>
      <c r="H247" s="2" t="s">
        <v>18</v>
      </c>
      <c r="I247" s="2" t="s">
        <v>19</v>
      </c>
      <c r="J247" s="2" t="s">
        <v>63</v>
      </c>
      <c r="K247" s="2">
        <v>150000000</v>
      </c>
      <c r="L247" s="2">
        <v>623722818</v>
      </c>
      <c r="M247" s="2">
        <v>5</v>
      </c>
      <c r="N247" s="2">
        <v>1</v>
      </c>
    </row>
    <row r="248" spans="1:14" x14ac:dyDescent="0.3">
      <c r="A248" s="2">
        <v>17</v>
      </c>
      <c r="B248" s="2" t="s">
        <v>73</v>
      </c>
      <c r="C248" s="3">
        <v>38121</v>
      </c>
      <c r="D248" s="2">
        <v>162</v>
      </c>
      <c r="E248" s="2" t="s">
        <v>15</v>
      </c>
      <c r="F248" s="2" t="s">
        <v>74</v>
      </c>
      <c r="G248" s="2" t="s">
        <v>75</v>
      </c>
      <c r="H248" s="2" t="s">
        <v>18</v>
      </c>
      <c r="I248" s="2" t="s">
        <v>19</v>
      </c>
      <c r="J248" s="2">
        <v>15</v>
      </c>
      <c r="K248" s="2">
        <v>175000000</v>
      </c>
      <c r="L248" s="2">
        <v>497409852</v>
      </c>
      <c r="M248" s="2">
        <v>1</v>
      </c>
      <c r="N248" s="2">
        <v>0</v>
      </c>
    </row>
    <row r="249" spans="1:14" x14ac:dyDescent="0.3">
      <c r="A249" s="2">
        <v>19</v>
      </c>
      <c r="B249" s="2" t="s">
        <v>78</v>
      </c>
      <c r="C249" s="3">
        <v>38518</v>
      </c>
      <c r="D249" s="2">
        <v>141</v>
      </c>
      <c r="E249" s="2" t="s">
        <v>22</v>
      </c>
      <c r="F249" s="2" t="s">
        <v>79</v>
      </c>
      <c r="G249" s="2" t="s">
        <v>32</v>
      </c>
      <c r="H249" s="2" t="s">
        <v>18</v>
      </c>
      <c r="I249" s="2" t="s">
        <v>19</v>
      </c>
      <c r="J249" s="2" t="s">
        <v>25</v>
      </c>
      <c r="K249" s="2">
        <v>150000000</v>
      </c>
      <c r="L249" s="2">
        <v>374218673</v>
      </c>
      <c r="M249" s="2">
        <v>1</v>
      </c>
      <c r="N249" s="2">
        <v>0</v>
      </c>
    </row>
    <row r="250" spans="1:14" x14ac:dyDescent="0.3">
      <c r="A250" s="2">
        <v>20</v>
      </c>
      <c r="B250" s="2" t="s">
        <v>80</v>
      </c>
      <c r="C250" s="3">
        <v>38548</v>
      </c>
      <c r="D250" s="2">
        <v>115</v>
      </c>
      <c r="E250" s="2" t="s">
        <v>52</v>
      </c>
      <c r="F250" s="2" t="s">
        <v>81</v>
      </c>
      <c r="G250" s="2" t="s">
        <v>70</v>
      </c>
      <c r="H250" s="2" t="s">
        <v>18</v>
      </c>
      <c r="I250" s="2" t="s">
        <v>19</v>
      </c>
      <c r="J250" s="2" t="s">
        <v>20</v>
      </c>
      <c r="K250" s="2">
        <v>150000000</v>
      </c>
      <c r="L250" s="2">
        <v>474968763</v>
      </c>
      <c r="M250" s="2">
        <v>1</v>
      </c>
      <c r="N250" s="2">
        <v>0</v>
      </c>
    </row>
    <row r="251" spans="1:14" x14ac:dyDescent="0.3">
      <c r="A251" s="2">
        <v>21</v>
      </c>
      <c r="B251" s="2" t="s">
        <v>82</v>
      </c>
      <c r="C251" s="3">
        <v>38904</v>
      </c>
      <c r="D251" s="2">
        <v>151</v>
      </c>
      <c r="E251" s="2" t="s">
        <v>15</v>
      </c>
      <c r="F251" s="2" t="s">
        <v>65</v>
      </c>
      <c r="G251" s="2" t="s">
        <v>66</v>
      </c>
      <c r="H251" s="2" t="s">
        <v>18</v>
      </c>
      <c r="I251" s="2" t="s">
        <v>19</v>
      </c>
      <c r="J251" s="2" t="s">
        <v>25</v>
      </c>
      <c r="K251" s="2">
        <v>225000000</v>
      </c>
      <c r="L251" s="2">
        <v>1066179725</v>
      </c>
      <c r="M251" s="2">
        <v>4</v>
      </c>
      <c r="N251" s="2">
        <v>1</v>
      </c>
    </row>
    <row r="252" spans="1:14" x14ac:dyDescent="0.3">
      <c r="A252" s="2">
        <v>23</v>
      </c>
      <c r="B252" s="2" t="s">
        <v>87</v>
      </c>
      <c r="C252" s="3">
        <v>35986</v>
      </c>
      <c r="D252" s="2">
        <v>127</v>
      </c>
      <c r="E252" s="2" t="s">
        <v>22</v>
      </c>
      <c r="F252" s="2" t="s">
        <v>88</v>
      </c>
      <c r="G252" s="2" t="s">
        <v>89</v>
      </c>
      <c r="H252" s="2" t="s">
        <v>18</v>
      </c>
      <c r="I252" s="2" t="s">
        <v>19</v>
      </c>
      <c r="J252" s="2">
        <v>15</v>
      </c>
      <c r="K252" s="2">
        <v>100000000</v>
      </c>
      <c r="L252" s="2">
        <v>285444603</v>
      </c>
      <c r="M252" s="2">
        <v>0</v>
      </c>
      <c r="N252" s="2">
        <v>0</v>
      </c>
    </row>
    <row r="253" spans="1:14" x14ac:dyDescent="0.3">
      <c r="A253" s="2">
        <v>24</v>
      </c>
      <c r="B253" s="2" t="s">
        <v>90</v>
      </c>
      <c r="C253" s="3">
        <v>35977</v>
      </c>
      <c r="D253" s="2">
        <v>151</v>
      </c>
      <c r="E253" s="2" t="s">
        <v>49</v>
      </c>
      <c r="F253" s="2" t="s">
        <v>46</v>
      </c>
      <c r="G253" s="2" t="s">
        <v>47</v>
      </c>
      <c r="H253" s="2" t="s">
        <v>18</v>
      </c>
      <c r="I253" s="2" t="s">
        <v>19</v>
      </c>
      <c r="J253" s="2">
        <v>12</v>
      </c>
      <c r="K253" s="2">
        <v>140000000</v>
      </c>
      <c r="L253" s="2">
        <v>553709788</v>
      </c>
      <c r="M253" s="2">
        <v>4</v>
      </c>
      <c r="N253" s="2">
        <v>0</v>
      </c>
    </row>
    <row r="254" spans="1:14" x14ac:dyDescent="0.3">
      <c r="A254" s="2">
        <v>25</v>
      </c>
      <c r="B254" s="2" t="s">
        <v>91</v>
      </c>
      <c r="C254" s="3">
        <v>37440</v>
      </c>
      <c r="D254" s="2">
        <v>89</v>
      </c>
      <c r="E254" s="2" t="s">
        <v>49</v>
      </c>
      <c r="F254" s="2" t="s">
        <v>92</v>
      </c>
      <c r="G254" s="2" t="s">
        <v>17</v>
      </c>
      <c r="H254" s="2" t="s">
        <v>18</v>
      </c>
      <c r="I254" s="2" t="s">
        <v>19</v>
      </c>
      <c r="J254" s="2" t="s">
        <v>20</v>
      </c>
      <c r="K254" s="2">
        <v>140000000</v>
      </c>
      <c r="L254" s="2">
        <v>441818803</v>
      </c>
      <c r="M254" s="2">
        <v>0</v>
      </c>
      <c r="N254" s="2">
        <v>0</v>
      </c>
    </row>
    <row r="255" spans="1:14" x14ac:dyDescent="0.3">
      <c r="A255" s="2">
        <v>26</v>
      </c>
      <c r="B255" s="2" t="s">
        <v>93</v>
      </c>
      <c r="C255" s="3">
        <v>39206</v>
      </c>
      <c r="D255" s="2">
        <v>139</v>
      </c>
      <c r="E255" s="2" t="s">
        <v>22</v>
      </c>
      <c r="F255" s="2" t="s">
        <v>23</v>
      </c>
      <c r="G255" s="2" t="s">
        <v>24</v>
      </c>
      <c r="H255" s="2" t="s">
        <v>18</v>
      </c>
      <c r="I255" s="2" t="s">
        <v>19</v>
      </c>
      <c r="J255" s="2" t="s">
        <v>25</v>
      </c>
      <c r="K255" s="2">
        <v>258000000</v>
      </c>
      <c r="L255" s="2">
        <v>890871626</v>
      </c>
      <c r="M255" s="2">
        <v>0</v>
      </c>
      <c r="N255" s="2">
        <v>0</v>
      </c>
    </row>
    <row r="256" spans="1:14" x14ac:dyDescent="0.3">
      <c r="A256" s="2">
        <v>27</v>
      </c>
      <c r="B256" s="2" t="s">
        <v>94</v>
      </c>
      <c r="C256" s="3">
        <v>38168</v>
      </c>
      <c r="D256" s="2">
        <v>127</v>
      </c>
      <c r="E256" s="2" t="s">
        <v>22</v>
      </c>
      <c r="F256" s="2" t="s">
        <v>23</v>
      </c>
      <c r="G256" s="2" t="s">
        <v>24</v>
      </c>
      <c r="H256" s="2" t="s">
        <v>18</v>
      </c>
      <c r="I256" s="2" t="s">
        <v>19</v>
      </c>
      <c r="J256" s="2" t="s">
        <v>25</v>
      </c>
      <c r="K256" s="2">
        <v>200000000</v>
      </c>
      <c r="L256" s="2">
        <v>783766341</v>
      </c>
      <c r="M256" s="2">
        <v>3</v>
      </c>
      <c r="N256" s="2">
        <v>1</v>
      </c>
    </row>
    <row r="257" spans="1:14" x14ac:dyDescent="0.3">
      <c r="A257" s="2">
        <v>28</v>
      </c>
      <c r="B257" s="2" t="s">
        <v>95</v>
      </c>
      <c r="C257" s="3">
        <v>38569</v>
      </c>
      <c r="D257" s="2">
        <v>121</v>
      </c>
      <c r="E257" s="2" t="s">
        <v>22</v>
      </c>
      <c r="F257" s="2" t="s">
        <v>96</v>
      </c>
      <c r="G257" s="2" t="s">
        <v>97</v>
      </c>
      <c r="H257" s="2" t="s">
        <v>18</v>
      </c>
      <c r="I257" s="2" t="s">
        <v>19</v>
      </c>
      <c r="J257" s="2" t="s">
        <v>25</v>
      </c>
      <c r="K257" s="2">
        <v>135000000</v>
      </c>
      <c r="L257" s="2">
        <v>76932872</v>
      </c>
      <c r="M257" s="2">
        <v>0</v>
      </c>
      <c r="N257" s="2">
        <v>0</v>
      </c>
    </row>
    <row r="258" spans="1:14" x14ac:dyDescent="0.3">
      <c r="A258" s="2">
        <v>29</v>
      </c>
      <c r="B258" s="2" t="s">
        <v>98</v>
      </c>
      <c r="C258" s="3">
        <v>37106</v>
      </c>
      <c r="D258" s="2">
        <v>106</v>
      </c>
      <c r="E258" s="2" t="s">
        <v>60</v>
      </c>
      <c r="F258" s="2" t="s">
        <v>99</v>
      </c>
      <c r="G258" s="2" t="s">
        <v>100</v>
      </c>
      <c r="H258" s="2" t="s">
        <v>18</v>
      </c>
      <c r="I258" s="2" t="s">
        <v>19</v>
      </c>
      <c r="J258" s="2" t="s">
        <v>20</v>
      </c>
      <c r="K258" s="2">
        <v>137000000</v>
      </c>
      <c r="L258" s="2">
        <v>85131830</v>
      </c>
      <c r="M258" s="2">
        <v>0</v>
      </c>
      <c r="N258" s="2">
        <v>0</v>
      </c>
    </row>
    <row r="259" spans="1:14" x14ac:dyDescent="0.3">
      <c r="A259" s="2">
        <v>30</v>
      </c>
      <c r="B259" s="2" t="s">
        <v>101</v>
      </c>
      <c r="C259" s="3">
        <v>38926</v>
      </c>
      <c r="D259" s="2">
        <v>134</v>
      </c>
      <c r="E259" s="2" t="s">
        <v>84</v>
      </c>
      <c r="F259" s="2" t="s">
        <v>102</v>
      </c>
      <c r="G259" s="2" t="s">
        <v>103</v>
      </c>
      <c r="H259" s="2" t="s">
        <v>18</v>
      </c>
      <c r="I259" s="2" t="s">
        <v>19</v>
      </c>
      <c r="J259" s="2">
        <v>15</v>
      </c>
      <c r="K259" s="2">
        <v>135000000</v>
      </c>
      <c r="L259" s="2">
        <v>163794509</v>
      </c>
      <c r="M259" s="2">
        <v>0</v>
      </c>
      <c r="N259" s="2">
        <v>0</v>
      </c>
    </row>
    <row r="260" spans="1:14" x14ac:dyDescent="0.3">
      <c r="A260" s="2">
        <v>32</v>
      </c>
      <c r="B260" s="2" t="s">
        <v>106</v>
      </c>
      <c r="C260" s="3">
        <v>37939</v>
      </c>
      <c r="D260" s="2">
        <v>138</v>
      </c>
      <c r="E260" s="2" t="s">
        <v>15</v>
      </c>
      <c r="F260" s="2" t="s">
        <v>107</v>
      </c>
      <c r="G260" s="2" t="s">
        <v>36</v>
      </c>
      <c r="H260" s="2" t="s">
        <v>18</v>
      </c>
      <c r="I260" s="2" t="s">
        <v>19</v>
      </c>
      <c r="J260" s="2" t="s">
        <v>25</v>
      </c>
      <c r="K260" s="2">
        <v>150000000</v>
      </c>
      <c r="L260" s="2">
        <v>212011111</v>
      </c>
      <c r="M260" s="2">
        <v>10</v>
      </c>
      <c r="N260" s="2">
        <v>2</v>
      </c>
    </row>
    <row r="261" spans="1:14" x14ac:dyDescent="0.3">
      <c r="A261" s="2">
        <v>33</v>
      </c>
      <c r="B261" s="2" t="s">
        <v>108</v>
      </c>
      <c r="C261" s="3">
        <v>38532</v>
      </c>
      <c r="D261" s="2">
        <v>116</v>
      </c>
      <c r="E261" s="2" t="s">
        <v>49</v>
      </c>
      <c r="F261" s="2" t="s">
        <v>16</v>
      </c>
      <c r="G261" s="2" t="s">
        <v>17</v>
      </c>
      <c r="H261" s="2" t="s">
        <v>18</v>
      </c>
      <c r="I261" s="2" t="s">
        <v>19</v>
      </c>
      <c r="J261" s="2" t="s">
        <v>25</v>
      </c>
      <c r="K261" s="2">
        <v>132000000</v>
      </c>
      <c r="L261" s="2">
        <v>591745540</v>
      </c>
      <c r="M261" s="2">
        <v>3</v>
      </c>
      <c r="N261" s="2">
        <v>0</v>
      </c>
    </row>
    <row r="262" spans="1:14" x14ac:dyDescent="0.3">
      <c r="A262" s="2">
        <v>34</v>
      </c>
      <c r="B262" s="2" t="s">
        <v>109</v>
      </c>
      <c r="C262" s="3">
        <v>39311</v>
      </c>
      <c r="D262" s="2">
        <v>115</v>
      </c>
      <c r="E262" s="2" t="s">
        <v>84</v>
      </c>
      <c r="F262" s="2" t="s">
        <v>110</v>
      </c>
      <c r="G262" s="2" t="s">
        <v>111</v>
      </c>
      <c r="H262" s="2" t="s">
        <v>18</v>
      </c>
      <c r="I262" s="2" t="s">
        <v>19</v>
      </c>
      <c r="J262" s="2" t="s">
        <v>25</v>
      </c>
      <c r="K262" s="2">
        <v>110000000</v>
      </c>
      <c r="L262" s="2">
        <v>442824138</v>
      </c>
      <c r="M262" s="2">
        <v>3</v>
      </c>
      <c r="N262" s="2">
        <v>3</v>
      </c>
    </row>
    <row r="263" spans="1:14" x14ac:dyDescent="0.3">
      <c r="A263" s="2">
        <v>36</v>
      </c>
      <c r="B263" s="2" t="s">
        <v>114</v>
      </c>
      <c r="C263" s="3">
        <v>37756</v>
      </c>
      <c r="D263" s="2">
        <v>138</v>
      </c>
      <c r="E263" s="2" t="s">
        <v>49</v>
      </c>
      <c r="F263" s="2" t="s">
        <v>115</v>
      </c>
      <c r="G263" s="2" t="s">
        <v>70</v>
      </c>
      <c r="H263" s="2" t="s">
        <v>18</v>
      </c>
      <c r="I263" s="2" t="s">
        <v>19</v>
      </c>
      <c r="J263" s="2">
        <v>15</v>
      </c>
      <c r="K263" s="2">
        <v>150000000</v>
      </c>
      <c r="L263" s="2">
        <v>742128461</v>
      </c>
      <c r="M263" s="2">
        <v>0</v>
      </c>
      <c r="N263" s="2">
        <v>0</v>
      </c>
    </row>
    <row r="264" spans="1:14" x14ac:dyDescent="0.3">
      <c r="A264" s="2">
        <v>37</v>
      </c>
      <c r="B264" s="2" t="s">
        <v>116</v>
      </c>
      <c r="C264" s="3">
        <v>38856</v>
      </c>
      <c r="D264" s="2">
        <v>146</v>
      </c>
      <c r="E264" s="2" t="s">
        <v>117</v>
      </c>
      <c r="F264" s="2" t="s">
        <v>118</v>
      </c>
      <c r="G264" s="2" t="s">
        <v>119</v>
      </c>
      <c r="H264" s="2" t="s">
        <v>18</v>
      </c>
      <c r="I264" s="2" t="s">
        <v>19</v>
      </c>
      <c r="J264" s="2" t="s">
        <v>25</v>
      </c>
      <c r="K264" s="2">
        <v>125000000</v>
      </c>
      <c r="L264" s="2">
        <v>758239851</v>
      </c>
      <c r="M264" s="2">
        <v>0</v>
      </c>
      <c r="N264" s="2">
        <v>0</v>
      </c>
    </row>
    <row r="265" spans="1:14" x14ac:dyDescent="0.3">
      <c r="A265" s="2">
        <v>39</v>
      </c>
      <c r="B265" s="2" t="s">
        <v>122</v>
      </c>
      <c r="C265" s="3">
        <v>38133</v>
      </c>
      <c r="D265" s="2">
        <v>124</v>
      </c>
      <c r="E265" s="2" t="s">
        <v>84</v>
      </c>
      <c r="F265" s="2" t="s">
        <v>123</v>
      </c>
      <c r="G265" s="2" t="s">
        <v>124</v>
      </c>
      <c r="H265" s="2" t="s">
        <v>18</v>
      </c>
      <c r="I265" s="2" t="s">
        <v>19</v>
      </c>
      <c r="J265" s="2" t="s">
        <v>25</v>
      </c>
      <c r="K265" s="2">
        <v>125000000</v>
      </c>
      <c r="L265" s="2">
        <v>542772402</v>
      </c>
      <c r="M265" s="2">
        <v>0</v>
      </c>
      <c r="N265" s="2">
        <v>0</v>
      </c>
    </row>
    <row r="266" spans="1:14" x14ac:dyDescent="0.3">
      <c r="A266" s="2">
        <v>40</v>
      </c>
      <c r="B266" s="2" t="s">
        <v>125</v>
      </c>
      <c r="C266" s="3">
        <v>37811</v>
      </c>
      <c r="D266" s="2">
        <v>135</v>
      </c>
      <c r="E266" s="2" t="s">
        <v>15</v>
      </c>
      <c r="F266" s="2" t="s">
        <v>65</v>
      </c>
      <c r="G266" s="2" t="s">
        <v>66</v>
      </c>
      <c r="H266" s="2" t="s">
        <v>18</v>
      </c>
      <c r="I266" s="2" t="s">
        <v>19</v>
      </c>
      <c r="J266" s="2">
        <v>12</v>
      </c>
      <c r="K266" s="2">
        <v>140000000</v>
      </c>
      <c r="L266" s="2">
        <v>654264015</v>
      </c>
      <c r="M266" s="2">
        <v>5</v>
      </c>
      <c r="N266" s="2">
        <v>0</v>
      </c>
    </row>
    <row r="267" spans="1:14" x14ac:dyDescent="0.3">
      <c r="A267" s="2">
        <v>41</v>
      </c>
      <c r="B267" s="2" t="s">
        <v>126</v>
      </c>
      <c r="C267" s="3">
        <v>37960</v>
      </c>
      <c r="D267" s="2">
        <v>154</v>
      </c>
      <c r="E267" s="2" t="s">
        <v>15</v>
      </c>
      <c r="F267" s="2" t="s">
        <v>127</v>
      </c>
      <c r="G267" s="2" t="s">
        <v>128</v>
      </c>
      <c r="H267" s="2" t="s">
        <v>18</v>
      </c>
      <c r="I267" s="2" t="s">
        <v>19</v>
      </c>
      <c r="J267" s="2">
        <v>15</v>
      </c>
      <c r="K267" s="2">
        <v>140000000</v>
      </c>
      <c r="L267" s="2">
        <v>456758981</v>
      </c>
      <c r="M267" s="2">
        <v>4</v>
      </c>
      <c r="N267" s="2">
        <v>0</v>
      </c>
    </row>
    <row r="268" spans="1:14" x14ac:dyDescent="0.3">
      <c r="A268" s="2">
        <v>42</v>
      </c>
      <c r="B268" s="2" t="s">
        <v>129</v>
      </c>
      <c r="C268" s="3">
        <v>36707</v>
      </c>
      <c r="D268" s="2">
        <v>130</v>
      </c>
      <c r="E268" s="2" t="s">
        <v>15</v>
      </c>
      <c r="F268" s="2" t="s">
        <v>74</v>
      </c>
      <c r="G268" s="2" t="s">
        <v>130</v>
      </c>
      <c r="H268" s="2" t="s">
        <v>18</v>
      </c>
      <c r="I268" s="2" t="s">
        <v>19</v>
      </c>
      <c r="J268" s="2">
        <v>12</v>
      </c>
      <c r="K268" s="2">
        <v>120000000</v>
      </c>
      <c r="L268" s="2">
        <v>328718434</v>
      </c>
      <c r="M268" s="2">
        <v>2</v>
      </c>
      <c r="N268" s="2">
        <v>0</v>
      </c>
    </row>
    <row r="269" spans="1:14" x14ac:dyDescent="0.3">
      <c r="A269" s="2">
        <v>43</v>
      </c>
      <c r="B269" s="2" t="s">
        <v>131</v>
      </c>
      <c r="C269" s="3">
        <v>38841</v>
      </c>
      <c r="D269" s="2">
        <v>125</v>
      </c>
      <c r="E269" s="2" t="s">
        <v>84</v>
      </c>
      <c r="F269" s="2" t="s">
        <v>132</v>
      </c>
      <c r="G269" s="2" t="s">
        <v>133</v>
      </c>
      <c r="H269" s="2" t="s">
        <v>18</v>
      </c>
      <c r="I269" s="2" t="s">
        <v>19</v>
      </c>
      <c r="J269" s="2" t="s">
        <v>25</v>
      </c>
      <c r="K269" s="2">
        <v>150000000</v>
      </c>
      <c r="L269" s="2">
        <v>397850012</v>
      </c>
      <c r="M269" s="2">
        <v>0</v>
      </c>
      <c r="N269" s="2">
        <v>0</v>
      </c>
    </row>
    <row r="270" spans="1:14" x14ac:dyDescent="0.3">
      <c r="A270" s="2">
        <v>44</v>
      </c>
      <c r="B270" s="2" t="s">
        <v>134</v>
      </c>
      <c r="C270" s="3">
        <v>36670</v>
      </c>
      <c r="D270" s="2">
        <v>123</v>
      </c>
      <c r="E270" s="2" t="s">
        <v>84</v>
      </c>
      <c r="F270" s="2" t="s">
        <v>135</v>
      </c>
      <c r="G270" s="2" t="s">
        <v>133</v>
      </c>
      <c r="H270" s="2" t="s">
        <v>18</v>
      </c>
      <c r="I270" s="2" t="s">
        <v>19</v>
      </c>
      <c r="J270" s="2">
        <v>15</v>
      </c>
      <c r="K270" s="2">
        <v>125000000</v>
      </c>
      <c r="L270" s="2">
        <v>546388105</v>
      </c>
      <c r="M270" s="2">
        <v>0</v>
      </c>
      <c r="N270" s="2">
        <v>0</v>
      </c>
    </row>
    <row r="271" spans="1:14" x14ac:dyDescent="0.3">
      <c r="A271" s="2">
        <v>45</v>
      </c>
      <c r="B271" s="2" t="s">
        <v>136</v>
      </c>
      <c r="C271" s="3">
        <v>37498</v>
      </c>
      <c r="D271" s="2">
        <v>134</v>
      </c>
      <c r="E271" s="2" t="s">
        <v>45</v>
      </c>
      <c r="F271" s="2" t="s">
        <v>135</v>
      </c>
      <c r="G271" s="2" t="s">
        <v>137</v>
      </c>
      <c r="H271" s="2" t="s">
        <v>18</v>
      </c>
      <c r="I271" s="2" t="s">
        <v>19</v>
      </c>
      <c r="J271" s="2">
        <v>15</v>
      </c>
      <c r="K271" s="2">
        <v>115000000</v>
      </c>
      <c r="L271" s="2">
        <v>77628265</v>
      </c>
      <c r="M271" s="2">
        <v>0</v>
      </c>
      <c r="N271" s="2">
        <v>0</v>
      </c>
    </row>
    <row r="272" spans="1:14" x14ac:dyDescent="0.3">
      <c r="A272" s="2">
        <v>46</v>
      </c>
      <c r="B272" s="2" t="s">
        <v>138</v>
      </c>
      <c r="C272" s="3">
        <v>37392</v>
      </c>
      <c r="D272" s="2">
        <v>142</v>
      </c>
      <c r="E272" s="2" t="s">
        <v>49</v>
      </c>
      <c r="F272" s="2" t="s">
        <v>139</v>
      </c>
      <c r="G272" s="2" t="s">
        <v>140</v>
      </c>
      <c r="H272" s="2" t="s">
        <v>18</v>
      </c>
      <c r="I272" s="2" t="s">
        <v>19</v>
      </c>
      <c r="J272" s="2" t="s">
        <v>20</v>
      </c>
      <c r="K272" s="2">
        <v>115000000</v>
      </c>
      <c r="L272" s="2">
        <v>649400000</v>
      </c>
      <c r="M272" s="2">
        <v>1</v>
      </c>
      <c r="N272" s="2">
        <v>0</v>
      </c>
    </row>
    <row r="273" spans="1:14" x14ac:dyDescent="0.3">
      <c r="A273" s="2">
        <v>47</v>
      </c>
      <c r="B273" s="2" t="s">
        <v>141</v>
      </c>
      <c r="C273" s="3">
        <v>37295</v>
      </c>
      <c r="D273" s="2">
        <v>92</v>
      </c>
      <c r="E273" s="2" t="s">
        <v>60</v>
      </c>
      <c r="F273" s="2" t="s">
        <v>142</v>
      </c>
      <c r="G273" s="2" t="s">
        <v>143</v>
      </c>
      <c r="H273" s="2" t="s">
        <v>18</v>
      </c>
      <c r="I273" s="2" t="s">
        <v>19</v>
      </c>
      <c r="J273" s="2" t="s">
        <v>63</v>
      </c>
      <c r="K273" s="2">
        <v>115000000</v>
      </c>
      <c r="L273" s="2">
        <v>562800000</v>
      </c>
      <c r="M273" s="2">
        <v>4</v>
      </c>
      <c r="N273" s="2">
        <v>1</v>
      </c>
    </row>
    <row r="274" spans="1:14" x14ac:dyDescent="0.3">
      <c r="A274" s="2">
        <v>48</v>
      </c>
      <c r="B274" s="2" t="s">
        <v>144</v>
      </c>
      <c r="C274" s="3">
        <v>36299</v>
      </c>
      <c r="D274" s="2">
        <v>133</v>
      </c>
      <c r="E274" s="2" t="s">
        <v>49</v>
      </c>
      <c r="F274" s="2" t="s">
        <v>139</v>
      </c>
      <c r="G274" s="2" t="s">
        <v>140</v>
      </c>
      <c r="H274" s="2" t="s">
        <v>18</v>
      </c>
      <c r="I274" s="2" t="s">
        <v>19</v>
      </c>
      <c r="J274" s="2" t="s">
        <v>63</v>
      </c>
      <c r="K274" s="2">
        <v>115000000</v>
      </c>
      <c r="L274" s="2">
        <v>1027000000</v>
      </c>
      <c r="M274" s="2">
        <v>3</v>
      </c>
      <c r="N274" s="2">
        <v>0</v>
      </c>
    </row>
    <row r="275" spans="1:14" x14ac:dyDescent="0.3">
      <c r="A275" s="2">
        <v>49</v>
      </c>
      <c r="B275" s="2" t="s">
        <v>145</v>
      </c>
      <c r="C275" s="3">
        <v>38491</v>
      </c>
      <c r="D275" s="2">
        <v>140</v>
      </c>
      <c r="E275" s="2" t="s">
        <v>49</v>
      </c>
      <c r="F275" s="2" t="s">
        <v>139</v>
      </c>
      <c r="G275" s="2" t="s">
        <v>140</v>
      </c>
      <c r="H275" s="2" t="s">
        <v>18</v>
      </c>
      <c r="I275" s="2" t="s">
        <v>19</v>
      </c>
      <c r="J275" s="2" t="s">
        <v>25</v>
      </c>
      <c r="K275" s="2">
        <v>113000000</v>
      </c>
      <c r="L275" s="2">
        <v>848800000</v>
      </c>
      <c r="M275" s="2">
        <v>1</v>
      </c>
      <c r="N275" s="2">
        <v>0</v>
      </c>
    </row>
    <row r="276" spans="1:14" x14ac:dyDescent="0.3">
      <c r="A276" s="2">
        <v>50</v>
      </c>
      <c r="B276" s="2" t="s">
        <v>146</v>
      </c>
      <c r="C276" s="3">
        <v>37930</v>
      </c>
      <c r="D276" s="2">
        <v>129</v>
      </c>
      <c r="E276" s="2" t="s">
        <v>49</v>
      </c>
      <c r="F276" s="2" t="s">
        <v>115</v>
      </c>
      <c r="G276" s="2" t="s">
        <v>70</v>
      </c>
      <c r="H276" s="2" t="s">
        <v>18</v>
      </c>
      <c r="I276" s="2" t="s">
        <v>19</v>
      </c>
      <c r="J276" s="2">
        <v>15</v>
      </c>
      <c r="K276" s="2">
        <v>150000000</v>
      </c>
      <c r="L276" s="2">
        <v>427343298</v>
      </c>
      <c r="M276" s="2">
        <v>0</v>
      </c>
      <c r="N276" s="2">
        <v>0</v>
      </c>
    </row>
    <row r="277" spans="1:14" x14ac:dyDescent="0.3">
      <c r="A277" s="2">
        <v>52</v>
      </c>
      <c r="B277" s="2" t="s">
        <v>149</v>
      </c>
      <c r="C277" s="3">
        <v>37302</v>
      </c>
      <c r="D277" s="2">
        <v>117</v>
      </c>
      <c r="E277" s="2" t="s">
        <v>150</v>
      </c>
      <c r="F277" s="2" t="s">
        <v>151</v>
      </c>
      <c r="G277" s="2" t="s">
        <v>152</v>
      </c>
      <c r="H277" s="2" t="s">
        <v>18</v>
      </c>
      <c r="I277" s="2" t="s">
        <v>19</v>
      </c>
      <c r="J277" s="2">
        <v>12</v>
      </c>
      <c r="K277" s="2">
        <v>85000000</v>
      </c>
      <c r="L277" s="2">
        <v>450717150</v>
      </c>
      <c r="M277" s="2">
        <v>0</v>
      </c>
      <c r="N277" s="2">
        <v>0</v>
      </c>
    </row>
    <row r="278" spans="1:14" x14ac:dyDescent="0.3">
      <c r="A278" s="2">
        <v>53</v>
      </c>
      <c r="B278" s="2" t="s">
        <v>153</v>
      </c>
      <c r="C278" s="3">
        <v>39260</v>
      </c>
      <c r="D278" s="2">
        <v>130</v>
      </c>
      <c r="E278" s="2" t="s">
        <v>22</v>
      </c>
      <c r="F278" s="2" t="s">
        <v>154</v>
      </c>
      <c r="G278" s="2" t="s">
        <v>155</v>
      </c>
      <c r="H278" s="2" t="s">
        <v>18</v>
      </c>
      <c r="I278" s="2" t="s">
        <v>19</v>
      </c>
      <c r="J278" s="2">
        <v>15</v>
      </c>
      <c r="K278" s="2">
        <v>110000000</v>
      </c>
      <c r="L278" s="2">
        <v>383500000</v>
      </c>
      <c r="M278" s="2">
        <v>0</v>
      </c>
      <c r="N278" s="2">
        <v>0</v>
      </c>
    </row>
    <row r="279" spans="1:14" x14ac:dyDescent="0.3">
      <c r="A279" s="2">
        <v>54</v>
      </c>
      <c r="B279" s="2" t="s">
        <v>156</v>
      </c>
      <c r="C279" s="3">
        <v>38154</v>
      </c>
      <c r="D279" s="2">
        <v>120</v>
      </c>
      <c r="E279" s="2" t="s">
        <v>15</v>
      </c>
      <c r="F279" s="2" t="s">
        <v>157</v>
      </c>
      <c r="G279" s="2" t="s">
        <v>158</v>
      </c>
      <c r="H279" s="2" t="s">
        <v>18</v>
      </c>
      <c r="I279" s="2" t="s">
        <v>19</v>
      </c>
      <c r="J279" s="2" t="s">
        <v>20</v>
      </c>
      <c r="K279" s="2">
        <v>110000000</v>
      </c>
      <c r="L279" s="2">
        <v>72178895</v>
      </c>
      <c r="M279" s="2">
        <v>0</v>
      </c>
      <c r="N279" s="2">
        <v>0</v>
      </c>
    </row>
    <row r="280" spans="1:14" x14ac:dyDescent="0.3">
      <c r="A280" s="2">
        <v>55</v>
      </c>
      <c r="B280" s="2" t="s">
        <v>159</v>
      </c>
      <c r="C280" s="3">
        <v>38478</v>
      </c>
      <c r="D280" s="2">
        <v>144</v>
      </c>
      <c r="E280" s="2" t="s">
        <v>15</v>
      </c>
      <c r="F280" s="2" t="s">
        <v>160</v>
      </c>
      <c r="G280" s="2" t="s">
        <v>161</v>
      </c>
      <c r="H280" s="2" t="s">
        <v>18</v>
      </c>
      <c r="I280" s="2" t="s">
        <v>19</v>
      </c>
      <c r="J280" s="2">
        <v>15</v>
      </c>
      <c r="K280" s="2">
        <v>130000000</v>
      </c>
      <c r="L280" s="2">
        <v>211398413</v>
      </c>
      <c r="M280" s="2">
        <v>0</v>
      </c>
      <c r="N280" s="2">
        <v>0</v>
      </c>
    </row>
    <row r="281" spans="1:14" x14ac:dyDescent="0.3">
      <c r="A281" s="2">
        <v>56</v>
      </c>
      <c r="B281" s="2" t="s">
        <v>162</v>
      </c>
      <c r="C281" s="3">
        <v>38513</v>
      </c>
      <c r="D281" s="2">
        <v>120</v>
      </c>
      <c r="E281" s="2" t="s">
        <v>22</v>
      </c>
      <c r="F281" s="2" t="s">
        <v>163</v>
      </c>
      <c r="G281" s="2" t="s">
        <v>164</v>
      </c>
      <c r="H281" s="2" t="s">
        <v>18</v>
      </c>
      <c r="I281" s="2" t="s">
        <v>19</v>
      </c>
      <c r="J281" s="2">
        <v>15</v>
      </c>
      <c r="K281" s="2">
        <v>110000000</v>
      </c>
      <c r="L281" s="2">
        <v>478336279</v>
      </c>
      <c r="M281" s="2">
        <v>0</v>
      </c>
      <c r="N281" s="2">
        <v>0</v>
      </c>
    </row>
    <row r="282" spans="1:14" x14ac:dyDescent="0.3">
      <c r="A282" s="2">
        <v>57</v>
      </c>
      <c r="B282" s="2" t="s">
        <v>165</v>
      </c>
      <c r="C282" s="3">
        <v>38346</v>
      </c>
      <c r="D282" s="2">
        <v>170</v>
      </c>
      <c r="E282" s="2" t="s">
        <v>166</v>
      </c>
      <c r="F282" s="2" t="s">
        <v>167</v>
      </c>
      <c r="G282" s="2" t="s">
        <v>168</v>
      </c>
      <c r="H282" s="2" t="s">
        <v>18</v>
      </c>
      <c r="I282" s="2" t="s">
        <v>19</v>
      </c>
      <c r="J282" s="2" t="s">
        <v>25</v>
      </c>
      <c r="K282" s="2">
        <v>110000000</v>
      </c>
      <c r="L282" s="2">
        <v>214608827</v>
      </c>
      <c r="M282" s="2">
        <v>11</v>
      </c>
      <c r="N282" s="2">
        <v>5</v>
      </c>
    </row>
    <row r="283" spans="1:14" x14ac:dyDescent="0.3">
      <c r="A283" s="2">
        <v>58</v>
      </c>
      <c r="B283" s="2" t="s">
        <v>169</v>
      </c>
      <c r="C283" s="3">
        <v>37250</v>
      </c>
      <c r="D283" s="2">
        <v>157</v>
      </c>
      <c r="E283" s="2" t="s">
        <v>166</v>
      </c>
      <c r="F283" s="2" t="s">
        <v>102</v>
      </c>
      <c r="G283" s="2" t="s">
        <v>170</v>
      </c>
      <c r="H283" s="2" t="s">
        <v>18</v>
      </c>
      <c r="I283" s="2" t="s">
        <v>19</v>
      </c>
      <c r="J283" s="2">
        <v>15</v>
      </c>
      <c r="K283" s="2">
        <v>107000000</v>
      </c>
      <c r="L283" s="2">
        <v>87713825</v>
      </c>
      <c r="M283" s="2">
        <v>0</v>
      </c>
      <c r="N283" s="2">
        <v>0</v>
      </c>
    </row>
    <row r="284" spans="1:14" x14ac:dyDescent="0.3">
      <c r="A284" s="2">
        <v>60</v>
      </c>
      <c r="B284" s="2" t="s">
        <v>172</v>
      </c>
      <c r="C284" s="3">
        <v>38183</v>
      </c>
      <c r="D284" s="2">
        <v>115</v>
      </c>
      <c r="E284" s="2" t="s">
        <v>49</v>
      </c>
      <c r="F284" s="2" t="s">
        <v>173</v>
      </c>
      <c r="G284" s="2" t="s">
        <v>174</v>
      </c>
      <c r="H284" s="2" t="s">
        <v>18</v>
      </c>
      <c r="I284" s="2" t="s">
        <v>19</v>
      </c>
      <c r="J284" s="2" t="s">
        <v>25</v>
      </c>
      <c r="K284" s="2">
        <v>120000000</v>
      </c>
      <c r="L284" s="2">
        <v>347234916</v>
      </c>
      <c r="M284" s="2">
        <v>1</v>
      </c>
      <c r="N284" s="2">
        <v>0</v>
      </c>
    </row>
    <row r="285" spans="1:14" x14ac:dyDescent="0.3">
      <c r="A285" s="2">
        <v>62</v>
      </c>
      <c r="B285" s="2" t="s">
        <v>177</v>
      </c>
      <c r="C285" s="3">
        <v>37441</v>
      </c>
      <c r="D285" s="2">
        <v>145</v>
      </c>
      <c r="E285" s="2" t="s">
        <v>49</v>
      </c>
      <c r="F285" s="2" t="s">
        <v>16</v>
      </c>
      <c r="G285" s="2" t="s">
        <v>17</v>
      </c>
      <c r="H285" s="2" t="s">
        <v>18</v>
      </c>
      <c r="I285" s="2" t="s">
        <v>19</v>
      </c>
      <c r="J285" s="2">
        <v>12</v>
      </c>
      <c r="K285" s="2">
        <v>102000000</v>
      </c>
      <c r="L285" s="2">
        <v>358300000</v>
      </c>
      <c r="M285" s="2">
        <v>1</v>
      </c>
      <c r="N285" s="2">
        <v>0</v>
      </c>
    </row>
    <row r="286" spans="1:14" x14ac:dyDescent="0.3">
      <c r="A286" s="2">
        <v>63</v>
      </c>
      <c r="B286" s="2" t="s">
        <v>178</v>
      </c>
      <c r="C286" s="3">
        <v>33466</v>
      </c>
      <c r="D286" s="2">
        <v>136</v>
      </c>
      <c r="E286" s="2" t="s">
        <v>49</v>
      </c>
      <c r="F286" s="2" t="s">
        <v>35</v>
      </c>
      <c r="G286" s="2" t="s">
        <v>179</v>
      </c>
      <c r="H286" s="2" t="s">
        <v>18</v>
      </c>
      <c r="I286" s="2" t="s">
        <v>19</v>
      </c>
      <c r="J286" s="2">
        <v>15</v>
      </c>
      <c r="K286" s="2">
        <v>100000000</v>
      </c>
      <c r="L286" s="2">
        <v>516816151</v>
      </c>
      <c r="M286" s="2">
        <v>4</v>
      </c>
      <c r="N286" s="2">
        <v>6</v>
      </c>
    </row>
    <row r="287" spans="1:14" x14ac:dyDescent="0.3">
      <c r="A287" s="2">
        <v>64</v>
      </c>
      <c r="B287" s="2" t="s">
        <v>180</v>
      </c>
      <c r="C287" s="3">
        <v>38212</v>
      </c>
      <c r="D287" s="2">
        <v>104</v>
      </c>
      <c r="E287" s="2" t="s">
        <v>22</v>
      </c>
      <c r="F287" s="2" t="s">
        <v>181</v>
      </c>
      <c r="G287" s="2" t="s">
        <v>70</v>
      </c>
      <c r="H287" s="2" t="s">
        <v>18</v>
      </c>
      <c r="I287" s="2" t="s">
        <v>19</v>
      </c>
      <c r="J287" s="2" t="s">
        <v>25</v>
      </c>
      <c r="K287" s="2">
        <v>100000000</v>
      </c>
      <c r="L287" s="2">
        <v>82102379</v>
      </c>
      <c r="M287" s="2">
        <v>0</v>
      </c>
      <c r="N287" s="2">
        <v>0</v>
      </c>
    </row>
    <row r="288" spans="1:14" x14ac:dyDescent="0.3">
      <c r="A288" s="2">
        <v>66</v>
      </c>
      <c r="B288" s="2" t="s">
        <v>183</v>
      </c>
      <c r="C288" s="3">
        <v>39402</v>
      </c>
      <c r="D288" s="2">
        <v>158</v>
      </c>
      <c r="E288" s="2" t="s">
        <v>166</v>
      </c>
      <c r="F288" s="2" t="s">
        <v>160</v>
      </c>
      <c r="G288" s="2" t="s">
        <v>119</v>
      </c>
      <c r="H288" s="2" t="s">
        <v>18</v>
      </c>
      <c r="I288" s="2" t="s">
        <v>19</v>
      </c>
      <c r="J288" s="2">
        <v>18</v>
      </c>
      <c r="K288" s="2">
        <v>100000000</v>
      </c>
      <c r="L288" s="2">
        <v>266465037</v>
      </c>
      <c r="M288" s="2">
        <v>2</v>
      </c>
      <c r="N288" s="2">
        <v>0</v>
      </c>
    </row>
    <row r="289" spans="1:14" x14ac:dyDescent="0.3">
      <c r="A289" s="2">
        <v>67</v>
      </c>
      <c r="B289" s="2" t="s">
        <v>184</v>
      </c>
      <c r="C289" s="3">
        <v>39059</v>
      </c>
      <c r="D289" s="2">
        <v>143</v>
      </c>
      <c r="E289" s="2" t="s">
        <v>15</v>
      </c>
      <c r="F289" s="2" t="s">
        <v>127</v>
      </c>
      <c r="G289" s="2" t="s">
        <v>185</v>
      </c>
      <c r="H289" s="2" t="s">
        <v>18</v>
      </c>
      <c r="I289" s="2" t="s">
        <v>19</v>
      </c>
      <c r="J289" s="2">
        <v>15</v>
      </c>
      <c r="K289" s="2">
        <v>100000000</v>
      </c>
      <c r="L289" s="2">
        <v>171407179</v>
      </c>
      <c r="M289" s="2">
        <v>5</v>
      </c>
      <c r="N289" s="2">
        <v>0</v>
      </c>
    </row>
    <row r="290" spans="1:14" x14ac:dyDescent="0.3">
      <c r="A290" s="2">
        <v>68</v>
      </c>
      <c r="B290" s="2" t="s">
        <v>186</v>
      </c>
      <c r="C290" s="3">
        <v>36651</v>
      </c>
      <c r="D290" s="2">
        <v>155</v>
      </c>
      <c r="E290" s="2" t="s">
        <v>15</v>
      </c>
      <c r="F290" s="2" t="s">
        <v>160</v>
      </c>
      <c r="G290" s="2" t="s">
        <v>161</v>
      </c>
      <c r="H290" s="2" t="s">
        <v>18</v>
      </c>
      <c r="I290" s="2" t="s">
        <v>19</v>
      </c>
      <c r="J290" s="2">
        <v>15</v>
      </c>
      <c r="K290" s="2">
        <v>103000000</v>
      </c>
      <c r="L290" s="2">
        <v>457600000</v>
      </c>
      <c r="M290" s="2">
        <v>12</v>
      </c>
      <c r="N290" s="2">
        <v>5</v>
      </c>
    </row>
    <row r="291" spans="1:14" x14ac:dyDescent="0.3">
      <c r="A291" s="2">
        <v>69</v>
      </c>
      <c r="B291" s="2" t="s">
        <v>187</v>
      </c>
      <c r="C291" s="3">
        <v>34530</v>
      </c>
      <c r="D291" s="2">
        <v>141</v>
      </c>
      <c r="E291" s="2" t="s">
        <v>84</v>
      </c>
      <c r="F291" s="2" t="s">
        <v>35</v>
      </c>
      <c r="G291" s="2" t="s">
        <v>188</v>
      </c>
      <c r="H291" s="2" t="s">
        <v>18</v>
      </c>
      <c r="I291" s="2" t="s">
        <v>19</v>
      </c>
      <c r="J291" s="2">
        <v>15</v>
      </c>
      <c r="K291" s="2">
        <v>100000000</v>
      </c>
      <c r="L291" s="2">
        <v>378882411</v>
      </c>
      <c r="M291" s="2">
        <v>1</v>
      </c>
      <c r="N291" s="2">
        <v>0</v>
      </c>
    </row>
    <row r="292" spans="1:14" x14ac:dyDescent="0.3">
      <c r="A292" s="2">
        <v>70</v>
      </c>
      <c r="B292" s="2" t="s">
        <v>189</v>
      </c>
      <c r="C292" s="3">
        <v>37610</v>
      </c>
      <c r="D292" s="2">
        <v>160</v>
      </c>
      <c r="E292" s="2" t="s">
        <v>190</v>
      </c>
      <c r="F292" s="2" t="s">
        <v>167</v>
      </c>
      <c r="G292" s="2" t="s">
        <v>47</v>
      </c>
      <c r="H292" s="2" t="s">
        <v>18</v>
      </c>
      <c r="I292" s="2" t="s">
        <v>19</v>
      </c>
      <c r="J292" s="2">
        <v>18</v>
      </c>
      <c r="K292" s="2">
        <v>97000000</v>
      </c>
      <c r="L292" s="2">
        <v>193772504</v>
      </c>
      <c r="M292" s="2">
        <v>10</v>
      </c>
      <c r="N292" s="2">
        <v>0</v>
      </c>
    </row>
    <row r="293" spans="1:14" x14ac:dyDescent="0.3">
      <c r="A293" s="2">
        <v>71</v>
      </c>
      <c r="B293" s="2" t="s">
        <v>191</v>
      </c>
      <c r="C293" s="3">
        <v>37274</v>
      </c>
      <c r="D293" s="2">
        <v>144</v>
      </c>
      <c r="E293" s="2" t="s">
        <v>45</v>
      </c>
      <c r="F293" s="2" t="s">
        <v>160</v>
      </c>
      <c r="G293" s="2" t="s">
        <v>192</v>
      </c>
      <c r="H293" s="2" t="s">
        <v>18</v>
      </c>
      <c r="I293" s="2" t="s">
        <v>19</v>
      </c>
      <c r="J293" s="2">
        <v>15</v>
      </c>
      <c r="K293" s="2">
        <v>92000000</v>
      </c>
      <c r="L293" s="2">
        <v>172989651</v>
      </c>
      <c r="M293" s="2">
        <v>4</v>
      </c>
      <c r="N293" s="2">
        <v>2</v>
      </c>
    </row>
    <row r="294" spans="1:14" x14ac:dyDescent="0.3">
      <c r="A294" s="2">
        <v>75</v>
      </c>
      <c r="B294" s="2" t="s">
        <v>199</v>
      </c>
      <c r="C294" s="3">
        <v>39304</v>
      </c>
      <c r="D294" s="2">
        <v>91</v>
      </c>
      <c r="E294" s="2" t="s">
        <v>200</v>
      </c>
      <c r="F294" s="2" t="s">
        <v>201</v>
      </c>
      <c r="G294" s="2" t="s">
        <v>202</v>
      </c>
      <c r="H294" s="2" t="s">
        <v>18</v>
      </c>
      <c r="I294" s="2" t="s">
        <v>19</v>
      </c>
      <c r="J294" s="2" t="s">
        <v>25</v>
      </c>
      <c r="K294" s="2">
        <v>140000000</v>
      </c>
      <c r="L294" s="2">
        <v>258022233</v>
      </c>
      <c r="M294" s="2">
        <v>0</v>
      </c>
      <c r="N294" s="2">
        <v>0</v>
      </c>
    </row>
    <row r="295" spans="1:14" x14ac:dyDescent="0.3">
      <c r="A295" s="2">
        <v>76</v>
      </c>
      <c r="B295" s="2" t="s">
        <v>203</v>
      </c>
      <c r="C295" s="3">
        <v>37106</v>
      </c>
      <c r="D295" s="2">
        <v>90</v>
      </c>
      <c r="E295" s="2" t="s">
        <v>200</v>
      </c>
      <c r="F295" s="2" t="s">
        <v>201</v>
      </c>
      <c r="G295" s="2" t="s">
        <v>204</v>
      </c>
      <c r="H295" s="2" t="s">
        <v>18</v>
      </c>
      <c r="I295" s="2" t="s">
        <v>19</v>
      </c>
      <c r="J295" s="2">
        <v>12</v>
      </c>
      <c r="K295" s="2">
        <v>90000000</v>
      </c>
      <c r="L295" s="2">
        <v>347425832</v>
      </c>
      <c r="M295" s="2">
        <v>0</v>
      </c>
      <c r="N295" s="2">
        <v>0</v>
      </c>
    </row>
    <row r="296" spans="1:14" x14ac:dyDescent="0.3">
      <c r="A296" s="2">
        <v>77</v>
      </c>
      <c r="B296" s="2" t="s">
        <v>205</v>
      </c>
      <c r="C296" s="3">
        <v>35613</v>
      </c>
      <c r="D296" s="2">
        <v>98</v>
      </c>
      <c r="E296" s="2" t="s">
        <v>49</v>
      </c>
      <c r="F296" s="2" t="s">
        <v>92</v>
      </c>
      <c r="G296" s="2" t="s">
        <v>17</v>
      </c>
      <c r="H296" s="2" t="s">
        <v>18</v>
      </c>
      <c r="I296" s="2" t="s">
        <v>19</v>
      </c>
      <c r="J296" s="2" t="s">
        <v>20</v>
      </c>
      <c r="K296" s="2">
        <v>90000000</v>
      </c>
      <c r="L296" s="2">
        <v>589390539</v>
      </c>
      <c r="M296" s="2">
        <v>3</v>
      </c>
      <c r="N296" s="2">
        <v>1</v>
      </c>
    </row>
    <row r="297" spans="1:14" x14ac:dyDescent="0.3">
      <c r="A297" s="2">
        <v>78</v>
      </c>
      <c r="B297" s="2" t="s">
        <v>206</v>
      </c>
      <c r="C297" s="3">
        <v>38996</v>
      </c>
      <c r="D297" s="2">
        <v>151</v>
      </c>
      <c r="E297" s="2" t="s">
        <v>84</v>
      </c>
      <c r="F297" s="2" t="s">
        <v>167</v>
      </c>
      <c r="G297" s="2" t="s">
        <v>130</v>
      </c>
      <c r="H297" s="2" t="s">
        <v>18</v>
      </c>
      <c r="I297" s="2" t="s">
        <v>19</v>
      </c>
      <c r="J297" s="2">
        <v>18</v>
      </c>
      <c r="K297" s="2">
        <v>90000000</v>
      </c>
      <c r="L297" s="2">
        <v>289847354</v>
      </c>
      <c r="M297" s="2">
        <v>5</v>
      </c>
      <c r="N297" s="2">
        <v>4</v>
      </c>
    </row>
    <row r="298" spans="1:14" x14ac:dyDescent="0.3">
      <c r="A298" s="2">
        <v>79</v>
      </c>
      <c r="B298" s="2" t="s">
        <v>207</v>
      </c>
      <c r="C298" s="3">
        <v>34929</v>
      </c>
      <c r="D298" s="2">
        <v>131</v>
      </c>
      <c r="E298" s="2" t="s">
        <v>22</v>
      </c>
      <c r="F298" s="2" t="s">
        <v>208</v>
      </c>
      <c r="G298" s="2" t="s">
        <v>209</v>
      </c>
      <c r="H298" s="2" t="s">
        <v>18</v>
      </c>
      <c r="I298" s="2" t="s">
        <v>19</v>
      </c>
      <c r="J298" s="2">
        <v>15</v>
      </c>
      <c r="K298" s="2">
        <v>90000000</v>
      </c>
      <c r="L298" s="2">
        <v>366101666</v>
      </c>
      <c r="M298" s="2">
        <v>0</v>
      </c>
      <c r="N298" s="2">
        <v>0</v>
      </c>
    </row>
    <row r="299" spans="1:14" x14ac:dyDescent="0.3">
      <c r="A299" s="2">
        <v>80</v>
      </c>
      <c r="B299" s="2" t="s">
        <v>210</v>
      </c>
      <c r="C299" s="3">
        <v>38604</v>
      </c>
      <c r="D299" s="2">
        <v>144</v>
      </c>
      <c r="E299" s="2" t="s">
        <v>190</v>
      </c>
      <c r="F299" s="2" t="s">
        <v>118</v>
      </c>
      <c r="G299" s="2" t="s">
        <v>119</v>
      </c>
      <c r="H299" s="2" t="s">
        <v>18</v>
      </c>
      <c r="I299" s="2" t="s">
        <v>19</v>
      </c>
      <c r="J299" s="2" t="s">
        <v>25</v>
      </c>
      <c r="K299" s="2">
        <v>88000000</v>
      </c>
      <c r="L299" s="2">
        <v>108539911</v>
      </c>
      <c r="M299" s="2">
        <v>3</v>
      </c>
      <c r="N299" s="2">
        <v>0</v>
      </c>
    </row>
    <row r="300" spans="1:14" x14ac:dyDescent="0.3">
      <c r="A300" s="2">
        <v>81</v>
      </c>
      <c r="B300" s="2" t="s">
        <v>211</v>
      </c>
      <c r="C300" s="3">
        <v>38191</v>
      </c>
      <c r="D300" s="2">
        <v>108</v>
      </c>
      <c r="E300" s="2" t="s">
        <v>84</v>
      </c>
      <c r="F300" s="2" t="s">
        <v>110</v>
      </c>
      <c r="G300" s="2" t="s">
        <v>111</v>
      </c>
      <c r="H300" s="2" t="s">
        <v>18</v>
      </c>
      <c r="I300" s="2" t="s">
        <v>19</v>
      </c>
      <c r="J300" s="2" t="s">
        <v>25</v>
      </c>
      <c r="K300" s="2">
        <v>75000000</v>
      </c>
      <c r="L300" s="2">
        <v>288500000</v>
      </c>
      <c r="M300" s="2">
        <v>0</v>
      </c>
      <c r="N300" s="2">
        <v>0</v>
      </c>
    </row>
    <row r="301" spans="1:14" x14ac:dyDescent="0.3">
      <c r="A301" s="2">
        <v>82</v>
      </c>
      <c r="B301" s="2" t="s">
        <v>212</v>
      </c>
      <c r="C301" s="3">
        <v>34180</v>
      </c>
      <c r="D301" s="2">
        <v>130</v>
      </c>
      <c r="E301" s="2" t="s">
        <v>22</v>
      </c>
      <c r="F301" s="2" t="s">
        <v>208</v>
      </c>
      <c r="G301" s="2" t="s">
        <v>213</v>
      </c>
      <c r="H301" s="2" t="s">
        <v>18</v>
      </c>
      <c r="I301" s="2" t="s">
        <v>19</v>
      </c>
      <c r="J301" s="2">
        <v>15</v>
      </c>
      <c r="K301" s="2">
        <v>85000000</v>
      </c>
      <c r="L301" s="2">
        <v>137298489</v>
      </c>
      <c r="M301" s="2">
        <v>0</v>
      </c>
      <c r="N301" s="2">
        <v>0</v>
      </c>
    </row>
    <row r="302" spans="1:14" x14ac:dyDescent="0.3">
      <c r="A302" s="2">
        <v>83</v>
      </c>
      <c r="B302" s="2" t="s">
        <v>214</v>
      </c>
      <c r="C302" s="3">
        <v>36903</v>
      </c>
      <c r="D302" s="2">
        <v>143</v>
      </c>
      <c r="E302" s="2" t="s">
        <v>190</v>
      </c>
      <c r="F302" s="2" t="s">
        <v>57</v>
      </c>
      <c r="G302" s="2" t="s">
        <v>215</v>
      </c>
      <c r="H302" s="2" t="s">
        <v>18</v>
      </c>
      <c r="I302" s="2" t="s">
        <v>19</v>
      </c>
      <c r="J302" s="2">
        <v>12</v>
      </c>
      <c r="K302" s="2">
        <v>85000000</v>
      </c>
      <c r="L302" s="2">
        <v>427230516</v>
      </c>
      <c r="M302" s="2">
        <v>2</v>
      </c>
      <c r="N302" s="2">
        <v>0</v>
      </c>
    </row>
    <row r="303" spans="1:14" x14ac:dyDescent="0.3">
      <c r="A303" s="2">
        <v>84</v>
      </c>
      <c r="B303" s="2" t="s">
        <v>216</v>
      </c>
      <c r="C303" s="3">
        <v>38387</v>
      </c>
      <c r="D303" s="2">
        <v>125</v>
      </c>
      <c r="E303" s="2" t="s">
        <v>150</v>
      </c>
      <c r="F303" s="2" t="s">
        <v>151</v>
      </c>
      <c r="G303" s="2" t="s">
        <v>152</v>
      </c>
      <c r="H303" s="2" t="s">
        <v>18</v>
      </c>
      <c r="I303" s="2" t="s">
        <v>19</v>
      </c>
      <c r="J303" s="2" t="s">
        <v>25</v>
      </c>
      <c r="K303" s="2">
        <v>110000000</v>
      </c>
      <c r="L303" s="2">
        <v>362744280</v>
      </c>
      <c r="M303" s="2">
        <v>0</v>
      </c>
      <c r="N303" s="2">
        <v>0</v>
      </c>
    </row>
    <row r="304" spans="1:14" x14ac:dyDescent="0.3">
      <c r="A304" s="2">
        <v>85</v>
      </c>
      <c r="B304" s="2" t="s">
        <v>217</v>
      </c>
      <c r="C304" s="3">
        <v>38989</v>
      </c>
      <c r="D304" s="2">
        <v>107</v>
      </c>
      <c r="E304" s="2" t="s">
        <v>38</v>
      </c>
      <c r="F304" s="2" t="s">
        <v>157</v>
      </c>
      <c r="G304" s="2" t="s">
        <v>192</v>
      </c>
      <c r="H304" s="2" t="s">
        <v>18</v>
      </c>
      <c r="I304" s="2" t="s">
        <v>19</v>
      </c>
      <c r="J304" s="2" t="s">
        <v>25</v>
      </c>
      <c r="K304" s="2">
        <v>82500000</v>
      </c>
      <c r="L304" s="2">
        <v>237681299</v>
      </c>
      <c r="M304" s="2">
        <v>1</v>
      </c>
      <c r="N304" s="2">
        <v>0</v>
      </c>
    </row>
    <row r="305" spans="1:14" x14ac:dyDescent="0.3">
      <c r="A305" s="2">
        <v>86</v>
      </c>
      <c r="B305" s="2" t="s">
        <v>218</v>
      </c>
      <c r="C305" s="3">
        <v>37764</v>
      </c>
      <c r="D305" s="2">
        <v>101</v>
      </c>
      <c r="E305" s="2" t="s">
        <v>38</v>
      </c>
      <c r="F305" s="2" t="s">
        <v>39</v>
      </c>
      <c r="G305" s="2" t="s">
        <v>40</v>
      </c>
      <c r="H305" s="2" t="s">
        <v>18</v>
      </c>
      <c r="I305" s="2" t="s">
        <v>19</v>
      </c>
      <c r="J305" s="2" t="s">
        <v>25</v>
      </c>
      <c r="K305" s="2">
        <v>81000000</v>
      </c>
      <c r="L305" s="2">
        <v>484592874</v>
      </c>
      <c r="M305" s="2">
        <v>0</v>
      </c>
      <c r="N305" s="2">
        <v>0</v>
      </c>
    </row>
    <row r="306" spans="1:14" x14ac:dyDescent="0.3">
      <c r="A306" s="2">
        <v>87</v>
      </c>
      <c r="B306" s="2" t="s">
        <v>219</v>
      </c>
      <c r="C306" s="3">
        <v>35207</v>
      </c>
      <c r="D306" s="2">
        <v>110</v>
      </c>
      <c r="E306" s="2" t="s">
        <v>84</v>
      </c>
      <c r="F306" s="2" t="s">
        <v>220</v>
      </c>
      <c r="G306" s="2" t="s">
        <v>133</v>
      </c>
      <c r="H306" s="2" t="s">
        <v>18</v>
      </c>
      <c r="I306" s="2" t="s">
        <v>19</v>
      </c>
      <c r="J306" s="2" t="s">
        <v>20</v>
      </c>
      <c r="K306" s="2">
        <v>80000000</v>
      </c>
      <c r="L306" s="2">
        <v>457696359</v>
      </c>
      <c r="M306" s="2">
        <v>0</v>
      </c>
      <c r="N306" s="2">
        <v>0</v>
      </c>
    </row>
    <row r="307" spans="1:14" x14ac:dyDescent="0.3">
      <c r="A307" s="2">
        <v>88</v>
      </c>
      <c r="B307" s="2" t="s">
        <v>221</v>
      </c>
      <c r="C307" s="3">
        <v>35923</v>
      </c>
      <c r="D307" s="2">
        <v>121</v>
      </c>
      <c r="E307" s="2" t="s">
        <v>49</v>
      </c>
      <c r="F307" s="2" t="s">
        <v>222</v>
      </c>
      <c r="G307" s="2" t="s">
        <v>62</v>
      </c>
      <c r="H307" s="2" t="s">
        <v>18</v>
      </c>
      <c r="I307" s="2" t="s">
        <v>19</v>
      </c>
      <c r="J307" s="2">
        <v>12</v>
      </c>
      <c r="K307" s="2">
        <v>80000000</v>
      </c>
      <c r="L307" s="2">
        <v>349464664</v>
      </c>
      <c r="M307" s="2">
        <v>0</v>
      </c>
      <c r="N307" s="2">
        <v>0</v>
      </c>
    </row>
    <row r="308" spans="1:14" x14ac:dyDescent="0.3">
      <c r="A308" s="2">
        <v>89</v>
      </c>
      <c r="B308" s="2" t="s">
        <v>223</v>
      </c>
      <c r="C308" s="3">
        <v>37449</v>
      </c>
      <c r="D308" s="2">
        <v>117</v>
      </c>
      <c r="E308" s="2" t="s">
        <v>150</v>
      </c>
      <c r="F308" s="2" t="s">
        <v>224</v>
      </c>
      <c r="G308" s="2" t="s">
        <v>225</v>
      </c>
      <c r="H308" s="2" t="s">
        <v>18</v>
      </c>
      <c r="I308" s="2" t="s">
        <v>19</v>
      </c>
      <c r="J308" s="2">
        <v>15</v>
      </c>
      <c r="K308" s="2">
        <v>80000000</v>
      </c>
      <c r="L308" s="2">
        <v>181000000</v>
      </c>
      <c r="M308" s="2">
        <v>6</v>
      </c>
      <c r="N308" s="2">
        <v>1</v>
      </c>
    </row>
    <row r="309" spans="1:14" x14ac:dyDescent="0.3">
      <c r="A309" s="2">
        <v>90</v>
      </c>
      <c r="B309" s="2" t="s">
        <v>226</v>
      </c>
      <c r="C309" s="3">
        <v>37246</v>
      </c>
      <c r="D309" s="2">
        <v>135</v>
      </c>
      <c r="E309" s="2" t="s">
        <v>190</v>
      </c>
      <c r="F309" s="2" t="s">
        <v>118</v>
      </c>
      <c r="G309" s="2" t="s">
        <v>119</v>
      </c>
      <c r="H309" s="2" t="s">
        <v>18</v>
      </c>
      <c r="I309" s="2" t="s">
        <v>19</v>
      </c>
      <c r="J309" s="2">
        <v>12</v>
      </c>
      <c r="K309" s="2">
        <v>58000000</v>
      </c>
      <c r="L309" s="2">
        <v>313542341</v>
      </c>
      <c r="M309" s="2">
        <v>8</v>
      </c>
      <c r="N309" s="2">
        <v>4</v>
      </c>
    </row>
    <row r="310" spans="1:14" x14ac:dyDescent="0.3">
      <c r="A310" s="2">
        <v>91</v>
      </c>
      <c r="B310" s="2" t="s">
        <v>227</v>
      </c>
      <c r="C310" s="3">
        <v>38982</v>
      </c>
      <c r="D310" s="2">
        <v>109</v>
      </c>
      <c r="E310" s="2" t="s">
        <v>49</v>
      </c>
      <c r="F310" s="2" t="s">
        <v>113</v>
      </c>
      <c r="G310" s="2" t="s">
        <v>228</v>
      </c>
      <c r="H310" s="2" t="s">
        <v>18</v>
      </c>
      <c r="I310" s="2" t="s">
        <v>19</v>
      </c>
      <c r="J310" s="2">
        <v>15</v>
      </c>
      <c r="K310" s="2">
        <v>76000000</v>
      </c>
      <c r="L310" s="2">
        <v>69900000</v>
      </c>
      <c r="M310" s="2">
        <v>3</v>
      </c>
      <c r="N310" s="2">
        <v>0</v>
      </c>
    </row>
    <row r="311" spans="1:14" x14ac:dyDescent="0.3">
      <c r="A311" s="2">
        <v>92</v>
      </c>
      <c r="B311" s="2" t="s">
        <v>229</v>
      </c>
      <c r="C311" s="3">
        <v>38709</v>
      </c>
      <c r="D311" s="2">
        <v>163</v>
      </c>
      <c r="E311" s="2" t="s">
        <v>190</v>
      </c>
      <c r="F311" s="2" t="s">
        <v>16</v>
      </c>
      <c r="G311" s="2" t="s">
        <v>17</v>
      </c>
      <c r="H311" s="2" t="s">
        <v>18</v>
      </c>
      <c r="I311" s="2" t="s">
        <v>19</v>
      </c>
      <c r="J311" s="2">
        <v>15</v>
      </c>
      <c r="K311" s="2">
        <v>77000000</v>
      </c>
      <c r="L311" s="2">
        <v>130358911</v>
      </c>
      <c r="M311" s="2">
        <v>5</v>
      </c>
      <c r="N311" s="2">
        <v>0</v>
      </c>
    </row>
    <row r="312" spans="1:14" x14ac:dyDescent="0.3">
      <c r="A312" s="2">
        <v>93</v>
      </c>
      <c r="B312" s="2" t="s">
        <v>230</v>
      </c>
      <c r="C312" s="3">
        <v>35248</v>
      </c>
      <c r="D312" s="2">
        <v>145</v>
      </c>
      <c r="E312" s="2" t="s">
        <v>49</v>
      </c>
      <c r="F312" s="2" t="s">
        <v>123</v>
      </c>
      <c r="G312" s="2" t="s">
        <v>124</v>
      </c>
      <c r="H312" s="2" t="s">
        <v>18</v>
      </c>
      <c r="I312" s="2" t="s">
        <v>19</v>
      </c>
      <c r="J312" s="2">
        <v>12</v>
      </c>
      <c r="K312" s="2">
        <v>75000000</v>
      </c>
      <c r="L312" s="2">
        <v>817400891</v>
      </c>
      <c r="M312" s="2">
        <v>2</v>
      </c>
      <c r="N312" s="2">
        <v>1</v>
      </c>
    </row>
    <row r="313" spans="1:14" x14ac:dyDescent="0.3">
      <c r="A313" s="2">
        <v>94</v>
      </c>
      <c r="B313" s="2" t="s">
        <v>231</v>
      </c>
      <c r="C313" s="3">
        <v>36756</v>
      </c>
      <c r="D313" s="2">
        <v>104</v>
      </c>
      <c r="E313" s="2" t="s">
        <v>22</v>
      </c>
      <c r="F313" s="2" t="s">
        <v>31</v>
      </c>
      <c r="G313" s="2" t="s">
        <v>36</v>
      </c>
      <c r="H313" s="2" t="s">
        <v>18</v>
      </c>
      <c r="I313" s="2" t="s">
        <v>19</v>
      </c>
      <c r="J313" s="2">
        <v>12</v>
      </c>
      <c r="K313" s="2">
        <v>75000000</v>
      </c>
      <c r="L313" s="2">
        <v>296339527</v>
      </c>
      <c r="M313" s="2">
        <v>0</v>
      </c>
      <c r="N313" s="2">
        <v>0</v>
      </c>
    </row>
    <row r="314" spans="1:14" x14ac:dyDescent="0.3">
      <c r="A314" s="2">
        <v>95</v>
      </c>
      <c r="B314" s="2" t="s">
        <v>232</v>
      </c>
      <c r="C314" s="3">
        <v>37743</v>
      </c>
      <c r="D314" s="2">
        <v>134</v>
      </c>
      <c r="E314" s="2" t="s">
        <v>22</v>
      </c>
      <c r="F314" s="2" t="s">
        <v>31</v>
      </c>
      <c r="G314" s="2" t="s">
        <v>36</v>
      </c>
      <c r="H314" s="2" t="s">
        <v>18</v>
      </c>
      <c r="I314" s="2" t="s">
        <v>19</v>
      </c>
      <c r="J314" s="2" t="s">
        <v>25</v>
      </c>
      <c r="K314" s="2">
        <v>110000000</v>
      </c>
      <c r="L314" s="2">
        <v>407711549</v>
      </c>
      <c r="M314" s="2">
        <v>0</v>
      </c>
      <c r="N314" s="2">
        <v>0</v>
      </c>
    </row>
    <row r="315" spans="1:14" x14ac:dyDescent="0.3">
      <c r="A315" s="2">
        <v>96</v>
      </c>
      <c r="B315" s="2" t="s">
        <v>233</v>
      </c>
      <c r="C315" s="3">
        <v>35223</v>
      </c>
      <c r="D315" s="2">
        <v>136</v>
      </c>
      <c r="E315" s="2" t="s">
        <v>84</v>
      </c>
      <c r="F315" s="2" t="s">
        <v>46</v>
      </c>
      <c r="G315" s="2" t="s">
        <v>234</v>
      </c>
      <c r="H315" s="2" t="s">
        <v>18</v>
      </c>
      <c r="I315" s="2" t="s">
        <v>19</v>
      </c>
      <c r="J315" s="2">
        <v>15</v>
      </c>
      <c r="K315" s="2">
        <v>75000000</v>
      </c>
      <c r="L315" s="2">
        <v>335100000</v>
      </c>
      <c r="M315" s="2">
        <v>1</v>
      </c>
      <c r="N315" s="2">
        <v>0</v>
      </c>
    </row>
    <row r="316" spans="1:14" x14ac:dyDescent="0.3">
      <c r="A316" s="2">
        <v>97</v>
      </c>
      <c r="B316" s="2" t="s">
        <v>235</v>
      </c>
      <c r="C316" s="3">
        <v>38401</v>
      </c>
      <c r="D316" s="2">
        <v>121</v>
      </c>
      <c r="E316" s="2" t="s">
        <v>84</v>
      </c>
      <c r="F316" s="2" t="s">
        <v>69</v>
      </c>
      <c r="G316" s="2" t="s">
        <v>70</v>
      </c>
      <c r="H316" s="2" t="s">
        <v>18</v>
      </c>
      <c r="I316" s="2" t="s">
        <v>19</v>
      </c>
      <c r="J316" s="2">
        <v>15</v>
      </c>
      <c r="K316" s="2">
        <v>100000000</v>
      </c>
      <c r="L316" s="2">
        <v>230884728</v>
      </c>
      <c r="M316" s="2">
        <v>0</v>
      </c>
      <c r="N316" s="2">
        <v>0</v>
      </c>
    </row>
    <row r="317" spans="1:14" x14ac:dyDescent="0.3">
      <c r="A317" s="2">
        <v>98</v>
      </c>
      <c r="B317" s="2" t="s">
        <v>236</v>
      </c>
      <c r="C317" s="3">
        <v>36889</v>
      </c>
      <c r="D317" s="2">
        <v>106</v>
      </c>
      <c r="E317" s="2" t="s">
        <v>190</v>
      </c>
      <c r="F317" s="2" t="s">
        <v>237</v>
      </c>
      <c r="G317" s="2" t="s">
        <v>47</v>
      </c>
      <c r="H317" s="2" t="s">
        <v>18</v>
      </c>
      <c r="I317" s="2" t="s">
        <v>19</v>
      </c>
      <c r="J317" s="2">
        <v>12</v>
      </c>
      <c r="K317" s="2">
        <v>75000000</v>
      </c>
      <c r="L317" s="2">
        <v>248118121</v>
      </c>
      <c r="M317" s="2">
        <v>0</v>
      </c>
      <c r="N317" s="2">
        <v>0</v>
      </c>
    </row>
    <row r="318" spans="1:14" x14ac:dyDescent="0.3">
      <c r="A318" s="2">
        <v>99</v>
      </c>
      <c r="B318" s="2" t="s">
        <v>238</v>
      </c>
      <c r="C318" s="3">
        <v>38975</v>
      </c>
      <c r="D318" s="2">
        <v>108</v>
      </c>
      <c r="E318" s="2" t="s">
        <v>38</v>
      </c>
      <c r="F318" s="2" t="s">
        <v>239</v>
      </c>
      <c r="G318" s="2" t="s">
        <v>240</v>
      </c>
      <c r="H318" s="2" t="s">
        <v>18</v>
      </c>
      <c r="I318" s="2" t="s">
        <v>19</v>
      </c>
      <c r="J318" s="2" t="s">
        <v>25</v>
      </c>
      <c r="K318" s="2">
        <v>72500000</v>
      </c>
      <c r="L318" s="2">
        <v>162966177</v>
      </c>
      <c r="M318" s="2">
        <v>0</v>
      </c>
      <c r="N318" s="2">
        <v>0</v>
      </c>
    </row>
    <row r="319" spans="1:14" x14ac:dyDescent="0.3">
      <c r="A319" s="2">
        <v>100</v>
      </c>
      <c r="B319" s="2" t="s">
        <v>241</v>
      </c>
      <c r="C319" s="3">
        <v>39288</v>
      </c>
      <c r="D319" s="2">
        <v>87</v>
      </c>
      <c r="E319" s="2" t="s">
        <v>60</v>
      </c>
      <c r="F319" s="2" t="s">
        <v>242</v>
      </c>
      <c r="G319" s="2" t="s">
        <v>243</v>
      </c>
      <c r="H319" s="2" t="s">
        <v>18</v>
      </c>
      <c r="I319" s="2" t="s">
        <v>19</v>
      </c>
      <c r="J319" s="2" t="s">
        <v>20</v>
      </c>
      <c r="K319" s="2">
        <v>72000000</v>
      </c>
      <c r="L319" s="2">
        <v>527000000</v>
      </c>
      <c r="M319" s="2">
        <v>0</v>
      </c>
      <c r="N319" s="2">
        <v>0</v>
      </c>
    </row>
    <row r="320" spans="1:14" x14ac:dyDescent="0.3">
      <c r="A320" s="2">
        <v>101</v>
      </c>
      <c r="B320" s="2" t="s">
        <v>244</v>
      </c>
      <c r="C320" s="3">
        <v>34843</v>
      </c>
      <c r="D320" s="2">
        <v>177</v>
      </c>
      <c r="E320" s="2" t="s">
        <v>245</v>
      </c>
      <c r="F320" s="2" t="s">
        <v>246</v>
      </c>
      <c r="G320" s="2" t="s">
        <v>247</v>
      </c>
      <c r="H320" s="2" t="s">
        <v>18</v>
      </c>
      <c r="I320" s="2" t="s">
        <v>19</v>
      </c>
      <c r="J320" s="2">
        <v>15</v>
      </c>
      <c r="K320" s="2">
        <v>72000000</v>
      </c>
      <c r="L320" s="2">
        <v>210409945</v>
      </c>
      <c r="M320" s="2">
        <v>10</v>
      </c>
      <c r="N320" s="2">
        <v>5</v>
      </c>
    </row>
    <row r="321" spans="1:14" x14ac:dyDescent="0.3">
      <c r="A321" s="2">
        <v>102</v>
      </c>
      <c r="B321" s="2" t="s">
        <v>248</v>
      </c>
      <c r="C321" s="3">
        <v>38730</v>
      </c>
      <c r="D321" s="2">
        <v>125</v>
      </c>
      <c r="E321" s="2" t="s">
        <v>45</v>
      </c>
      <c r="F321" s="2" t="s">
        <v>224</v>
      </c>
      <c r="G321" s="2" t="s">
        <v>103</v>
      </c>
      <c r="H321" s="2" t="s">
        <v>18</v>
      </c>
      <c r="I321" s="2" t="s">
        <v>19</v>
      </c>
      <c r="J321" s="2">
        <v>15</v>
      </c>
      <c r="K321" s="2">
        <v>72000000</v>
      </c>
      <c r="L321" s="2">
        <v>96889998</v>
      </c>
      <c r="M321" s="2">
        <v>0</v>
      </c>
      <c r="N321" s="2">
        <v>0</v>
      </c>
    </row>
    <row r="322" spans="1:14" x14ac:dyDescent="0.3">
      <c r="A322" s="2">
        <v>103</v>
      </c>
      <c r="B322" s="2" t="s">
        <v>249</v>
      </c>
      <c r="C322" s="3">
        <v>38219</v>
      </c>
      <c r="D322" s="2">
        <v>108</v>
      </c>
      <c r="E322" s="2" t="s">
        <v>84</v>
      </c>
      <c r="F322" s="2" t="s">
        <v>237</v>
      </c>
      <c r="G322" s="2" t="s">
        <v>47</v>
      </c>
      <c r="H322" s="2" t="s">
        <v>18</v>
      </c>
      <c r="I322" s="2" t="s">
        <v>19</v>
      </c>
      <c r="J322" s="2" t="s">
        <v>25</v>
      </c>
      <c r="K322" s="2">
        <v>60000000</v>
      </c>
      <c r="L322" s="2">
        <v>256697520</v>
      </c>
      <c r="M322" s="2">
        <v>1</v>
      </c>
      <c r="N322" s="2">
        <v>0</v>
      </c>
    </row>
    <row r="323" spans="1:14" x14ac:dyDescent="0.3">
      <c r="A323" s="2">
        <v>104</v>
      </c>
      <c r="B323" s="2" t="s">
        <v>250</v>
      </c>
      <c r="C323" s="3">
        <v>39220</v>
      </c>
      <c r="D323" s="2">
        <v>93</v>
      </c>
      <c r="E323" s="2" t="s">
        <v>60</v>
      </c>
      <c r="F323" s="2" t="s">
        <v>251</v>
      </c>
      <c r="G323" s="2" t="s">
        <v>62</v>
      </c>
      <c r="H323" s="2" t="s">
        <v>18</v>
      </c>
      <c r="I323" s="2" t="s">
        <v>19</v>
      </c>
      <c r="J323" s="2" t="s">
        <v>63</v>
      </c>
      <c r="K323" s="2">
        <v>160000000</v>
      </c>
      <c r="L323" s="2">
        <v>799000000</v>
      </c>
      <c r="M323" s="2">
        <v>0</v>
      </c>
      <c r="N323" s="2">
        <v>0</v>
      </c>
    </row>
    <row r="324" spans="1:14" x14ac:dyDescent="0.3">
      <c r="A324" s="2">
        <v>105</v>
      </c>
      <c r="B324" s="2" t="s">
        <v>252</v>
      </c>
      <c r="C324" s="3">
        <v>38126</v>
      </c>
      <c r="D324" s="2">
        <v>93</v>
      </c>
      <c r="E324" s="2" t="s">
        <v>60</v>
      </c>
      <c r="F324" s="2" t="s">
        <v>253</v>
      </c>
      <c r="G324" s="2" t="s">
        <v>62</v>
      </c>
      <c r="H324" s="2" t="s">
        <v>18</v>
      </c>
      <c r="I324" s="2" t="s">
        <v>19</v>
      </c>
      <c r="J324" s="2" t="s">
        <v>63</v>
      </c>
      <c r="K324" s="2">
        <v>150000000</v>
      </c>
      <c r="L324" s="2">
        <v>919838758</v>
      </c>
      <c r="M324" s="2">
        <v>2</v>
      </c>
      <c r="N324" s="2">
        <v>0</v>
      </c>
    </row>
    <row r="325" spans="1:14" x14ac:dyDescent="0.3">
      <c r="A325" s="2">
        <v>106</v>
      </c>
      <c r="B325" s="2" t="s">
        <v>254</v>
      </c>
      <c r="C325" s="3">
        <v>32729</v>
      </c>
      <c r="D325" s="2">
        <v>140</v>
      </c>
      <c r="E325" s="2" t="s">
        <v>49</v>
      </c>
      <c r="F325" s="2" t="s">
        <v>35</v>
      </c>
      <c r="G325" s="2" t="s">
        <v>188</v>
      </c>
      <c r="H325" s="2" t="s">
        <v>18</v>
      </c>
      <c r="I325" s="2" t="s">
        <v>19</v>
      </c>
      <c r="J325" s="2">
        <v>15</v>
      </c>
      <c r="K325" s="2">
        <v>70000000</v>
      </c>
      <c r="L325" s="2">
        <v>90000098</v>
      </c>
      <c r="M325" s="2">
        <v>4</v>
      </c>
      <c r="N325" s="2">
        <v>1</v>
      </c>
    </row>
    <row r="326" spans="1:14" x14ac:dyDescent="0.3">
      <c r="A326" s="2">
        <v>107</v>
      </c>
      <c r="B326" s="2" t="s">
        <v>255</v>
      </c>
      <c r="C326" s="3">
        <v>36140</v>
      </c>
      <c r="D326" s="2">
        <v>103</v>
      </c>
      <c r="E326" s="2" t="s">
        <v>49</v>
      </c>
      <c r="F326" s="2" t="s">
        <v>256</v>
      </c>
      <c r="G326" s="2" t="s">
        <v>257</v>
      </c>
      <c r="H326" s="2" t="s">
        <v>18</v>
      </c>
      <c r="I326" s="2" t="s">
        <v>19</v>
      </c>
      <c r="J326" s="2" t="s">
        <v>20</v>
      </c>
      <c r="K326" s="2">
        <v>58000000</v>
      </c>
      <c r="L326" s="2">
        <v>112587658</v>
      </c>
      <c r="M326" s="2">
        <v>0</v>
      </c>
      <c r="N326" s="2">
        <v>0</v>
      </c>
    </row>
    <row r="327" spans="1:14" x14ac:dyDescent="0.3">
      <c r="A327" s="2">
        <v>108</v>
      </c>
      <c r="B327" s="2" t="s">
        <v>258</v>
      </c>
      <c r="C327" s="3">
        <v>32316</v>
      </c>
      <c r="D327" s="2">
        <v>103</v>
      </c>
      <c r="E327" s="2" t="s">
        <v>38</v>
      </c>
      <c r="F327" s="2" t="s">
        <v>57</v>
      </c>
      <c r="G327" s="2" t="s">
        <v>47</v>
      </c>
      <c r="H327" s="2" t="s">
        <v>18</v>
      </c>
      <c r="I327" s="2" t="s">
        <v>19</v>
      </c>
      <c r="J327" s="2" t="s">
        <v>20</v>
      </c>
      <c r="K327" s="2">
        <v>70000000</v>
      </c>
      <c r="L327" s="2">
        <v>329800000</v>
      </c>
      <c r="M327" s="2">
        <v>6</v>
      </c>
      <c r="N327" s="2">
        <v>4</v>
      </c>
    </row>
    <row r="328" spans="1:14" x14ac:dyDescent="0.3">
      <c r="A328" s="2">
        <v>109</v>
      </c>
      <c r="B328" s="2" t="s">
        <v>259</v>
      </c>
      <c r="C328" s="3">
        <v>36483</v>
      </c>
      <c r="D328" s="2">
        <v>105</v>
      </c>
      <c r="E328" s="2" t="s">
        <v>68</v>
      </c>
      <c r="F328" s="2" t="s">
        <v>81</v>
      </c>
      <c r="G328" s="2" t="s">
        <v>260</v>
      </c>
      <c r="H328" s="2" t="s">
        <v>18</v>
      </c>
      <c r="I328" s="2" t="s">
        <v>19</v>
      </c>
      <c r="J328" s="2">
        <v>15</v>
      </c>
      <c r="K328" s="2">
        <v>100000000</v>
      </c>
      <c r="L328" s="2">
        <v>206071502</v>
      </c>
      <c r="M328" s="2">
        <v>3</v>
      </c>
      <c r="N328" s="2">
        <v>1</v>
      </c>
    </row>
    <row r="329" spans="1:14" x14ac:dyDescent="0.3">
      <c r="A329" s="2">
        <v>110</v>
      </c>
      <c r="B329" s="2" t="s">
        <v>261</v>
      </c>
      <c r="C329" s="3">
        <v>37477</v>
      </c>
      <c r="D329" s="2">
        <v>124</v>
      </c>
      <c r="E329" s="2" t="s">
        <v>22</v>
      </c>
      <c r="F329" s="2" t="s">
        <v>96</v>
      </c>
      <c r="G329" s="2" t="s">
        <v>192</v>
      </c>
      <c r="H329" s="2" t="s">
        <v>18</v>
      </c>
      <c r="I329" s="2" t="s">
        <v>19</v>
      </c>
      <c r="J329" s="2">
        <v>15</v>
      </c>
      <c r="K329" s="2">
        <v>70000000</v>
      </c>
      <c r="L329" s="2">
        <v>277448382</v>
      </c>
      <c r="M329" s="2">
        <v>0</v>
      </c>
      <c r="N329" s="2">
        <v>0</v>
      </c>
    </row>
    <row r="330" spans="1:14" x14ac:dyDescent="0.3">
      <c r="A330" s="2">
        <v>111</v>
      </c>
      <c r="B330" s="2" t="s">
        <v>262</v>
      </c>
      <c r="C330" s="3">
        <v>33058</v>
      </c>
      <c r="D330" s="2">
        <v>124</v>
      </c>
      <c r="E330" s="2" t="s">
        <v>22</v>
      </c>
      <c r="F330" s="2" t="s">
        <v>263</v>
      </c>
      <c r="G330" s="2" t="s">
        <v>89</v>
      </c>
      <c r="H330" s="2" t="s">
        <v>18</v>
      </c>
      <c r="I330" s="2" t="s">
        <v>19</v>
      </c>
      <c r="J330" s="2">
        <v>15</v>
      </c>
      <c r="K330" s="2">
        <v>70000000</v>
      </c>
      <c r="L330" s="2">
        <v>240031094</v>
      </c>
      <c r="M330" s="2">
        <v>0</v>
      </c>
      <c r="N330" s="2">
        <v>0</v>
      </c>
    </row>
    <row r="331" spans="1:14" x14ac:dyDescent="0.3">
      <c r="A331" s="2">
        <v>112</v>
      </c>
      <c r="B331" s="2" t="s">
        <v>264</v>
      </c>
      <c r="C331" s="3">
        <v>35398</v>
      </c>
      <c r="D331" s="2">
        <v>120</v>
      </c>
      <c r="E331" s="2" t="s">
        <v>22</v>
      </c>
      <c r="F331" s="2" t="s">
        <v>263</v>
      </c>
      <c r="G331" s="2" t="s">
        <v>204</v>
      </c>
      <c r="H331" s="2" t="s">
        <v>18</v>
      </c>
      <c r="I331" s="2" t="s">
        <v>19</v>
      </c>
      <c r="J331" s="2">
        <v>18</v>
      </c>
      <c r="K331" s="2">
        <v>65000000</v>
      </c>
      <c r="L331" s="2">
        <v>89456761</v>
      </c>
      <c r="M331" s="2">
        <v>0</v>
      </c>
      <c r="N331" s="2">
        <v>0</v>
      </c>
    </row>
    <row r="332" spans="1:14" x14ac:dyDescent="0.3">
      <c r="A332" s="2">
        <v>113</v>
      </c>
      <c r="B332" s="2" t="s">
        <v>265</v>
      </c>
      <c r="C332" s="3">
        <v>34880</v>
      </c>
      <c r="D332" s="2">
        <v>140</v>
      </c>
      <c r="E332" s="2" t="s">
        <v>245</v>
      </c>
      <c r="F332" s="2" t="s">
        <v>118</v>
      </c>
      <c r="G332" s="2" t="s">
        <v>119</v>
      </c>
      <c r="H332" s="2" t="s">
        <v>18</v>
      </c>
      <c r="I332" s="2" t="s">
        <v>19</v>
      </c>
      <c r="J332" s="2" t="s">
        <v>20</v>
      </c>
      <c r="K332" s="2">
        <v>52000000</v>
      </c>
      <c r="L332" s="2">
        <v>355237933</v>
      </c>
      <c r="M332" s="2">
        <v>9</v>
      </c>
      <c r="N332" s="2">
        <v>2</v>
      </c>
    </row>
    <row r="333" spans="1:14" x14ac:dyDescent="0.3">
      <c r="A333" s="2">
        <v>114</v>
      </c>
      <c r="B333" s="2" t="s">
        <v>266</v>
      </c>
      <c r="C333" s="3">
        <v>36000</v>
      </c>
      <c r="D333" s="2">
        <v>170</v>
      </c>
      <c r="E333" s="2" t="s">
        <v>45</v>
      </c>
      <c r="F333" s="2" t="s">
        <v>16</v>
      </c>
      <c r="G333" s="2" t="s">
        <v>17</v>
      </c>
      <c r="H333" s="2" t="s">
        <v>18</v>
      </c>
      <c r="I333" s="2" t="s">
        <v>19</v>
      </c>
      <c r="J333" s="2">
        <v>15</v>
      </c>
      <c r="K333" s="2">
        <v>70000000</v>
      </c>
      <c r="L333" s="2">
        <v>481840909</v>
      </c>
      <c r="M333" s="2">
        <v>11</v>
      </c>
      <c r="N333" s="2">
        <v>5</v>
      </c>
    </row>
    <row r="334" spans="1:14" x14ac:dyDescent="0.3">
      <c r="A334" s="2">
        <v>115</v>
      </c>
      <c r="B334" s="2" t="s">
        <v>267</v>
      </c>
      <c r="C334" s="3">
        <v>36448</v>
      </c>
      <c r="D334" s="2">
        <v>139</v>
      </c>
      <c r="E334" s="2" t="s">
        <v>84</v>
      </c>
      <c r="F334" s="2" t="s">
        <v>268</v>
      </c>
      <c r="G334" s="2" t="s">
        <v>269</v>
      </c>
      <c r="H334" s="2" t="s">
        <v>18</v>
      </c>
      <c r="I334" s="2" t="s">
        <v>19</v>
      </c>
      <c r="J334" s="2">
        <v>18</v>
      </c>
      <c r="K334" s="2">
        <v>63000000</v>
      </c>
      <c r="L334" s="2">
        <v>100900000</v>
      </c>
      <c r="M334" s="2">
        <v>1</v>
      </c>
      <c r="N334" s="2">
        <v>0</v>
      </c>
    </row>
    <row r="335" spans="1:14" x14ac:dyDescent="0.3">
      <c r="A335" s="2">
        <v>116</v>
      </c>
      <c r="B335" s="2" t="s">
        <v>270</v>
      </c>
      <c r="C335" s="3">
        <v>36322</v>
      </c>
      <c r="D335" s="2">
        <v>136</v>
      </c>
      <c r="E335" s="2" t="s">
        <v>49</v>
      </c>
      <c r="F335" s="2" t="s">
        <v>115</v>
      </c>
      <c r="G335" s="2" t="s">
        <v>70</v>
      </c>
      <c r="H335" s="2" t="s">
        <v>18</v>
      </c>
      <c r="I335" s="2" t="s">
        <v>19</v>
      </c>
      <c r="J335" s="2">
        <v>15</v>
      </c>
      <c r="K335" s="2">
        <v>65000000</v>
      </c>
      <c r="L335" s="2">
        <v>463500000</v>
      </c>
      <c r="M335" s="2">
        <v>4</v>
      </c>
      <c r="N335" s="2">
        <v>4</v>
      </c>
    </row>
    <row r="336" spans="1:14" x14ac:dyDescent="0.3">
      <c r="A336" s="2">
        <v>117</v>
      </c>
      <c r="B336" s="2" t="s">
        <v>271</v>
      </c>
      <c r="C336" s="3">
        <v>33025</v>
      </c>
      <c r="D336" s="2">
        <v>113</v>
      </c>
      <c r="E336" s="2" t="s">
        <v>49</v>
      </c>
      <c r="F336" s="2" t="s">
        <v>272</v>
      </c>
      <c r="G336" s="2" t="s">
        <v>179</v>
      </c>
      <c r="H336" s="2" t="s">
        <v>18</v>
      </c>
      <c r="I336" s="2" t="s">
        <v>19</v>
      </c>
      <c r="J336" s="2">
        <v>18</v>
      </c>
      <c r="K336" s="2">
        <v>60000000</v>
      </c>
      <c r="L336" s="2">
        <v>261300000</v>
      </c>
      <c r="M336" s="2">
        <v>2</v>
      </c>
      <c r="N336" s="2">
        <v>1</v>
      </c>
    </row>
    <row r="337" spans="1:14" x14ac:dyDescent="0.3">
      <c r="A337" s="2">
        <v>118</v>
      </c>
      <c r="B337" s="2" t="s">
        <v>273</v>
      </c>
      <c r="C337" s="3">
        <v>34145</v>
      </c>
      <c r="D337" s="2">
        <v>113</v>
      </c>
      <c r="E337" s="2" t="s">
        <v>22</v>
      </c>
      <c r="F337" s="2" t="s">
        <v>263</v>
      </c>
      <c r="G337" s="2" t="s">
        <v>179</v>
      </c>
      <c r="H337" s="2" t="s">
        <v>18</v>
      </c>
      <c r="I337" s="2" t="s">
        <v>19</v>
      </c>
      <c r="J337" s="2">
        <v>15</v>
      </c>
      <c r="K337" s="2">
        <v>65000000</v>
      </c>
      <c r="L337" s="2">
        <v>255325036</v>
      </c>
      <c r="M337" s="2">
        <v>3</v>
      </c>
      <c r="N337" s="2">
        <v>0</v>
      </c>
    </row>
    <row r="338" spans="1:14" x14ac:dyDescent="0.3">
      <c r="A338" s="2">
        <v>119</v>
      </c>
      <c r="B338" s="2" t="s">
        <v>274</v>
      </c>
      <c r="C338" s="3">
        <v>34549</v>
      </c>
      <c r="D338" s="2">
        <v>141</v>
      </c>
      <c r="E338" s="2" t="s">
        <v>84</v>
      </c>
      <c r="F338" s="2" t="s">
        <v>275</v>
      </c>
      <c r="G338" s="2" t="s">
        <v>257</v>
      </c>
      <c r="H338" s="2" t="s">
        <v>18</v>
      </c>
      <c r="I338" s="2" t="s">
        <v>19</v>
      </c>
      <c r="J338" s="2">
        <v>12</v>
      </c>
      <c r="K338" s="2">
        <v>62000000</v>
      </c>
      <c r="L338" s="2">
        <v>215887717</v>
      </c>
      <c r="M338" s="2">
        <v>2</v>
      </c>
      <c r="N338" s="2">
        <v>0</v>
      </c>
    </row>
    <row r="339" spans="1:14" x14ac:dyDescent="0.3">
      <c r="A339" s="2">
        <v>121</v>
      </c>
      <c r="B339" s="2" t="s">
        <v>277</v>
      </c>
      <c r="C339" s="3">
        <v>38975</v>
      </c>
      <c r="D339" s="2">
        <v>122</v>
      </c>
      <c r="E339" s="2" t="s">
        <v>150</v>
      </c>
      <c r="F339" s="2" t="s">
        <v>220</v>
      </c>
      <c r="G339" s="2" t="s">
        <v>278</v>
      </c>
      <c r="H339" s="2" t="s">
        <v>18</v>
      </c>
      <c r="I339" s="2" t="s">
        <v>19</v>
      </c>
      <c r="J339" s="2">
        <v>15</v>
      </c>
      <c r="K339" s="2">
        <v>50000000</v>
      </c>
      <c r="L339" s="2">
        <v>49332692</v>
      </c>
      <c r="M339" s="2">
        <v>1</v>
      </c>
      <c r="N339" s="2">
        <v>0</v>
      </c>
    </row>
    <row r="340" spans="1:14" x14ac:dyDescent="0.3">
      <c r="A340" s="2">
        <v>122</v>
      </c>
      <c r="B340" s="2" t="s">
        <v>279</v>
      </c>
      <c r="C340" s="3">
        <v>35951</v>
      </c>
      <c r="D340" s="2">
        <v>103</v>
      </c>
      <c r="E340" s="2" t="s">
        <v>190</v>
      </c>
      <c r="F340" s="2" t="s">
        <v>107</v>
      </c>
      <c r="G340" s="2" t="s">
        <v>280</v>
      </c>
      <c r="H340" s="2" t="s">
        <v>18</v>
      </c>
      <c r="I340" s="2" t="s">
        <v>19</v>
      </c>
      <c r="J340" s="2" t="s">
        <v>20</v>
      </c>
      <c r="K340" s="2">
        <v>60000000</v>
      </c>
      <c r="L340" s="2">
        <v>264118201</v>
      </c>
      <c r="M340" s="2">
        <v>3</v>
      </c>
      <c r="N340" s="2">
        <v>0</v>
      </c>
    </row>
    <row r="341" spans="1:14" x14ac:dyDescent="0.3">
      <c r="A341" s="2">
        <v>123</v>
      </c>
      <c r="B341" s="2" t="s">
        <v>281</v>
      </c>
      <c r="C341" s="3">
        <v>35657</v>
      </c>
      <c r="D341" s="2">
        <v>96</v>
      </c>
      <c r="E341" s="2" t="s">
        <v>49</v>
      </c>
      <c r="F341" s="2" t="s">
        <v>282</v>
      </c>
      <c r="G341" s="2" t="s">
        <v>257</v>
      </c>
      <c r="H341" s="2" t="s">
        <v>18</v>
      </c>
      <c r="I341" s="2" t="s">
        <v>19</v>
      </c>
      <c r="J341" s="2">
        <v>18</v>
      </c>
      <c r="K341" s="2">
        <v>60000000</v>
      </c>
      <c r="L341" s="2">
        <v>47073851</v>
      </c>
      <c r="M341" s="2">
        <v>0</v>
      </c>
      <c r="N341" s="2">
        <v>0</v>
      </c>
    </row>
    <row r="342" spans="1:14" x14ac:dyDescent="0.3">
      <c r="A342" s="2">
        <v>124</v>
      </c>
      <c r="B342" s="2" t="s">
        <v>283</v>
      </c>
      <c r="C342" s="3">
        <v>37421</v>
      </c>
      <c r="D342" s="2">
        <v>118</v>
      </c>
      <c r="E342" s="2" t="s">
        <v>84</v>
      </c>
      <c r="F342" s="2" t="s">
        <v>163</v>
      </c>
      <c r="G342" s="2" t="s">
        <v>111</v>
      </c>
      <c r="H342" s="2" t="s">
        <v>18</v>
      </c>
      <c r="I342" s="2" t="s">
        <v>19</v>
      </c>
      <c r="J342" s="2" t="s">
        <v>25</v>
      </c>
      <c r="K342" s="2">
        <v>60000000</v>
      </c>
      <c r="L342" s="2">
        <v>214034224</v>
      </c>
      <c r="M342" s="2">
        <v>0</v>
      </c>
      <c r="N342" s="2">
        <v>0</v>
      </c>
    </row>
    <row r="343" spans="1:14" x14ac:dyDescent="0.3">
      <c r="A343" s="2">
        <v>125</v>
      </c>
      <c r="B343" s="2" t="s">
        <v>284</v>
      </c>
      <c r="C343" s="3">
        <v>38079</v>
      </c>
      <c r="D343" s="2">
        <v>122</v>
      </c>
      <c r="E343" s="2" t="s">
        <v>22</v>
      </c>
      <c r="F343" s="2" t="s">
        <v>285</v>
      </c>
      <c r="G343" s="2" t="s">
        <v>192</v>
      </c>
      <c r="H343" s="2" t="s">
        <v>18</v>
      </c>
      <c r="I343" s="2" t="s">
        <v>19</v>
      </c>
      <c r="J343" s="2" t="s">
        <v>25</v>
      </c>
      <c r="K343" s="2">
        <v>66000000</v>
      </c>
      <c r="L343" s="2">
        <v>99318987</v>
      </c>
      <c r="M343" s="2">
        <v>0</v>
      </c>
      <c r="N343" s="2">
        <v>0</v>
      </c>
    </row>
    <row r="344" spans="1:14" x14ac:dyDescent="0.3">
      <c r="A344" s="2">
        <v>126</v>
      </c>
      <c r="B344" s="2" t="s">
        <v>286</v>
      </c>
      <c r="C344" s="3">
        <v>38065</v>
      </c>
      <c r="D344" s="2">
        <v>101</v>
      </c>
      <c r="E344" s="2" t="s">
        <v>38</v>
      </c>
      <c r="F344" s="2" t="s">
        <v>287</v>
      </c>
      <c r="G344" s="2" t="s">
        <v>288</v>
      </c>
      <c r="H344" s="2" t="s">
        <v>18</v>
      </c>
      <c r="I344" s="2" t="s">
        <v>19</v>
      </c>
      <c r="J344" s="2">
        <v>15</v>
      </c>
      <c r="K344" s="2">
        <v>60000000</v>
      </c>
      <c r="L344" s="2">
        <v>170268750</v>
      </c>
      <c r="M344" s="2">
        <v>0</v>
      </c>
      <c r="N344" s="2">
        <v>0</v>
      </c>
    </row>
    <row r="345" spans="1:14" x14ac:dyDescent="0.3">
      <c r="A345" s="2">
        <v>127</v>
      </c>
      <c r="B345" s="2" t="s">
        <v>289</v>
      </c>
      <c r="C345" s="3">
        <v>37904</v>
      </c>
      <c r="D345" s="2">
        <v>100</v>
      </c>
      <c r="E345" s="2" t="s">
        <v>38</v>
      </c>
      <c r="F345" s="2" t="s">
        <v>290</v>
      </c>
      <c r="G345" s="2" t="s">
        <v>119</v>
      </c>
      <c r="H345" s="2" t="s">
        <v>18</v>
      </c>
      <c r="I345" s="2" t="s">
        <v>19</v>
      </c>
      <c r="J345" s="2" t="s">
        <v>25</v>
      </c>
      <c r="K345" s="2">
        <v>60000000</v>
      </c>
      <c r="L345" s="2">
        <v>120217409</v>
      </c>
      <c r="M345" s="2">
        <v>0</v>
      </c>
      <c r="N345" s="2">
        <v>0</v>
      </c>
    </row>
    <row r="346" spans="1:14" x14ac:dyDescent="0.3">
      <c r="A346" s="2">
        <v>128</v>
      </c>
      <c r="B346" s="2">
        <v>300</v>
      </c>
      <c r="C346" s="3">
        <v>39164</v>
      </c>
      <c r="D346" s="2">
        <v>117</v>
      </c>
      <c r="E346" s="2" t="s">
        <v>15</v>
      </c>
      <c r="F346" s="2" t="s">
        <v>291</v>
      </c>
      <c r="G346" s="2" t="s">
        <v>32</v>
      </c>
      <c r="H346" s="2" t="s">
        <v>18</v>
      </c>
      <c r="I346" s="2" t="s">
        <v>19</v>
      </c>
      <c r="J346" s="2">
        <v>15</v>
      </c>
      <c r="K346" s="2">
        <v>65000000</v>
      </c>
      <c r="L346" s="2">
        <v>456000000</v>
      </c>
      <c r="M346" s="2">
        <v>0</v>
      </c>
      <c r="N346" s="2">
        <v>0</v>
      </c>
    </row>
    <row r="347" spans="1:14" x14ac:dyDescent="0.3">
      <c r="A347" s="2">
        <v>129</v>
      </c>
      <c r="B347" s="2" t="s">
        <v>292</v>
      </c>
      <c r="C347" s="3">
        <v>37624</v>
      </c>
      <c r="D347" s="2">
        <v>116</v>
      </c>
      <c r="E347" s="2" t="s">
        <v>49</v>
      </c>
      <c r="F347" s="2" t="s">
        <v>293</v>
      </c>
      <c r="G347" s="2" t="s">
        <v>257</v>
      </c>
      <c r="H347" s="2" t="s">
        <v>18</v>
      </c>
      <c r="I347" s="2" t="s">
        <v>19</v>
      </c>
      <c r="J347" s="2" t="s">
        <v>25</v>
      </c>
      <c r="K347" s="2">
        <v>60000000</v>
      </c>
      <c r="L347" s="2">
        <v>67312826</v>
      </c>
      <c r="M347" s="2">
        <v>0</v>
      </c>
      <c r="N347" s="2">
        <v>0</v>
      </c>
    </row>
    <row r="348" spans="1:14" x14ac:dyDescent="0.3">
      <c r="A348" s="2">
        <v>130</v>
      </c>
      <c r="B348" s="2" t="s">
        <v>294</v>
      </c>
      <c r="C348" s="3">
        <v>28834</v>
      </c>
      <c r="D348" s="2">
        <v>143</v>
      </c>
      <c r="E348" s="2" t="s">
        <v>15</v>
      </c>
      <c r="F348" s="2" t="s">
        <v>88</v>
      </c>
      <c r="G348" s="2" t="s">
        <v>295</v>
      </c>
      <c r="H348" s="2" t="s">
        <v>18</v>
      </c>
      <c r="I348" s="2" t="s">
        <v>19</v>
      </c>
      <c r="J348" s="2" t="s">
        <v>20</v>
      </c>
      <c r="K348" s="2">
        <v>55000000</v>
      </c>
      <c r="L348" s="2">
        <v>300218018</v>
      </c>
      <c r="M348" s="2">
        <v>3</v>
      </c>
      <c r="N348" s="2">
        <v>0</v>
      </c>
    </row>
    <row r="349" spans="1:14" x14ac:dyDescent="0.3">
      <c r="A349" s="2">
        <v>131</v>
      </c>
      <c r="B349" s="2" t="s">
        <v>296</v>
      </c>
      <c r="C349" s="3">
        <v>34831</v>
      </c>
      <c r="D349" s="2">
        <v>116</v>
      </c>
      <c r="E349" s="2" t="s">
        <v>84</v>
      </c>
      <c r="F349" s="2" t="s">
        <v>297</v>
      </c>
      <c r="G349" s="2" t="s">
        <v>234</v>
      </c>
      <c r="H349" s="2" t="s">
        <v>18</v>
      </c>
      <c r="I349" s="2" t="s">
        <v>19</v>
      </c>
      <c r="J349" s="2">
        <v>15</v>
      </c>
      <c r="K349" s="2">
        <v>53000000</v>
      </c>
      <c r="L349" s="2">
        <v>157387195</v>
      </c>
      <c r="M349" s="2">
        <v>3</v>
      </c>
      <c r="N349" s="2">
        <v>0</v>
      </c>
    </row>
    <row r="350" spans="1:14" x14ac:dyDescent="0.3">
      <c r="A350" s="2">
        <v>132</v>
      </c>
      <c r="B350" s="2" t="s">
        <v>298</v>
      </c>
      <c r="C350" s="3">
        <v>39043</v>
      </c>
      <c r="D350" s="2">
        <v>126</v>
      </c>
      <c r="E350" s="2" t="s">
        <v>84</v>
      </c>
      <c r="F350" s="2" t="s">
        <v>297</v>
      </c>
      <c r="G350" s="2" t="s">
        <v>47</v>
      </c>
      <c r="H350" s="2" t="s">
        <v>18</v>
      </c>
      <c r="I350" s="2" t="s">
        <v>19</v>
      </c>
      <c r="J350" s="2" t="s">
        <v>25</v>
      </c>
      <c r="K350" s="2">
        <v>75000000</v>
      </c>
      <c r="L350" s="2">
        <v>180557550</v>
      </c>
      <c r="M350" s="2">
        <v>0</v>
      </c>
      <c r="N350" s="2">
        <v>0</v>
      </c>
    </row>
    <row r="351" spans="1:14" x14ac:dyDescent="0.3">
      <c r="A351" s="2">
        <v>133</v>
      </c>
      <c r="B351" s="2" t="s">
        <v>299</v>
      </c>
      <c r="C351" s="3">
        <v>38098</v>
      </c>
      <c r="D351" s="2">
        <v>146</v>
      </c>
      <c r="E351" s="2" t="s">
        <v>84</v>
      </c>
      <c r="F351" s="2" t="s">
        <v>297</v>
      </c>
      <c r="G351" s="2" t="s">
        <v>164</v>
      </c>
      <c r="H351" s="2" t="s">
        <v>18</v>
      </c>
      <c r="I351" s="2" t="s">
        <v>19</v>
      </c>
      <c r="J351" s="2">
        <v>18</v>
      </c>
      <c r="K351" s="2">
        <v>70000000</v>
      </c>
      <c r="L351" s="2">
        <v>130293714</v>
      </c>
      <c r="M351" s="2">
        <v>0</v>
      </c>
      <c r="N351" s="2">
        <v>0</v>
      </c>
    </row>
    <row r="352" spans="1:14" x14ac:dyDescent="0.3">
      <c r="A352" s="2">
        <v>134</v>
      </c>
      <c r="B352" s="2" t="s">
        <v>300</v>
      </c>
      <c r="C352" s="3">
        <v>36155</v>
      </c>
      <c r="D352" s="2">
        <v>132</v>
      </c>
      <c r="E352" s="2" t="s">
        <v>84</v>
      </c>
      <c r="F352" s="2" t="s">
        <v>297</v>
      </c>
      <c r="G352" s="2" t="s">
        <v>47</v>
      </c>
      <c r="H352" s="2" t="s">
        <v>18</v>
      </c>
      <c r="I352" s="2" t="s">
        <v>19</v>
      </c>
      <c r="J352" s="2">
        <v>15</v>
      </c>
      <c r="K352" s="2">
        <v>90000000</v>
      </c>
      <c r="L352" s="2">
        <v>250649836</v>
      </c>
      <c r="M352" s="2">
        <v>0</v>
      </c>
      <c r="N352" s="2">
        <v>0</v>
      </c>
    </row>
    <row r="353" spans="1:14" x14ac:dyDescent="0.3">
      <c r="A353" s="2">
        <v>135</v>
      </c>
      <c r="B353" s="2" t="s">
        <v>301</v>
      </c>
      <c r="C353" s="3">
        <v>37911</v>
      </c>
      <c r="D353" s="2">
        <v>111</v>
      </c>
      <c r="E353" s="2" t="s">
        <v>200</v>
      </c>
      <c r="F353" s="2" t="s">
        <v>302</v>
      </c>
      <c r="G353" s="2" t="s">
        <v>303</v>
      </c>
      <c r="H353" s="2" t="s">
        <v>18</v>
      </c>
      <c r="I353" s="2" t="s">
        <v>19</v>
      </c>
      <c r="J353" s="2">
        <v>18</v>
      </c>
      <c r="K353" s="2">
        <v>30000000</v>
      </c>
      <c r="L353" s="2">
        <v>180900000</v>
      </c>
      <c r="M353" s="2">
        <v>0</v>
      </c>
      <c r="N353" s="2">
        <v>0</v>
      </c>
    </row>
    <row r="354" spans="1:14" x14ac:dyDescent="0.3">
      <c r="A354" s="2">
        <v>136</v>
      </c>
      <c r="B354" s="2" t="s">
        <v>304</v>
      </c>
      <c r="C354" s="3">
        <v>33746</v>
      </c>
      <c r="D354" s="2">
        <v>115</v>
      </c>
      <c r="E354" s="2" t="s">
        <v>49</v>
      </c>
      <c r="F354" s="2" t="s">
        <v>268</v>
      </c>
      <c r="G354" s="2" t="s">
        <v>305</v>
      </c>
      <c r="H354" s="2" t="s">
        <v>18</v>
      </c>
      <c r="I354" s="2" t="s">
        <v>19</v>
      </c>
      <c r="J354" s="2">
        <v>18</v>
      </c>
      <c r="K354" s="2">
        <v>55000000</v>
      </c>
      <c r="L354" s="2">
        <v>159800000</v>
      </c>
      <c r="M354" s="2">
        <v>1</v>
      </c>
      <c r="N354" s="2">
        <v>0</v>
      </c>
    </row>
    <row r="355" spans="1:14" x14ac:dyDescent="0.3">
      <c r="A355" s="2">
        <v>137</v>
      </c>
      <c r="B355" s="2" t="s">
        <v>306</v>
      </c>
      <c r="C355" s="3">
        <v>36672</v>
      </c>
      <c r="D355" s="2">
        <v>110</v>
      </c>
      <c r="E355" s="2" t="s">
        <v>200</v>
      </c>
      <c r="F355" s="2" t="s">
        <v>307</v>
      </c>
      <c r="G355" s="2" t="s">
        <v>47</v>
      </c>
      <c r="H355" s="2" t="s">
        <v>18</v>
      </c>
      <c r="I355" s="2" t="s">
        <v>19</v>
      </c>
      <c r="J355" s="2">
        <v>12</v>
      </c>
      <c r="K355" s="2">
        <v>55000000</v>
      </c>
      <c r="L355" s="2">
        <v>99274467</v>
      </c>
      <c r="M355" s="2">
        <v>0</v>
      </c>
      <c r="N355" s="2">
        <v>0</v>
      </c>
    </row>
    <row r="356" spans="1:14" x14ac:dyDescent="0.3">
      <c r="A356" s="2">
        <v>138</v>
      </c>
      <c r="B356" s="2" t="s">
        <v>308</v>
      </c>
      <c r="C356" s="3">
        <v>38100</v>
      </c>
      <c r="D356" s="2">
        <v>136</v>
      </c>
      <c r="E356" s="2" t="s">
        <v>200</v>
      </c>
      <c r="F356" s="2" t="s">
        <v>302</v>
      </c>
      <c r="G356" s="2" t="s">
        <v>303</v>
      </c>
      <c r="H356" s="2" t="s">
        <v>18</v>
      </c>
      <c r="I356" s="2" t="s">
        <v>19</v>
      </c>
      <c r="J356" s="2">
        <v>18</v>
      </c>
      <c r="K356" s="2">
        <v>30000000</v>
      </c>
      <c r="L356" s="2">
        <v>152159461</v>
      </c>
      <c r="M356" s="2">
        <v>0</v>
      </c>
      <c r="N356" s="2">
        <v>0</v>
      </c>
    </row>
    <row r="357" spans="1:14" x14ac:dyDescent="0.3">
      <c r="A357" s="2">
        <v>139</v>
      </c>
      <c r="B357" s="2" t="s">
        <v>309</v>
      </c>
      <c r="C357" s="3">
        <v>37337</v>
      </c>
      <c r="D357" s="2">
        <v>116</v>
      </c>
      <c r="E357" s="2" t="s">
        <v>22</v>
      </c>
      <c r="F357" s="2" t="s">
        <v>285</v>
      </c>
      <c r="G357" s="2" t="s">
        <v>204</v>
      </c>
      <c r="H357" s="2" t="s">
        <v>18</v>
      </c>
      <c r="I357" s="2" t="s">
        <v>19</v>
      </c>
      <c r="J357" s="2">
        <v>18</v>
      </c>
      <c r="K357" s="2">
        <v>50000000</v>
      </c>
      <c r="L357" s="2">
        <v>155010032</v>
      </c>
      <c r="M357" s="2">
        <v>0</v>
      </c>
      <c r="N357" s="2">
        <v>0</v>
      </c>
    </row>
    <row r="358" spans="1:14" x14ac:dyDescent="0.3">
      <c r="A358" s="2">
        <v>140</v>
      </c>
      <c r="B358" s="2" t="s">
        <v>310</v>
      </c>
      <c r="C358" s="3">
        <v>39010</v>
      </c>
      <c r="D358" s="2">
        <v>132</v>
      </c>
      <c r="E358" s="2" t="s">
        <v>45</v>
      </c>
      <c r="F358" s="2" t="s">
        <v>311</v>
      </c>
      <c r="G358" s="2" t="s">
        <v>257</v>
      </c>
      <c r="H358" s="2" t="s">
        <v>18</v>
      </c>
      <c r="I358" s="2" t="s">
        <v>19</v>
      </c>
      <c r="J358" s="2">
        <v>15</v>
      </c>
      <c r="K358" s="2">
        <v>55000000</v>
      </c>
      <c r="L358" s="2">
        <v>65900249</v>
      </c>
      <c r="M358" s="2">
        <v>2</v>
      </c>
      <c r="N358" s="2">
        <v>0</v>
      </c>
    </row>
    <row r="359" spans="1:14" x14ac:dyDescent="0.3">
      <c r="A359" s="2">
        <v>141</v>
      </c>
      <c r="B359" s="2" t="s">
        <v>312</v>
      </c>
      <c r="C359" s="3">
        <v>35118</v>
      </c>
      <c r="D359" s="2">
        <v>178</v>
      </c>
      <c r="E359" s="2" t="s">
        <v>150</v>
      </c>
      <c r="F359" s="2" t="s">
        <v>167</v>
      </c>
      <c r="G359" s="2" t="s">
        <v>103</v>
      </c>
      <c r="H359" s="2" t="s">
        <v>18</v>
      </c>
      <c r="I359" s="2" t="s">
        <v>19</v>
      </c>
      <c r="J359" s="2">
        <v>18</v>
      </c>
      <c r="K359" s="2">
        <v>50000000</v>
      </c>
      <c r="L359" s="2">
        <v>116112375</v>
      </c>
      <c r="M359" s="2">
        <v>1</v>
      </c>
      <c r="N359" s="2">
        <v>0</v>
      </c>
    </row>
    <row r="360" spans="1:14" x14ac:dyDescent="0.3">
      <c r="A360" s="2">
        <v>142</v>
      </c>
      <c r="B360" s="2" t="s">
        <v>313</v>
      </c>
      <c r="C360" s="3">
        <v>33403</v>
      </c>
      <c r="D360" s="2">
        <v>155</v>
      </c>
      <c r="E360" s="2" t="s">
        <v>15</v>
      </c>
      <c r="F360" s="2" t="s">
        <v>42</v>
      </c>
      <c r="G360" s="2" t="s">
        <v>314</v>
      </c>
      <c r="H360" s="2" t="s">
        <v>18</v>
      </c>
      <c r="I360" s="2" t="s">
        <v>19</v>
      </c>
      <c r="J360" s="2" t="s">
        <v>20</v>
      </c>
      <c r="K360" s="2">
        <v>48000000</v>
      </c>
      <c r="L360" s="2">
        <v>390493908</v>
      </c>
      <c r="M360" s="2">
        <v>1</v>
      </c>
      <c r="N360" s="2">
        <v>0</v>
      </c>
    </row>
    <row r="361" spans="1:14" x14ac:dyDescent="0.3">
      <c r="A361" s="2">
        <v>143</v>
      </c>
      <c r="B361" s="2" t="s">
        <v>315</v>
      </c>
      <c r="C361" s="3">
        <v>37029</v>
      </c>
      <c r="D361" s="2">
        <v>90</v>
      </c>
      <c r="E361" s="2" t="s">
        <v>60</v>
      </c>
      <c r="F361" s="2" t="s">
        <v>253</v>
      </c>
      <c r="G361" s="2" t="s">
        <v>316</v>
      </c>
      <c r="H361" s="2" t="s">
        <v>18</v>
      </c>
      <c r="I361" s="2" t="s">
        <v>19</v>
      </c>
      <c r="J361" s="2" t="s">
        <v>63</v>
      </c>
      <c r="K361" s="2">
        <v>60000000</v>
      </c>
      <c r="L361" s="2">
        <v>484409218</v>
      </c>
      <c r="M361" s="2">
        <v>2</v>
      </c>
      <c r="N361" s="2">
        <v>1</v>
      </c>
    </row>
    <row r="362" spans="1:14" x14ac:dyDescent="0.3">
      <c r="A362" s="2">
        <v>144</v>
      </c>
      <c r="B362" s="2" t="s">
        <v>317</v>
      </c>
      <c r="C362" s="3">
        <v>37659</v>
      </c>
      <c r="D362" s="2">
        <v>114</v>
      </c>
      <c r="E362" s="2" t="s">
        <v>200</v>
      </c>
      <c r="F362" s="2" t="s">
        <v>318</v>
      </c>
      <c r="G362" s="2" t="s">
        <v>47</v>
      </c>
      <c r="H362" s="2" t="s">
        <v>18</v>
      </c>
      <c r="I362" s="2" t="s">
        <v>19</v>
      </c>
      <c r="J362" s="2" t="s">
        <v>25</v>
      </c>
      <c r="K362" s="2">
        <v>50000000</v>
      </c>
      <c r="L362" s="2">
        <v>88323487</v>
      </c>
      <c r="M362" s="2">
        <v>0</v>
      </c>
      <c r="N362" s="2">
        <v>0</v>
      </c>
    </row>
    <row r="363" spans="1:14" x14ac:dyDescent="0.3">
      <c r="A363" s="2">
        <v>145</v>
      </c>
      <c r="B363" s="2" t="s">
        <v>319</v>
      </c>
      <c r="C363" s="3">
        <v>32652</v>
      </c>
      <c r="D363" s="2">
        <v>127</v>
      </c>
      <c r="E363" s="2" t="s">
        <v>15</v>
      </c>
      <c r="F363" s="2" t="s">
        <v>16</v>
      </c>
      <c r="G363" s="2" t="s">
        <v>140</v>
      </c>
      <c r="H363" s="2" t="s">
        <v>18</v>
      </c>
      <c r="I363" s="2" t="s">
        <v>19</v>
      </c>
      <c r="J363" s="2" t="s">
        <v>20</v>
      </c>
      <c r="K363" s="2">
        <v>48000000</v>
      </c>
      <c r="L363" s="2">
        <v>474200000</v>
      </c>
      <c r="M363" s="2">
        <v>3</v>
      </c>
      <c r="N363" s="2">
        <v>1</v>
      </c>
    </row>
    <row r="364" spans="1:14" x14ac:dyDescent="0.3">
      <c r="A364" s="2">
        <v>146</v>
      </c>
      <c r="B364" s="2" t="s">
        <v>320</v>
      </c>
      <c r="C364" s="3">
        <v>35391</v>
      </c>
      <c r="D364" s="2">
        <v>111</v>
      </c>
      <c r="E364" s="2" t="s">
        <v>49</v>
      </c>
      <c r="F364" s="2" t="s">
        <v>256</v>
      </c>
      <c r="G364" s="2" t="s">
        <v>257</v>
      </c>
      <c r="H364" s="2" t="s">
        <v>18</v>
      </c>
      <c r="I364" s="2" t="s">
        <v>19</v>
      </c>
      <c r="J364" s="2">
        <v>12</v>
      </c>
      <c r="K364" s="2">
        <v>45000000</v>
      </c>
      <c r="L364" s="2">
        <v>146027888</v>
      </c>
      <c r="M364" s="2">
        <v>1</v>
      </c>
      <c r="N364" s="2">
        <v>0</v>
      </c>
    </row>
    <row r="365" spans="1:14" x14ac:dyDescent="0.3">
      <c r="A365" s="2">
        <v>147</v>
      </c>
      <c r="B365" s="2" t="s">
        <v>321</v>
      </c>
      <c r="C365" s="3">
        <v>36028</v>
      </c>
      <c r="D365" s="2">
        <v>120</v>
      </c>
      <c r="E365" s="2" t="s">
        <v>52</v>
      </c>
      <c r="F365" s="2" t="s">
        <v>322</v>
      </c>
      <c r="G365" s="2" t="s">
        <v>204</v>
      </c>
      <c r="H365" s="2" t="s">
        <v>18</v>
      </c>
      <c r="I365" s="2" t="s">
        <v>19</v>
      </c>
      <c r="J365" s="2">
        <v>18</v>
      </c>
      <c r="K365" s="2">
        <v>40000000</v>
      </c>
      <c r="L365" s="2">
        <v>131183530</v>
      </c>
      <c r="M365" s="2">
        <v>0</v>
      </c>
      <c r="N365" s="2">
        <v>0</v>
      </c>
    </row>
    <row r="366" spans="1:14" x14ac:dyDescent="0.3">
      <c r="A366" s="2">
        <v>148</v>
      </c>
      <c r="B366" s="2" t="s">
        <v>323</v>
      </c>
      <c r="C366" s="3">
        <v>33760</v>
      </c>
      <c r="D366" s="2">
        <v>117</v>
      </c>
      <c r="E366" s="2" t="s">
        <v>84</v>
      </c>
      <c r="F366" s="2" t="s">
        <v>275</v>
      </c>
      <c r="G366" s="2" t="s">
        <v>257</v>
      </c>
      <c r="H366" s="2" t="s">
        <v>18</v>
      </c>
      <c r="I366" s="2" t="s">
        <v>19</v>
      </c>
      <c r="J366" s="2">
        <v>15</v>
      </c>
      <c r="K366" s="2">
        <v>45000000</v>
      </c>
      <c r="L366" s="2">
        <v>178051587</v>
      </c>
      <c r="M366" s="2">
        <v>0</v>
      </c>
      <c r="N366" s="2">
        <v>0</v>
      </c>
    </row>
    <row r="367" spans="1:14" x14ac:dyDescent="0.3">
      <c r="A367" s="2">
        <v>149</v>
      </c>
      <c r="B367" s="2" t="s">
        <v>324</v>
      </c>
      <c r="C367" s="3">
        <v>34187</v>
      </c>
      <c r="D367" s="2">
        <v>130</v>
      </c>
      <c r="E367" s="2" t="s">
        <v>84</v>
      </c>
      <c r="F367" s="2" t="s">
        <v>325</v>
      </c>
      <c r="G367" s="2" t="s">
        <v>130</v>
      </c>
      <c r="H367" s="2" t="s">
        <v>18</v>
      </c>
      <c r="I367" s="2" t="s">
        <v>19</v>
      </c>
      <c r="J367" s="2">
        <v>12</v>
      </c>
      <c r="K367" s="2">
        <v>44000000</v>
      </c>
      <c r="L367" s="2">
        <v>368875760</v>
      </c>
      <c r="M367" s="2">
        <v>7</v>
      </c>
      <c r="N367" s="2">
        <v>1</v>
      </c>
    </row>
    <row r="368" spans="1:14" x14ac:dyDescent="0.3">
      <c r="A368" s="2">
        <v>150</v>
      </c>
      <c r="B368" s="2" t="s">
        <v>326</v>
      </c>
      <c r="C368" s="3">
        <v>39010</v>
      </c>
      <c r="D368" s="2">
        <v>130</v>
      </c>
      <c r="E368" s="2" t="s">
        <v>117</v>
      </c>
      <c r="F368" s="2" t="s">
        <v>79</v>
      </c>
      <c r="G368" s="2" t="s">
        <v>47</v>
      </c>
      <c r="H368" s="2" t="s">
        <v>18</v>
      </c>
      <c r="I368" s="2" t="s">
        <v>19</v>
      </c>
      <c r="J368" s="2" t="s">
        <v>25</v>
      </c>
      <c r="K368" s="2">
        <v>40000000</v>
      </c>
      <c r="L368" s="2">
        <v>109700000</v>
      </c>
      <c r="M368" s="2">
        <v>2</v>
      </c>
      <c r="N368" s="2">
        <v>0</v>
      </c>
    </row>
    <row r="369" spans="1:14" x14ac:dyDescent="0.3">
      <c r="A369" s="2">
        <v>151</v>
      </c>
      <c r="B369" s="2" t="s">
        <v>327</v>
      </c>
      <c r="C369" s="3">
        <v>33872</v>
      </c>
      <c r="D369" s="2">
        <v>112</v>
      </c>
      <c r="E369" s="2" t="s">
        <v>15</v>
      </c>
      <c r="F369" s="2" t="s">
        <v>102</v>
      </c>
      <c r="G369" s="2" t="s">
        <v>314</v>
      </c>
      <c r="H369" s="2" t="s">
        <v>18</v>
      </c>
      <c r="I369" s="2" t="s">
        <v>19</v>
      </c>
      <c r="J369" s="2">
        <v>12</v>
      </c>
      <c r="K369" s="2">
        <v>40000000</v>
      </c>
      <c r="L369" s="2">
        <v>75505856</v>
      </c>
      <c r="M369" s="2">
        <v>1</v>
      </c>
      <c r="N369" s="2">
        <v>1</v>
      </c>
    </row>
    <row r="370" spans="1:14" x14ac:dyDescent="0.3">
      <c r="A370" s="2">
        <v>152</v>
      </c>
      <c r="B370" s="2" t="s">
        <v>328</v>
      </c>
      <c r="C370" s="3">
        <v>39059</v>
      </c>
      <c r="D370" s="2">
        <v>138</v>
      </c>
      <c r="E370" s="2" t="s">
        <v>15</v>
      </c>
      <c r="F370" s="2" t="s">
        <v>246</v>
      </c>
      <c r="G370" s="2" t="s">
        <v>47</v>
      </c>
      <c r="H370" s="2" t="s">
        <v>18</v>
      </c>
      <c r="I370" s="2" t="s">
        <v>329</v>
      </c>
      <c r="J370" s="2">
        <v>18</v>
      </c>
      <c r="K370" s="2">
        <v>40000000</v>
      </c>
      <c r="L370" s="2">
        <v>120600000</v>
      </c>
      <c r="M370" s="2">
        <v>3</v>
      </c>
      <c r="N370" s="2">
        <v>0</v>
      </c>
    </row>
    <row r="371" spans="1:14" x14ac:dyDescent="0.3">
      <c r="A371" s="2">
        <v>153</v>
      </c>
      <c r="B371" s="2" t="s">
        <v>330</v>
      </c>
      <c r="C371" s="3">
        <v>38548</v>
      </c>
      <c r="D371" s="2">
        <v>119</v>
      </c>
      <c r="E371" s="2" t="s">
        <v>38</v>
      </c>
      <c r="F371" s="2" t="s">
        <v>318</v>
      </c>
      <c r="G371" s="2" t="s">
        <v>331</v>
      </c>
      <c r="H371" s="2" t="s">
        <v>18</v>
      </c>
      <c r="I371" s="2" t="s">
        <v>19</v>
      </c>
      <c r="J371" s="2">
        <v>15</v>
      </c>
      <c r="K371" s="2">
        <v>40000000</v>
      </c>
      <c r="L371" s="2">
        <v>285176741</v>
      </c>
      <c r="M371" s="2">
        <v>0</v>
      </c>
      <c r="N371" s="2">
        <v>0</v>
      </c>
    </row>
    <row r="372" spans="1:14" x14ac:dyDescent="0.3">
      <c r="A372" s="2">
        <v>154</v>
      </c>
      <c r="B372" s="2" t="s">
        <v>332</v>
      </c>
      <c r="C372" s="3">
        <v>33018</v>
      </c>
      <c r="D372" s="2">
        <v>118</v>
      </c>
      <c r="E372" s="2" t="s">
        <v>49</v>
      </c>
      <c r="F372" s="2" t="s">
        <v>57</v>
      </c>
      <c r="G372" s="2" t="s">
        <v>17</v>
      </c>
      <c r="H372" s="2" t="s">
        <v>18</v>
      </c>
      <c r="I372" s="2" t="s">
        <v>19</v>
      </c>
      <c r="J372" s="2" t="s">
        <v>20</v>
      </c>
      <c r="K372" s="2">
        <v>40000000</v>
      </c>
      <c r="L372" s="2">
        <v>244500000</v>
      </c>
      <c r="M372" s="2">
        <v>0</v>
      </c>
      <c r="N372" s="2">
        <v>0</v>
      </c>
    </row>
    <row r="373" spans="1:14" x14ac:dyDescent="0.3">
      <c r="A373" s="2">
        <v>155</v>
      </c>
      <c r="B373" s="2" t="s">
        <v>333</v>
      </c>
      <c r="C373" s="3">
        <v>32834</v>
      </c>
      <c r="D373" s="2">
        <v>108</v>
      </c>
      <c r="E373" s="2" t="s">
        <v>49</v>
      </c>
      <c r="F373" s="2" t="s">
        <v>57</v>
      </c>
      <c r="G373" s="2" t="s">
        <v>17</v>
      </c>
      <c r="H373" s="2" t="s">
        <v>18</v>
      </c>
      <c r="I373" s="2" t="s">
        <v>19</v>
      </c>
      <c r="J373" s="2" t="s">
        <v>20</v>
      </c>
      <c r="K373" s="2">
        <v>40000000</v>
      </c>
      <c r="L373" s="2">
        <v>331900000</v>
      </c>
      <c r="M373" s="2">
        <v>1</v>
      </c>
      <c r="N373" s="2">
        <v>0</v>
      </c>
    </row>
    <row r="374" spans="1:14" x14ac:dyDescent="0.3">
      <c r="A374" s="2">
        <v>158</v>
      </c>
      <c r="B374" s="2" t="s">
        <v>337</v>
      </c>
      <c r="C374" s="3">
        <v>38443</v>
      </c>
      <c r="D374" s="2">
        <v>124</v>
      </c>
      <c r="E374" s="2" t="s">
        <v>150</v>
      </c>
      <c r="F374" s="2" t="s">
        <v>338</v>
      </c>
      <c r="G374" s="2" t="s">
        <v>339</v>
      </c>
      <c r="H374" s="2" t="s">
        <v>18</v>
      </c>
      <c r="I374" s="2" t="s">
        <v>19</v>
      </c>
      <c r="J374" s="2">
        <v>18</v>
      </c>
      <c r="K374" s="2">
        <v>40000000</v>
      </c>
      <c r="L374" s="2">
        <v>158800000</v>
      </c>
      <c r="M374" s="2">
        <v>0</v>
      </c>
      <c r="N374" s="2">
        <v>0</v>
      </c>
    </row>
    <row r="375" spans="1:14" x14ac:dyDescent="0.3">
      <c r="A375" s="2">
        <v>159</v>
      </c>
      <c r="B375" s="2" t="s">
        <v>340</v>
      </c>
      <c r="C375" s="3">
        <v>38632</v>
      </c>
      <c r="D375" s="2">
        <v>119</v>
      </c>
      <c r="E375" s="2" t="s">
        <v>49</v>
      </c>
      <c r="F375" s="2" t="s">
        <v>341</v>
      </c>
      <c r="G375" s="2" t="s">
        <v>103</v>
      </c>
      <c r="H375" s="2" t="s">
        <v>18</v>
      </c>
      <c r="I375" s="2" t="s">
        <v>19</v>
      </c>
      <c r="J375" s="2">
        <v>15</v>
      </c>
      <c r="K375" s="2">
        <v>39000000</v>
      </c>
      <c r="L375" s="2">
        <v>38869464</v>
      </c>
      <c r="M375" s="2">
        <v>0</v>
      </c>
      <c r="N375" s="2">
        <v>0</v>
      </c>
    </row>
    <row r="376" spans="1:14" x14ac:dyDescent="0.3">
      <c r="A376" s="2">
        <v>160</v>
      </c>
      <c r="B376" s="2" t="s">
        <v>342</v>
      </c>
      <c r="C376" s="3">
        <v>34656</v>
      </c>
      <c r="D376" s="2">
        <v>118</v>
      </c>
      <c r="E376" s="2" t="s">
        <v>49</v>
      </c>
      <c r="F376" s="2" t="s">
        <v>343</v>
      </c>
      <c r="G376" s="2" t="s">
        <v>257</v>
      </c>
      <c r="H376" s="2" t="s">
        <v>18</v>
      </c>
      <c r="I376" s="2" t="s">
        <v>19</v>
      </c>
      <c r="J376" s="2" t="s">
        <v>20</v>
      </c>
      <c r="K376" s="2">
        <v>35000000</v>
      </c>
      <c r="L376" s="2">
        <v>118071125</v>
      </c>
      <c r="M376" s="2">
        <v>0</v>
      </c>
      <c r="N376" s="2">
        <v>0</v>
      </c>
    </row>
    <row r="377" spans="1:14" x14ac:dyDescent="0.3">
      <c r="A377" s="2">
        <v>161</v>
      </c>
      <c r="B377" s="2" t="s">
        <v>344</v>
      </c>
      <c r="C377" s="3">
        <v>30596</v>
      </c>
      <c r="D377" s="2">
        <v>134</v>
      </c>
      <c r="E377" s="2" t="s">
        <v>84</v>
      </c>
      <c r="F377" s="2" t="s">
        <v>345</v>
      </c>
      <c r="G377" s="2" t="s">
        <v>346</v>
      </c>
      <c r="H377" s="2" t="s">
        <v>18</v>
      </c>
      <c r="I377" s="2" t="s">
        <v>19</v>
      </c>
      <c r="J377" s="2" t="s">
        <v>20</v>
      </c>
      <c r="K377" s="2">
        <v>36000000</v>
      </c>
      <c r="L377" s="2">
        <v>160000000</v>
      </c>
      <c r="M377" s="2">
        <v>0</v>
      </c>
      <c r="N377" s="2">
        <v>0</v>
      </c>
    </row>
    <row r="378" spans="1:14" x14ac:dyDescent="0.3">
      <c r="A378" s="2">
        <v>162</v>
      </c>
      <c r="B378" s="2" t="s">
        <v>347</v>
      </c>
      <c r="C378" s="3">
        <v>29196</v>
      </c>
      <c r="D378" s="2">
        <v>132</v>
      </c>
      <c r="E378" s="2" t="s">
        <v>49</v>
      </c>
      <c r="F378" s="2" t="s">
        <v>348</v>
      </c>
      <c r="G378" s="2" t="s">
        <v>257</v>
      </c>
      <c r="H378" s="2" t="s">
        <v>18</v>
      </c>
      <c r="I378" s="2" t="s">
        <v>19</v>
      </c>
      <c r="J378" s="2" t="s">
        <v>63</v>
      </c>
      <c r="K378" s="2">
        <v>46000000</v>
      </c>
      <c r="L378" s="2">
        <v>139000000</v>
      </c>
      <c r="M378" s="2">
        <v>3</v>
      </c>
      <c r="N378" s="2">
        <v>0</v>
      </c>
    </row>
    <row r="379" spans="1:14" x14ac:dyDescent="0.3">
      <c r="A379" s="2">
        <v>163</v>
      </c>
      <c r="B379" s="2" t="s">
        <v>349</v>
      </c>
      <c r="C379" s="3">
        <v>36133</v>
      </c>
      <c r="D379" s="2">
        <v>97</v>
      </c>
      <c r="E379" s="2" t="s">
        <v>22</v>
      </c>
      <c r="F379" s="2" t="s">
        <v>201</v>
      </c>
      <c r="G379" s="2" t="s">
        <v>202</v>
      </c>
      <c r="H379" s="2" t="s">
        <v>18</v>
      </c>
      <c r="I379" s="2" t="s">
        <v>19</v>
      </c>
      <c r="J379" s="2">
        <v>15</v>
      </c>
      <c r="K379" s="2">
        <v>33000000</v>
      </c>
      <c r="L379" s="2">
        <v>244386864</v>
      </c>
      <c r="M379" s="2">
        <v>0</v>
      </c>
      <c r="N379" s="2">
        <v>0</v>
      </c>
    </row>
    <row r="380" spans="1:14" x14ac:dyDescent="0.3">
      <c r="A380" s="2">
        <v>164</v>
      </c>
      <c r="B380" s="2" t="s">
        <v>350</v>
      </c>
      <c r="C380" s="3">
        <v>33830</v>
      </c>
      <c r="D380" s="2">
        <v>118</v>
      </c>
      <c r="E380" s="2" t="s">
        <v>22</v>
      </c>
      <c r="F380" s="2" t="s">
        <v>88</v>
      </c>
      <c r="G380" s="2" t="s">
        <v>89</v>
      </c>
      <c r="H380" s="2" t="s">
        <v>18</v>
      </c>
      <c r="I380" s="2" t="s">
        <v>19</v>
      </c>
      <c r="J380" s="2">
        <v>15</v>
      </c>
      <c r="K380" s="2">
        <v>35000000</v>
      </c>
      <c r="L380" s="2">
        <v>321731527</v>
      </c>
      <c r="M380" s="2">
        <v>0</v>
      </c>
      <c r="N380" s="2">
        <v>0</v>
      </c>
    </row>
    <row r="381" spans="1:14" x14ac:dyDescent="0.3">
      <c r="A381" s="2">
        <v>165</v>
      </c>
      <c r="B381" s="2" t="s">
        <v>351</v>
      </c>
      <c r="C381" s="3">
        <v>30461</v>
      </c>
      <c r="D381" s="2">
        <v>132</v>
      </c>
      <c r="E381" s="2" t="s">
        <v>49</v>
      </c>
      <c r="F381" s="2" t="s">
        <v>352</v>
      </c>
      <c r="G381" s="2" t="s">
        <v>140</v>
      </c>
      <c r="H381" s="2" t="s">
        <v>18</v>
      </c>
      <c r="I381" s="2" t="s">
        <v>19</v>
      </c>
      <c r="J381" s="2" t="s">
        <v>63</v>
      </c>
      <c r="K381" s="2">
        <v>42700000</v>
      </c>
      <c r="L381" s="2">
        <v>475100000</v>
      </c>
      <c r="M381" s="2">
        <v>4</v>
      </c>
      <c r="N381" s="2">
        <v>0</v>
      </c>
    </row>
    <row r="382" spans="1:14" x14ac:dyDescent="0.3">
      <c r="A382" s="2">
        <v>166</v>
      </c>
      <c r="B382" s="2" t="s">
        <v>353</v>
      </c>
      <c r="C382" s="3">
        <v>38618</v>
      </c>
      <c r="D382" s="2">
        <v>96</v>
      </c>
      <c r="E382" s="2" t="s">
        <v>190</v>
      </c>
      <c r="F382" s="2" t="s">
        <v>354</v>
      </c>
      <c r="G382" s="2" t="s">
        <v>204</v>
      </c>
      <c r="H382" s="2" t="s">
        <v>18</v>
      </c>
      <c r="I382" s="2" t="s">
        <v>19</v>
      </c>
      <c r="J382" s="2">
        <v>18</v>
      </c>
      <c r="K382" s="2">
        <v>32000000</v>
      </c>
      <c r="L382" s="2">
        <v>60740827</v>
      </c>
      <c r="M382" s="2">
        <v>2</v>
      </c>
      <c r="N382" s="2">
        <v>0</v>
      </c>
    </row>
    <row r="383" spans="1:14" x14ac:dyDescent="0.3">
      <c r="A383" s="2">
        <v>168</v>
      </c>
      <c r="B383" s="2" t="s">
        <v>357</v>
      </c>
      <c r="C383" s="3">
        <v>34992</v>
      </c>
      <c r="D383" s="2">
        <v>105</v>
      </c>
      <c r="E383" s="2" t="s">
        <v>150</v>
      </c>
      <c r="F383" s="2" t="s">
        <v>92</v>
      </c>
      <c r="G383" s="2" t="s">
        <v>358</v>
      </c>
      <c r="H383" s="2" t="s">
        <v>18</v>
      </c>
      <c r="I383" s="2" t="s">
        <v>19</v>
      </c>
      <c r="J383" s="2">
        <v>15</v>
      </c>
      <c r="K383" s="2">
        <v>30250000</v>
      </c>
      <c r="L383" s="2">
        <v>115101622</v>
      </c>
      <c r="M383" s="2">
        <v>0</v>
      </c>
      <c r="N383" s="2">
        <v>0</v>
      </c>
    </row>
    <row r="384" spans="1:14" x14ac:dyDescent="0.3">
      <c r="A384" s="2">
        <v>169</v>
      </c>
      <c r="B384" s="2" t="s">
        <v>359</v>
      </c>
      <c r="C384" s="3">
        <v>39346</v>
      </c>
      <c r="D384" s="2">
        <v>159</v>
      </c>
      <c r="E384" s="2" t="s">
        <v>360</v>
      </c>
      <c r="F384" s="2" t="s">
        <v>361</v>
      </c>
      <c r="G384" s="2" t="s">
        <v>362</v>
      </c>
      <c r="H384" s="2" t="s">
        <v>18</v>
      </c>
      <c r="I384" s="2" t="s">
        <v>19</v>
      </c>
      <c r="J384" s="2">
        <v>15</v>
      </c>
      <c r="K384" s="2">
        <v>30000000</v>
      </c>
      <c r="L384" s="2">
        <v>15000000</v>
      </c>
      <c r="M384" s="2">
        <v>2</v>
      </c>
      <c r="N384" s="2">
        <v>0</v>
      </c>
    </row>
    <row r="385" spans="1:14" x14ac:dyDescent="0.3">
      <c r="A385" s="2">
        <v>170</v>
      </c>
      <c r="B385" s="2" t="s">
        <v>363</v>
      </c>
      <c r="C385" s="3">
        <v>38366</v>
      </c>
      <c r="D385" s="2">
        <v>132</v>
      </c>
      <c r="E385" s="2" t="s">
        <v>364</v>
      </c>
      <c r="F385" s="2" t="s">
        <v>311</v>
      </c>
      <c r="G385" s="2" t="s">
        <v>365</v>
      </c>
      <c r="H385" s="2" t="s">
        <v>18</v>
      </c>
      <c r="I385" s="2" t="s">
        <v>19</v>
      </c>
      <c r="J385" s="2" t="s">
        <v>25</v>
      </c>
      <c r="K385" s="2">
        <v>30000000</v>
      </c>
      <c r="L385" s="2">
        <v>216800000</v>
      </c>
      <c r="M385" s="2">
        <v>7</v>
      </c>
      <c r="N385" s="2">
        <v>4</v>
      </c>
    </row>
    <row r="386" spans="1:14" x14ac:dyDescent="0.3">
      <c r="A386" s="2">
        <v>171</v>
      </c>
      <c r="B386" s="2" t="s">
        <v>366</v>
      </c>
      <c r="C386" s="3">
        <v>34964</v>
      </c>
      <c r="D386" s="2">
        <v>127</v>
      </c>
      <c r="E386" s="2" t="s">
        <v>84</v>
      </c>
      <c r="F386" s="2" t="s">
        <v>268</v>
      </c>
      <c r="G386" s="2" t="s">
        <v>204</v>
      </c>
      <c r="H386" s="2" t="s">
        <v>18</v>
      </c>
      <c r="I386" s="2" t="s">
        <v>19</v>
      </c>
      <c r="J386" s="2">
        <v>18</v>
      </c>
      <c r="K386" s="2">
        <v>33000000</v>
      </c>
      <c r="L386" s="2">
        <v>327300000</v>
      </c>
      <c r="M386" s="2">
        <v>1</v>
      </c>
      <c r="N386" s="2">
        <v>0</v>
      </c>
    </row>
    <row r="387" spans="1:14" x14ac:dyDescent="0.3">
      <c r="A387" s="2">
        <v>172</v>
      </c>
      <c r="B387" s="2" t="s">
        <v>367</v>
      </c>
      <c r="C387" s="3">
        <v>32934</v>
      </c>
      <c r="D387" s="2">
        <v>134</v>
      </c>
      <c r="E387" s="2" t="s">
        <v>84</v>
      </c>
      <c r="F387" s="2" t="s">
        <v>208</v>
      </c>
      <c r="G387" s="2" t="s">
        <v>368</v>
      </c>
      <c r="H387" s="2" t="s">
        <v>18</v>
      </c>
      <c r="I387" s="2" t="s">
        <v>19</v>
      </c>
      <c r="J387" s="2" t="s">
        <v>20</v>
      </c>
      <c r="K387" s="2">
        <v>30000000</v>
      </c>
      <c r="L387" s="2">
        <v>200512643</v>
      </c>
      <c r="M387" s="2">
        <v>3</v>
      </c>
      <c r="N387" s="2">
        <v>1</v>
      </c>
    </row>
    <row r="388" spans="1:14" x14ac:dyDescent="0.3">
      <c r="A388" s="2">
        <v>173</v>
      </c>
      <c r="B388" s="2" t="s">
        <v>369</v>
      </c>
      <c r="C388" s="3">
        <v>30840</v>
      </c>
      <c r="D388" s="2">
        <v>107</v>
      </c>
      <c r="E388" s="2" t="s">
        <v>38</v>
      </c>
      <c r="F388" s="2" t="s">
        <v>370</v>
      </c>
      <c r="G388" s="2" t="s">
        <v>371</v>
      </c>
      <c r="H388" s="2" t="s">
        <v>18</v>
      </c>
      <c r="I388" s="2" t="s">
        <v>19</v>
      </c>
      <c r="J388" s="2" t="s">
        <v>20</v>
      </c>
      <c r="K388" s="2">
        <v>30000000</v>
      </c>
      <c r="L388" s="2">
        <v>295200000</v>
      </c>
      <c r="M388" s="2">
        <v>2</v>
      </c>
      <c r="N388" s="2">
        <v>0</v>
      </c>
    </row>
    <row r="389" spans="1:14" x14ac:dyDescent="0.3">
      <c r="A389" s="2">
        <v>174</v>
      </c>
      <c r="B389" s="2" t="s">
        <v>372</v>
      </c>
      <c r="C389" s="3">
        <v>32668</v>
      </c>
      <c r="D389" s="2">
        <v>106</v>
      </c>
      <c r="E389" s="2" t="s">
        <v>49</v>
      </c>
      <c r="F389" s="2" t="s">
        <v>373</v>
      </c>
      <c r="G389" s="2" t="s">
        <v>257</v>
      </c>
      <c r="H389" s="2" t="s">
        <v>18</v>
      </c>
      <c r="I389" s="2" t="s">
        <v>19</v>
      </c>
      <c r="J389" s="2" t="s">
        <v>20</v>
      </c>
      <c r="K389" s="2">
        <v>33000000</v>
      </c>
      <c r="L389" s="2">
        <v>63000000</v>
      </c>
      <c r="M389" s="2">
        <v>0</v>
      </c>
      <c r="N389" s="2">
        <v>0</v>
      </c>
    </row>
    <row r="390" spans="1:14" x14ac:dyDescent="0.3">
      <c r="A390" s="2">
        <v>175</v>
      </c>
      <c r="B390" s="2" t="s">
        <v>374</v>
      </c>
      <c r="C390" s="3">
        <v>30825</v>
      </c>
      <c r="D390" s="2">
        <v>118</v>
      </c>
      <c r="E390" s="2" t="s">
        <v>15</v>
      </c>
      <c r="F390" s="2" t="s">
        <v>16</v>
      </c>
      <c r="G390" s="2" t="s">
        <v>140</v>
      </c>
      <c r="H390" s="2" t="s">
        <v>18</v>
      </c>
      <c r="I390" s="2" t="s">
        <v>19</v>
      </c>
      <c r="J390" s="2">
        <v>12</v>
      </c>
      <c r="K390" s="2">
        <v>28170000</v>
      </c>
      <c r="L390" s="2">
        <v>333107271</v>
      </c>
      <c r="M390" s="2">
        <v>2</v>
      </c>
      <c r="N390" s="2">
        <v>1</v>
      </c>
    </row>
    <row r="391" spans="1:14" x14ac:dyDescent="0.3">
      <c r="A391" s="2">
        <v>176</v>
      </c>
      <c r="B391" s="2" t="s">
        <v>375</v>
      </c>
      <c r="C391" s="3">
        <v>30127</v>
      </c>
      <c r="D391" s="2">
        <v>116</v>
      </c>
      <c r="E391" s="2" t="s">
        <v>49</v>
      </c>
      <c r="F391" s="2" t="s">
        <v>160</v>
      </c>
      <c r="G391" s="2" t="s">
        <v>376</v>
      </c>
      <c r="H391" s="2" t="s">
        <v>18</v>
      </c>
      <c r="I391" s="2" t="s">
        <v>19</v>
      </c>
      <c r="J391" s="2">
        <v>15</v>
      </c>
      <c r="K391" s="2">
        <v>28000000</v>
      </c>
      <c r="L391" s="2">
        <v>33800000</v>
      </c>
      <c r="M391" s="2">
        <v>2</v>
      </c>
      <c r="N391" s="2">
        <v>0</v>
      </c>
    </row>
    <row r="392" spans="1:14" x14ac:dyDescent="0.3">
      <c r="A392" s="2">
        <v>177</v>
      </c>
      <c r="B392" s="2" t="s">
        <v>377</v>
      </c>
      <c r="C392" s="3">
        <v>32339</v>
      </c>
      <c r="D392" s="2">
        <v>132</v>
      </c>
      <c r="E392" s="2" t="s">
        <v>22</v>
      </c>
      <c r="F392" s="2" t="s">
        <v>208</v>
      </c>
      <c r="G392" s="2" t="s">
        <v>89</v>
      </c>
      <c r="H392" s="2" t="s">
        <v>18</v>
      </c>
      <c r="I392" s="2" t="s">
        <v>19</v>
      </c>
      <c r="J392" s="2">
        <v>15</v>
      </c>
      <c r="K392" s="2">
        <v>28000000</v>
      </c>
      <c r="L392" s="2">
        <v>140700000</v>
      </c>
      <c r="M392" s="2">
        <v>4</v>
      </c>
      <c r="N392" s="2">
        <v>0</v>
      </c>
    </row>
    <row r="393" spans="1:14" x14ac:dyDescent="0.3">
      <c r="A393" s="2">
        <v>179</v>
      </c>
      <c r="B393" s="2" t="s">
        <v>379</v>
      </c>
      <c r="C393" s="3">
        <v>30473</v>
      </c>
      <c r="D393" s="2">
        <v>131</v>
      </c>
      <c r="E393" s="2" t="s">
        <v>84</v>
      </c>
      <c r="F393" s="2" t="s">
        <v>335</v>
      </c>
      <c r="G393" s="2" t="s">
        <v>86</v>
      </c>
      <c r="H393" s="2" t="s">
        <v>18</v>
      </c>
      <c r="I393" s="2" t="s">
        <v>19</v>
      </c>
      <c r="J393" s="2" t="s">
        <v>20</v>
      </c>
      <c r="K393" s="2">
        <v>27500000</v>
      </c>
      <c r="L393" s="2">
        <v>183700000</v>
      </c>
      <c r="M393" s="2">
        <v>0</v>
      </c>
      <c r="N393" s="2">
        <v>0</v>
      </c>
    </row>
    <row r="394" spans="1:14" x14ac:dyDescent="0.3">
      <c r="A394" s="2">
        <v>180</v>
      </c>
      <c r="B394" s="2" t="s">
        <v>380</v>
      </c>
      <c r="C394" s="3">
        <v>33578</v>
      </c>
      <c r="D394" s="2">
        <v>113</v>
      </c>
      <c r="E394" s="2" t="s">
        <v>49</v>
      </c>
      <c r="F394" s="2" t="s">
        <v>381</v>
      </c>
      <c r="G394" s="2" t="s">
        <v>257</v>
      </c>
      <c r="H394" s="2" t="s">
        <v>18</v>
      </c>
      <c r="I394" s="2" t="s">
        <v>19</v>
      </c>
      <c r="J394" s="2" t="s">
        <v>20</v>
      </c>
      <c r="K394" s="2">
        <v>27000000</v>
      </c>
      <c r="L394" s="2">
        <v>96888996</v>
      </c>
      <c r="M394" s="2">
        <v>2</v>
      </c>
      <c r="N394" s="2">
        <v>0</v>
      </c>
    </row>
    <row r="395" spans="1:14" x14ac:dyDescent="0.3">
      <c r="A395" s="2">
        <v>181</v>
      </c>
      <c r="B395" s="2" t="s">
        <v>382</v>
      </c>
      <c r="C395" s="3">
        <v>32094</v>
      </c>
      <c r="D395" s="2">
        <v>101</v>
      </c>
      <c r="E395" s="2" t="s">
        <v>49</v>
      </c>
      <c r="F395" s="2" t="s">
        <v>383</v>
      </c>
      <c r="G395" s="2" t="s">
        <v>384</v>
      </c>
      <c r="H395" s="2" t="s">
        <v>18</v>
      </c>
      <c r="I395" s="2" t="s">
        <v>19</v>
      </c>
      <c r="J395" s="2">
        <v>18</v>
      </c>
      <c r="K395" s="2">
        <v>27000000</v>
      </c>
      <c r="L395" s="2">
        <v>38122105</v>
      </c>
      <c r="M395" s="2">
        <v>0</v>
      </c>
      <c r="N395" s="2">
        <v>0</v>
      </c>
    </row>
    <row r="396" spans="1:14" x14ac:dyDescent="0.3">
      <c r="A396" s="2">
        <v>182</v>
      </c>
      <c r="B396" s="2" t="s">
        <v>385</v>
      </c>
      <c r="C396" s="3">
        <v>37848</v>
      </c>
      <c r="D396" s="2">
        <v>139</v>
      </c>
      <c r="E396" s="2" t="s">
        <v>360</v>
      </c>
      <c r="F396" s="2" t="s">
        <v>386</v>
      </c>
      <c r="G396" s="2" t="s">
        <v>47</v>
      </c>
      <c r="H396" s="2" t="s">
        <v>18</v>
      </c>
      <c r="I396" s="2" t="s">
        <v>19</v>
      </c>
      <c r="J396" s="2" t="s">
        <v>25</v>
      </c>
      <c r="K396" s="2">
        <v>22000000</v>
      </c>
      <c r="L396" s="2">
        <v>68296293</v>
      </c>
      <c r="M396" s="2">
        <v>0</v>
      </c>
      <c r="N396" s="2">
        <v>0</v>
      </c>
    </row>
    <row r="397" spans="1:14" x14ac:dyDescent="0.3">
      <c r="A397" s="2">
        <v>183</v>
      </c>
      <c r="B397" s="2" t="s">
        <v>387</v>
      </c>
      <c r="C397" s="3">
        <v>33270</v>
      </c>
      <c r="D397" s="2">
        <v>111</v>
      </c>
      <c r="E397" s="2" t="s">
        <v>38</v>
      </c>
      <c r="F397" s="2" t="s">
        <v>370</v>
      </c>
      <c r="G397" s="2" t="s">
        <v>119</v>
      </c>
      <c r="H397" s="2" t="s">
        <v>18</v>
      </c>
      <c r="I397" s="2" t="s">
        <v>19</v>
      </c>
      <c r="J397" s="2">
        <v>15</v>
      </c>
      <c r="K397" s="2">
        <v>15000000</v>
      </c>
      <c r="L397" s="2">
        <v>201957688</v>
      </c>
      <c r="M397" s="2">
        <v>0</v>
      </c>
      <c r="N397" s="2">
        <v>0</v>
      </c>
    </row>
    <row r="398" spans="1:14" x14ac:dyDescent="0.3">
      <c r="A398" s="2">
        <v>184</v>
      </c>
      <c r="B398" s="2" t="s">
        <v>388</v>
      </c>
      <c r="C398" s="3">
        <v>36784</v>
      </c>
      <c r="D398" s="2">
        <v>107</v>
      </c>
      <c r="E398" s="2" t="s">
        <v>38</v>
      </c>
      <c r="F398" s="2" t="s">
        <v>290</v>
      </c>
      <c r="G398" s="2" t="s">
        <v>47</v>
      </c>
      <c r="H398" s="2" t="s">
        <v>18</v>
      </c>
      <c r="I398" s="2" t="s">
        <v>19</v>
      </c>
      <c r="J398" s="2">
        <v>12</v>
      </c>
      <c r="K398" s="2">
        <v>26000000</v>
      </c>
      <c r="L398" s="2">
        <v>71900000</v>
      </c>
      <c r="M398" s="2">
        <v>2</v>
      </c>
      <c r="N398" s="2">
        <v>0</v>
      </c>
    </row>
    <row r="399" spans="1:14" x14ac:dyDescent="0.3">
      <c r="A399" s="2">
        <v>185</v>
      </c>
      <c r="B399" s="2" t="s">
        <v>389</v>
      </c>
      <c r="C399" s="3">
        <v>33135</v>
      </c>
      <c r="D399" s="2">
        <v>146</v>
      </c>
      <c r="E399" s="2" t="s">
        <v>150</v>
      </c>
      <c r="F399" s="2" t="s">
        <v>167</v>
      </c>
      <c r="G399" s="2" t="s">
        <v>130</v>
      </c>
      <c r="H399" s="2" t="s">
        <v>18</v>
      </c>
      <c r="I399" s="2" t="s">
        <v>19</v>
      </c>
      <c r="J399" s="2">
        <v>18</v>
      </c>
      <c r="K399" s="2">
        <v>25000000</v>
      </c>
      <c r="L399" s="2">
        <v>46800000</v>
      </c>
      <c r="M399" s="2">
        <v>6</v>
      </c>
      <c r="N399" s="2">
        <v>1</v>
      </c>
    </row>
    <row r="400" spans="1:14" x14ac:dyDescent="0.3">
      <c r="A400" s="2">
        <v>186</v>
      </c>
      <c r="B400" s="2" t="s">
        <v>390</v>
      </c>
      <c r="C400" s="3">
        <v>38072</v>
      </c>
      <c r="D400" s="2">
        <v>126</v>
      </c>
      <c r="E400" s="2" t="s">
        <v>190</v>
      </c>
      <c r="F400" s="2" t="s">
        <v>246</v>
      </c>
      <c r="G400" s="2" t="s">
        <v>247</v>
      </c>
      <c r="H400" s="2" t="s">
        <v>18</v>
      </c>
      <c r="I400" s="2" t="s">
        <v>391</v>
      </c>
      <c r="J400" s="2">
        <v>18</v>
      </c>
      <c r="K400" s="2">
        <v>30000000</v>
      </c>
      <c r="L400" s="2">
        <v>611900000</v>
      </c>
      <c r="M400" s="2">
        <v>3</v>
      </c>
      <c r="N400" s="2">
        <v>0</v>
      </c>
    </row>
    <row r="401" spans="1:14" x14ac:dyDescent="0.3">
      <c r="A401" s="2">
        <v>187</v>
      </c>
      <c r="B401" s="2" t="s">
        <v>392</v>
      </c>
      <c r="C401" s="3">
        <v>31931</v>
      </c>
      <c r="D401" s="2">
        <v>119</v>
      </c>
      <c r="E401" s="2" t="s">
        <v>150</v>
      </c>
      <c r="F401" s="2" t="s">
        <v>220</v>
      </c>
      <c r="G401" s="2" t="s">
        <v>257</v>
      </c>
      <c r="H401" s="2" t="s">
        <v>18</v>
      </c>
      <c r="I401" s="2" t="s">
        <v>19</v>
      </c>
      <c r="J401" s="2">
        <v>15</v>
      </c>
      <c r="K401" s="2">
        <v>25000000</v>
      </c>
      <c r="L401" s="2">
        <v>106240936</v>
      </c>
      <c r="M401" s="2">
        <v>4</v>
      </c>
      <c r="N401" s="2">
        <v>1</v>
      </c>
    </row>
    <row r="402" spans="1:14" x14ac:dyDescent="0.3">
      <c r="A402" s="2">
        <v>188</v>
      </c>
      <c r="B402" s="2" t="s">
        <v>393</v>
      </c>
      <c r="C402" s="3">
        <v>34318</v>
      </c>
      <c r="D402" s="2">
        <v>197</v>
      </c>
      <c r="E402" s="2" t="s">
        <v>245</v>
      </c>
      <c r="F402" s="2" t="s">
        <v>16</v>
      </c>
      <c r="G402" s="2" t="s">
        <v>17</v>
      </c>
      <c r="H402" s="2" t="s">
        <v>18</v>
      </c>
      <c r="I402" s="2" t="s">
        <v>19</v>
      </c>
      <c r="J402" s="2">
        <v>15</v>
      </c>
      <c r="K402" s="2">
        <v>22000000</v>
      </c>
      <c r="L402" s="2">
        <v>321200000</v>
      </c>
      <c r="M402" s="2">
        <v>12</v>
      </c>
      <c r="N402" s="2">
        <v>7</v>
      </c>
    </row>
    <row r="403" spans="1:14" x14ac:dyDescent="0.3">
      <c r="A403" s="2">
        <v>189</v>
      </c>
      <c r="B403" s="2" t="s">
        <v>394</v>
      </c>
      <c r="C403" s="3">
        <v>38240</v>
      </c>
      <c r="D403" s="2">
        <v>95</v>
      </c>
      <c r="E403" s="2" t="s">
        <v>38</v>
      </c>
      <c r="F403" s="2" t="s">
        <v>239</v>
      </c>
      <c r="G403" s="2" t="s">
        <v>240</v>
      </c>
      <c r="H403" s="2" t="s">
        <v>18</v>
      </c>
      <c r="I403" s="2" t="s">
        <v>19</v>
      </c>
      <c r="J403" s="2" t="s">
        <v>25</v>
      </c>
      <c r="K403" s="2">
        <v>26000000</v>
      </c>
      <c r="L403" s="2">
        <v>90600000</v>
      </c>
      <c r="M403" s="2">
        <v>0</v>
      </c>
      <c r="N403" s="2">
        <v>0</v>
      </c>
    </row>
    <row r="404" spans="1:14" x14ac:dyDescent="0.3">
      <c r="A404" s="2">
        <v>190</v>
      </c>
      <c r="B404" s="2" t="s">
        <v>395</v>
      </c>
      <c r="C404" s="3">
        <v>30659</v>
      </c>
      <c r="D404" s="2">
        <v>170</v>
      </c>
      <c r="E404" s="2" t="s">
        <v>150</v>
      </c>
      <c r="F404" s="2" t="s">
        <v>220</v>
      </c>
      <c r="G404" s="2" t="s">
        <v>103</v>
      </c>
      <c r="H404" s="2" t="s">
        <v>18</v>
      </c>
      <c r="I404" s="2" t="s">
        <v>19</v>
      </c>
      <c r="J404" s="2">
        <v>18</v>
      </c>
      <c r="K404" s="2">
        <v>25000000</v>
      </c>
      <c r="L404" s="2">
        <v>65900000</v>
      </c>
      <c r="M404" s="2">
        <v>0</v>
      </c>
      <c r="N404" s="2">
        <v>0</v>
      </c>
    </row>
    <row r="405" spans="1:14" x14ac:dyDescent="0.3">
      <c r="A405" s="2">
        <v>191</v>
      </c>
      <c r="B405" s="2" t="s">
        <v>396</v>
      </c>
      <c r="C405" s="3">
        <v>31742</v>
      </c>
      <c r="D405" s="2">
        <v>122</v>
      </c>
      <c r="E405" s="2" t="s">
        <v>49</v>
      </c>
      <c r="F405" s="2" t="s">
        <v>397</v>
      </c>
      <c r="G405" s="2" t="s">
        <v>257</v>
      </c>
      <c r="H405" s="2" t="s">
        <v>18</v>
      </c>
      <c r="I405" s="2" t="s">
        <v>19</v>
      </c>
      <c r="J405" s="2" t="s">
        <v>20</v>
      </c>
      <c r="K405" s="2">
        <v>21000000</v>
      </c>
      <c r="L405" s="2">
        <v>133000000</v>
      </c>
      <c r="M405" s="2">
        <v>4</v>
      </c>
      <c r="N405" s="2">
        <v>0</v>
      </c>
    </row>
    <row r="406" spans="1:14" x14ac:dyDescent="0.3">
      <c r="A406" s="2">
        <v>192</v>
      </c>
      <c r="B406" s="2" t="s">
        <v>26</v>
      </c>
      <c r="C406" s="3">
        <v>28111</v>
      </c>
      <c r="D406" s="2">
        <v>134</v>
      </c>
      <c r="E406" s="2" t="s">
        <v>15</v>
      </c>
      <c r="F406" s="2" t="s">
        <v>398</v>
      </c>
      <c r="G406" s="2" t="s">
        <v>399</v>
      </c>
      <c r="H406" s="2" t="s">
        <v>18</v>
      </c>
      <c r="I406" s="2" t="s">
        <v>19</v>
      </c>
      <c r="J406" s="2" t="s">
        <v>20</v>
      </c>
      <c r="K406" s="2">
        <v>24000000</v>
      </c>
      <c r="L406" s="2">
        <v>90614445</v>
      </c>
      <c r="M406" s="2">
        <v>2</v>
      </c>
      <c r="N406" s="2">
        <v>0</v>
      </c>
    </row>
    <row r="407" spans="1:14" x14ac:dyDescent="0.3">
      <c r="A407" s="2">
        <v>193</v>
      </c>
      <c r="B407" s="2" t="s">
        <v>400</v>
      </c>
      <c r="C407" s="3">
        <v>29362</v>
      </c>
      <c r="D407" s="2">
        <v>124</v>
      </c>
      <c r="E407" s="2" t="s">
        <v>49</v>
      </c>
      <c r="F407" s="2" t="s">
        <v>345</v>
      </c>
      <c r="G407" s="2" t="s">
        <v>140</v>
      </c>
      <c r="H407" s="2" t="s">
        <v>18</v>
      </c>
      <c r="I407" s="2" t="s">
        <v>19</v>
      </c>
      <c r="J407" s="2" t="s">
        <v>63</v>
      </c>
      <c r="K407" s="2">
        <v>33000000</v>
      </c>
      <c r="L407" s="2">
        <v>538400000</v>
      </c>
      <c r="M407" s="2">
        <v>4</v>
      </c>
      <c r="N407" s="2">
        <v>2</v>
      </c>
    </row>
    <row r="408" spans="1:14" x14ac:dyDescent="0.3">
      <c r="A408" s="2">
        <v>195</v>
      </c>
      <c r="B408" s="2" t="s">
        <v>404</v>
      </c>
      <c r="C408" s="3">
        <v>37596</v>
      </c>
      <c r="D408" s="2">
        <v>107</v>
      </c>
      <c r="E408" s="2" t="s">
        <v>49</v>
      </c>
      <c r="F408" s="2" t="s">
        <v>405</v>
      </c>
      <c r="G408" s="2" t="s">
        <v>339</v>
      </c>
      <c r="H408" s="2" t="s">
        <v>18</v>
      </c>
      <c r="I408" s="2" t="s">
        <v>19</v>
      </c>
      <c r="J408" s="2">
        <v>15</v>
      </c>
      <c r="K408" s="2">
        <v>20000000</v>
      </c>
      <c r="L408" s="2">
        <v>5345000</v>
      </c>
      <c r="M408" s="2">
        <v>0</v>
      </c>
      <c r="N408" s="2">
        <v>0</v>
      </c>
    </row>
    <row r="409" spans="1:14" x14ac:dyDescent="0.3">
      <c r="A409" s="2">
        <v>196</v>
      </c>
      <c r="B409" s="2" t="s">
        <v>406</v>
      </c>
      <c r="C409" s="3">
        <v>35083</v>
      </c>
      <c r="D409" s="2">
        <v>108</v>
      </c>
      <c r="E409" s="2" t="s">
        <v>68</v>
      </c>
      <c r="F409" s="2" t="s">
        <v>407</v>
      </c>
      <c r="G409" s="2" t="s">
        <v>339</v>
      </c>
      <c r="H409" s="2" t="s">
        <v>18</v>
      </c>
      <c r="I409" s="2" t="s">
        <v>19</v>
      </c>
      <c r="J409" s="2">
        <v>18</v>
      </c>
      <c r="K409" s="2">
        <v>20000000</v>
      </c>
      <c r="L409" s="2">
        <v>25728961</v>
      </c>
      <c r="M409" s="2">
        <v>0</v>
      </c>
      <c r="N409" s="2">
        <v>0</v>
      </c>
    </row>
    <row r="410" spans="1:14" x14ac:dyDescent="0.3">
      <c r="A410" s="2">
        <v>197</v>
      </c>
      <c r="B410" s="2" t="s">
        <v>408</v>
      </c>
      <c r="C410" s="3">
        <v>29749</v>
      </c>
      <c r="D410" s="2">
        <v>115</v>
      </c>
      <c r="E410" s="2" t="s">
        <v>15</v>
      </c>
      <c r="F410" s="2" t="s">
        <v>16</v>
      </c>
      <c r="G410" s="2" t="s">
        <v>140</v>
      </c>
      <c r="H410" s="2" t="s">
        <v>18</v>
      </c>
      <c r="I410" s="2" t="s">
        <v>19</v>
      </c>
      <c r="J410" s="2" t="s">
        <v>20</v>
      </c>
      <c r="K410" s="2">
        <v>18000000</v>
      </c>
      <c r="L410" s="2">
        <v>389900000</v>
      </c>
      <c r="M410" s="2">
        <v>9</v>
      </c>
      <c r="N410" s="2">
        <v>5</v>
      </c>
    </row>
    <row r="411" spans="1:14" x14ac:dyDescent="0.3">
      <c r="A411" s="2">
        <v>199</v>
      </c>
      <c r="B411" s="2" t="s">
        <v>409</v>
      </c>
      <c r="C411" s="3">
        <v>31231</v>
      </c>
      <c r="D411" s="2">
        <v>116</v>
      </c>
      <c r="E411" s="2" t="s">
        <v>49</v>
      </c>
      <c r="F411" s="2" t="s">
        <v>57</v>
      </c>
      <c r="G411" s="2" t="s">
        <v>17</v>
      </c>
      <c r="H411" s="2" t="s">
        <v>18</v>
      </c>
      <c r="I411" s="2" t="s">
        <v>19</v>
      </c>
      <c r="J411" s="2" t="s">
        <v>20</v>
      </c>
      <c r="K411" s="2">
        <v>19000000</v>
      </c>
      <c r="L411" s="2">
        <v>392000000</v>
      </c>
      <c r="M411" s="2">
        <v>4</v>
      </c>
      <c r="N411" s="2">
        <v>1</v>
      </c>
    </row>
    <row r="412" spans="1:14" x14ac:dyDescent="0.3">
      <c r="A412" s="2">
        <v>200</v>
      </c>
      <c r="B412" s="2" t="s">
        <v>410</v>
      </c>
      <c r="C412" s="3">
        <v>33165</v>
      </c>
      <c r="D412" s="2">
        <v>180</v>
      </c>
      <c r="E412" s="2" t="s">
        <v>360</v>
      </c>
      <c r="F412" s="2" t="s">
        <v>386</v>
      </c>
      <c r="G412" s="2" t="s">
        <v>411</v>
      </c>
      <c r="H412" s="2" t="s">
        <v>18</v>
      </c>
      <c r="I412" s="2" t="s">
        <v>19</v>
      </c>
      <c r="J412" s="2">
        <v>15</v>
      </c>
      <c r="K412" s="2">
        <v>2000000</v>
      </c>
      <c r="L412" s="2">
        <v>424208848</v>
      </c>
      <c r="M412" s="2">
        <v>12</v>
      </c>
      <c r="N412" s="2">
        <v>7</v>
      </c>
    </row>
    <row r="413" spans="1:14" x14ac:dyDescent="0.3">
      <c r="A413" s="2">
        <v>201</v>
      </c>
      <c r="B413" s="2" t="s">
        <v>412</v>
      </c>
      <c r="C413" s="3">
        <v>30834</v>
      </c>
      <c r="D413" s="2">
        <v>105</v>
      </c>
      <c r="E413" s="2" t="s">
        <v>49</v>
      </c>
      <c r="F413" s="2" t="s">
        <v>397</v>
      </c>
      <c r="G413" s="2" t="s">
        <v>257</v>
      </c>
      <c r="H413" s="2" t="s">
        <v>18</v>
      </c>
      <c r="I413" s="2" t="s">
        <v>19</v>
      </c>
      <c r="J413" s="2" t="s">
        <v>20</v>
      </c>
      <c r="K413" s="2">
        <v>16000000</v>
      </c>
      <c r="L413" s="2">
        <v>87000000</v>
      </c>
      <c r="M413" s="2">
        <v>0</v>
      </c>
      <c r="N413" s="2">
        <v>0</v>
      </c>
    </row>
    <row r="414" spans="1:14" x14ac:dyDescent="0.3">
      <c r="A414" s="2">
        <v>203</v>
      </c>
      <c r="B414" s="2" t="s">
        <v>416</v>
      </c>
      <c r="C414" s="3">
        <v>29539</v>
      </c>
      <c r="D414" s="2">
        <v>129</v>
      </c>
      <c r="E414" s="2" t="s">
        <v>364</v>
      </c>
      <c r="F414" s="2" t="s">
        <v>167</v>
      </c>
      <c r="G414" s="2" t="s">
        <v>417</v>
      </c>
      <c r="H414" s="2" t="s">
        <v>18</v>
      </c>
      <c r="I414" s="2" t="s">
        <v>19</v>
      </c>
      <c r="J414" s="2">
        <v>18</v>
      </c>
      <c r="K414" s="2">
        <v>18000000</v>
      </c>
      <c r="L414" s="2">
        <v>23400000</v>
      </c>
      <c r="M414" s="2">
        <v>8</v>
      </c>
      <c r="N414" s="2">
        <v>2</v>
      </c>
    </row>
    <row r="415" spans="1:14" x14ac:dyDescent="0.3">
      <c r="A415" s="2">
        <v>204</v>
      </c>
      <c r="B415" s="2" t="s">
        <v>418</v>
      </c>
      <c r="C415" s="3">
        <v>31611</v>
      </c>
      <c r="D415" s="2">
        <v>137</v>
      </c>
      <c r="E415" s="2" t="s">
        <v>49</v>
      </c>
      <c r="F415" s="2" t="s">
        <v>35</v>
      </c>
      <c r="G415" s="2" t="s">
        <v>305</v>
      </c>
      <c r="H415" s="2" t="s">
        <v>18</v>
      </c>
      <c r="I415" s="2" t="s">
        <v>19</v>
      </c>
      <c r="J415" s="2">
        <v>18</v>
      </c>
      <c r="K415" s="2">
        <v>18000000</v>
      </c>
      <c r="L415" s="2">
        <v>183300000</v>
      </c>
      <c r="M415" s="2">
        <v>7</v>
      </c>
      <c r="N415" s="2">
        <v>2</v>
      </c>
    </row>
    <row r="416" spans="1:14" x14ac:dyDescent="0.3">
      <c r="A416" s="2">
        <v>208</v>
      </c>
      <c r="B416" s="2" t="s">
        <v>428</v>
      </c>
      <c r="C416" s="3">
        <v>26898</v>
      </c>
      <c r="D416" s="2">
        <v>105</v>
      </c>
      <c r="E416" s="2" t="s">
        <v>360</v>
      </c>
      <c r="F416" s="2" t="s">
        <v>311</v>
      </c>
      <c r="G416" s="2" t="s">
        <v>429</v>
      </c>
      <c r="H416" s="2" t="s">
        <v>18</v>
      </c>
      <c r="I416" s="2" t="s">
        <v>19</v>
      </c>
      <c r="J416" s="2">
        <v>18</v>
      </c>
      <c r="K416" s="2">
        <v>5500000</v>
      </c>
      <c r="L416" s="2">
        <v>15700000</v>
      </c>
      <c r="M416" s="2">
        <v>0</v>
      </c>
      <c r="N416" s="2">
        <v>0</v>
      </c>
    </row>
    <row r="417" spans="1:14" x14ac:dyDescent="0.3">
      <c r="A417" s="2">
        <v>209</v>
      </c>
      <c r="B417" s="2" t="s">
        <v>430</v>
      </c>
      <c r="C417" s="3">
        <v>38205</v>
      </c>
      <c r="D417" s="2">
        <v>120</v>
      </c>
      <c r="E417" s="2" t="s">
        <v>84</v>
      </c>
      <c r="F417" s="2" t="s">
        <v>102</v>
      </c>
      <c r="G417" s="2" t="s">
        <v>257</v>
      </c>
      <c r="H417" s="2" t="s">
        <v>18</v>
      </c>
      <c r="I417" s="2" t="s">
        <v>19</v>
      </c>
      <c r="J417" s="2">
        <v>15</v>
      </c>
      <c r="K417" s="2">
        <v>65000000</v>
      </c>
      <c r="L417" s="2">
        <v>217800000</v>
      </c>
      <c r="M417" s="2">
        <v>2</v>
      </c>
      <c r="N417" s="2">
        <v>0</v>
      </c>
    </row>
    <row r="418" spans="1:14" x14ac:dyDescent="0.3">
      <c r="A418" s="2">
        <v>210</v>
      </c>
      <c r="B418" s="2" t="s">
        <v>431</v>
      </c>
      <c r="C418" s="3">
        <v>36411</v>
      </c>
      <c r="D418" s="2">
        <v>122</v>
      </c>
      <c r="E418" s="2" t="s">
        <v>190</v>
      </c>
      <c r="F418" s="2" t="s">
        <v>224</v>
      </c>
      <c r="G418" s="2" t="s">
        <v>432</v>
      </c>
      <c r="H418" s="2" t="s">
        <v>18</v>
      </c>
      <c r="I418" s="2" t="s">
        <v>19</v>
      </c>
      <c r="J418" s="2">
        <v>18</v>
      </c>
      <c r="K418" s="2">
        <v>15000000</v>
      </c>
      <c r="L418" s="2">
        <v>356296601</v>
      </c>
      <c r="M418" s="2">
        <v>8</v>
      </c>
      <c r="N418" s="2">
        <v>5</v>
      </c>
    </row>
    <row r="419" spans="1:14" x14ac:dyDescent="0.3">
      <c r="A419" s="2">
        <v>211</v>
      </c>
      <c r="B419" s="2" t="s">
        <v>433</v>
      </c>
      <c r="C419" s="3">
        <v>31842</v>
      </c>
      <c r="D419" s="2">
        <v>110</v>
      </c>
      <c r="E419" s="2" t="s">
        <v>22</v>
      </c>
      <c r="F419" s="2" t="s">
        <v>88</v>
      </c>
      <c r="G419" s="2" t="s">
        <v>89</v>
      </c>
      <c r="H419" s="2" t="s">
        <v>18</v>
      </c>
      <c r="I419" s="2" t="s">
        <v>19</v>
      </c>
      <c r="J419" s="2">
        <v>18</v>
      </c>
      <c r="K419" s="2">
        <v>15000000</v>
      </c>
      <c r="L419" s="2">
        <v>120207127</v>
      </c>
      <c r="M419" s="2">
        <v>1</v>
      </c>
      <c r="N419" s="2">
        <v>0</v>
      </c>
    </row>
    <row r="420" spans="1:14" x14ac:dyDescent="0.3">
      <c r="A420" s="2">
        <v>212</v>
      </c>
      <c r="B420" s="2" t="s">
        <v>434</v>
      </c>
      <c r="C420" s="3">
        <v>32696</v>
      </c>
      <c r="D420" s="2">
        <v>114</v>
      </c>
      <c r="E420" s="2" t="s">
        <v>22</v>
      </c>
      <c r="F420" s="2" t="s">
        <v>88</v>
      </c>
      <c r="G420" s="2" t="s">
        <v>89</v>
      </c>
      <c r="H420" s="2" t="s">
        <v>18</v>
      </c>
      <c r="I420" s="2" t="s">
        <v>19</v>
      </c>
      <c r="J420" s="2">
        <v>15</v>
      </c>
      <c r="K420" s="2">
        <v>25000000</v>
      </c>
      <c r="L420" s="2">
        <v>227853986</v>
      </c>
      <c r="M420" s="2">
        <v>1</v>
      </c>
      <c r="N420" s="2">
        <v>0</v>
      </c>
    </row>
    <row r="421" spans="1:14" x14ac:dyDescent="0.3">
      <c r="A421" s="2">
        <v>214</v>
      </c>
      <c r="B421" s="2" t="s">
        <v>438</v>
      </c>
      <c r="C421" s="3">
        <v>38695</v>
      </c>
      <c r="D421" s="2">
        <v>134</v>
      </c>
      <c r="E421" s="2" t="s">
        <v>190</v>
      </c>
      <c r="F421" s="2" t="s">
        <v>436</v>
      </c>
      <c r="G421" s="2" t="s">
        <v>439</v>
      </c>
      <c r="H421" s="2" t="s">
        <v>18</v>
      </c>
      <c r="I421" s="2" t="s">
        <v>19</v>
      </c>
      <c r="J421" s="2">
        <v>15</v>
      </c>
      <c r="K421" s="2">
        <v>14000000</v>
      </c>
      <c r="L421" s="2">
        <v>178000000</v>
      </c>
      <c r="M421" s="2">
        <v>8</v>
      </c>
      <c r="N421" s="2">
        <v>3</v>
      </c>
    </row>
    <row r="422" spans="1:14" x14ac:dyDescent="0.3">
      <c r="A422" s="2">
        <v>215</v>
      </c>
      <c r="B422" s="2" t="s">
        <v>440</v>
      </c>
      <c r="C422" s="3">
        <v>37792</v>
      </c>
      <c r="D422" s="2">
        <v>138</v>
      </c>
      <c r="E422" s="2" t="s">
        <v>22</v>
      </c>
      <c r="F422" s="2" t="s">
        <v>436</v>
      </c>
      <c r="G422" s="2" t="s">
        <v>103</v>
      </c>
      <c r="H422" s="2" t="s">
        <v>18</v>
      </c>
      <c r="I422" s="2" t="s">
        <v>19</v>
      </c>
      <c r="J422" s="2" t="s">
        <v>25</v>
      </c>
      <c r="K422" s="2">
        <v>137000000</v>
      </c>
      <c r="L422" s="2">
        <v>245300000</v>
      </c>
      <c r="M422" s="2">
        <v>0</v>
      </c>
      <c r="N422" s="2">
        <v>0</v>
      </c>
    </row>
    <row r="423" spans="1:14" x14ac:dyDescent="0.3">
      <c r="A423" s="2">
        <v>217</v>
      </c>
      <c r="B423" s="2" t="s">
        <v>442</v>
      </c>
      <c r="C423" s="3">
        <v>36490</v>
      </c>
      <c r="D423" s="2">
        <v>138</v>
      </c>
      <c r="E423" s="2" t="s">
        <v>360</v>
      </c>
      <c r="F423" s="2" t="s">
        <v>436</v>
      </c>
      <c r="G423" s="2" t="s">
        <v>103</v>
      </c>
      <c r="H423" s="2" t="s">
        <v>18</v>
      </c>
      <c r="I423" s="2" t="s">
        <v>19</v>
      </c>
      <c r="J423" s="2">
        <v>15</v>
      </c>
      <c r="K423" s="2">
        <v>38000000</v>
      </c>
      <c r="L423" s="2">
        <v>635096</v>
      </c>
      <c r="M423" s="2">
        <v>0</v>
      </c>
      <c r="N423" s="2">
        <v>0</v>
      </c>
    </row>
    <row r="424" spans="1:14" x14ac:dyDescent="0.3">
      <c r="A424" s="2">
        <v>218</v>
      </c>
      <c r="B424" s="2" t="s">
        <v>443</v>
      </c>
      <c r="C424" s="3">
        <v>32486</v>
      </c>
      <c r="D424" s="2">
        <v>105</v>
      </c>
      <c r="E424" s="2" t="s">
        <v>38</v>
      </c>
      <c r="F424" s="2" t="s">
        <v>370</v>
      </c>
      <c r="G424" s="2" t="s">
        <v>103</v>
      </c>
      <c r="H424" s="2" t="s">
        <v>18</v>
      </c>
      <c r="I424" s="2" t="s">
        <v>19</v>
      </c>
      <c r="J424" s="2" t="s">
        <v>20</v>
      </c>
      <c r="K424" s="2">
        <v>18000000</v>
      </c>
      <c r="L424" s="2">
        <v>216614388</v>
      </c>
      <c r="M424" s="2">
        <v>0</v>
      </c>
      <c r="N424" s="2">
        <v>0</v>
      </c>
    </row>
    <row r="425" spans="1:14" x14ac:dyDescent="0.3">
      <c r="A425" s="2">
        <v>224</v>
      </c>
      <c r="B425" s="2" t="s">
        <v>456</v>
      </c>
      <c r="C425" s="3">
        <v>39060</v>
      </c>
      <c r="D425" s="2">
        <v>141</v>
      </c>
      <c r="E425" s="2" t="s">
        <v>45</v>
      </c>
      <c r="F425" s="2" t="s">
        <v>311</v>
      </c>
      <c r="G425" s="2" t="s">
        <v>62</v>
      </c>
      <c r="H425" s="2" t="s">
        <v>18</v>
      </c>
      <c r="I425" s="2" t="s">
        <v>457</v>
      </c>
      <c r="J425" s="2">
        <v>15</v>
      </c>
      <c r="K425" s="2">
        <v>19000000</v>
      </c>
      <c r="L425" s="2">
        <v>68673228</v>
      </c>
      <c r="M425" s="2">
        <v>4</v>
      </c>
      <c r="N425" s="2">
        <v>1</v>
      </c>
    </row>
    <row r="426" spans="1:14" x14ac:dyDescent="0.3">
      <c r="A426" s="2">
        <v>225</v>
      </c>
      <c r="B426" s="2" t="s">
        <v>458</v>
      </c>
      <c r="C426" s="3">
        <v>30106</v>
      </c>
      <c r="D426" s="2">
        <v>113</v>
      </c>
      <c r="E426" s="2" t="s">
        <v>49</v>
      </c>
      <c r="F426" s="2" t="s">
        <v>381</v>
      </c>
      <c r="G426" s="2" t="s">
        <v>257</v>
      </c>
      <c r="H426" s="2" t="s">
        <v>18</v>
      </c>
      <c r="I426" s="2" t="s">
        <v>19</v>
      </c>
      <c r="J426" s="2">
        <v>12</v>
      </c>
      <c r="K426" s="2">
        <v>11200000</v>
      </c>
      <c r="L426" s="2">
        <v>97000000</v>
      </c>
      <c r="M426" s="2">
        <v>0</v>
      </c>
      <c r="N426" s="2">
        <v>0</v>
      </c>
    </row>
    <row r="427" spans="1:14" x14ac:dyDescent="0.3">
      <c r="A427" s="2">
        <v>229</v>
      </c>
      <c r="B427" s="2" t="s">
        <v>463</v>
      </c>
      <c r="C427" s="3">
        <v>28270</v>
      </c>
      <c r="D427" s="2">
        <v>121</v>
      </c>
      <c r="E427" s="2" t="s">
        <v>49</v>
      </c>
      <c r="F427" s="2" t="s">
        <v>139</v>
      </c>
      <c r="G427" s="2" t="s">
        <v>140</v>
      </c>
      <c r="H427" s="2" t="s">
        <v>18</v>
      </c>
      <c r="I427" s="2" t="s">
        <v>19</v>
      </c>
      <c r="J427" s="2" t="s">
        <v>63</v>
      </c>
      <c r="K427" s="2">
        <v>11000000</v>
      </c>
      <c r="L427" s="2">
        <v>775400000</v>
      </c>
      <c r="M427" s="2">
        <v>11</v>
      </c>
      <c r="N427" s="2">
        <v>7</v>
      </c>
    </row>
    <row r="428" spans="1:14" x14ac:dyDescent="0.3">
      <c r="A428" s="2">
        <v>230</v>
      </c>
      <c r="B428" s="2" t="s">
        <v>464</v>
      </c>
      <c r="C428" s="3">
        <v>30113</v>
      </c>
      <c r="D428" s="2">
        <v>115</v>
      </c>
      <c r="E428" s="2" t="s">
        <v>49</v>
      </c>
      <c r="F428" s="2" t="s">
        <v>16</v>
      </c>
      <c r="G428" s="2" t="s">
        <v>17</v>
      </c>
      <c r="H428" s="2" t="s">
        <v>18</v>
      </c>
      <c r="I428" s="2" t="s">
        <v>19</v>
      </c>
      <c r="J428" s="2" t="s">
        <v>63</v>
      </c>
      <c r="K428" s="2">
        <v>10500000</v>
      </c>
      <c r="L428" s="2">
        <v>792900000</v>
      </c>
      <c r="M428" s="2">
        <v>9</v>
      </c>
      <c r="N428" s="2">
        <v>4</v>
      </c>
    </row>
    <row r="429" spans="1:14" x14ac:dyDescent="0.3">
      <c r="A429" s="2">
        <v>232</v>
      </c>
      <c r="B429" s="2" t="s">
        <v>469</v>
      </c>
      <c r="C429" s="3">
        <v>24635</v>
      </c>
      <c r="D429" s="2">
        <v>117</v>
      </c>
      <c r="E429" s="2" t="s">
        <v>84</v>
      </c>
      <c r="F429" s="2" t="s">
        <v>356</v>
      </c>
      <c r="G429" s="2" t="s">
        <v>86</v>
      </c>
      <c r="H429" s="2" t="s">
        <v>18</v>
      </c>
      <c r="I429" s="2" t="s">
        <v>19</v>
      </c>
      <c r="J429" s="2" t="s">
        <v>20</v>
      </c>
      <c r="K429" s="2">
        <v>10300000</v>
      </c>
      <c r="L429" s="2">
        <v>111000000</v>
      </c>
      <c r="M429" s="2">
        <v>0</v>
      </c>
      <c r="N429" s="2">
        <v>0</v>
      </c>
    </row>
    <row r="430" spans="1:14" x14ac:dyDescent="0.3">
      <c r="A430" s="2">
        <v>234</v>
      </c>
      <c r="B430" s="2" t="s">
        <v>472</v>
      </c>
      <c r="C430" s="3">
        <v>29000</v>
      </c>
      <c r="D430" s="2">
        <v>117</v>
      </c>
      <c r="E430" s="2" t="s">
        <v>49</v>
      </c>
      <c r="F430" s="2" t="s">
        <v>160</v>
      </c>
      <c r="G430" s="2" t="s">
        <v>305</v>
      </c>
      <c r="H430" s="2" t="s">
        <v>18</v>
      </c>
      <c r="I430" s="2" t="s">
        <v>19</v>
      </c>
      <c r="J430" s="2">
        <v>18</v>
      </c>
      <c r="K430" s="2">
        <v>11000000</v>
      </c>
      <c r="L430" s="2">
        <v>203600000</v>
      </c>
      <c r="M430" s="2">
        <v>2</v>
      </c>
      <c r="N430" s="2">
        <v>1</v>
      </c>
    </row>
    <row r="431" spans="1:14" x14ac:dyDescent="0.3">
      <c r="A431" s="2">
        <v>237</v>
      </c>
      <c r="B431" s="2" t="s">
        <v>475</v>
      </c>
      <c r="C431" s="3">
        <v>34621</v>
      </c>
      <c r="D431" s="2">
        <v>154</v>
      </c>
      <c r="E431" s="2" t="s">
        <v>150</v>
      </c>
      <c r="F431" s="2" t="s">
        <v>302</v>
      </c>
      <c r="G431" s="2" t="s">
        <v>303</v>
      </c>
      <c r="H431" s="2" t="s">
        <v>18</v>
      </c>
      <c r="I431" s="2" t="s">
        <v>19</v>
      </c>
      <c r="J431" s="2">
        <v>18</v>
      </c>
      <c r="K431" s="2">
        <v>8500000</v>
      </c>
      <c r="L431" s="2">
        <v>213900000</v>
      </c>
      <c r="M431" s="2">
        <v>7</v>
      </c>
      <c r="N431" s="2">
        <v>1</v>
      </c>
    </row>
    <row r="432" spans="1:14" x14ac:dyDescent="0.3">
      <c r="A432" s="2">
        <v>240</v>
      </c>
      <c r="B432" s="2" t="s">
        <v>483</v>
      </c>
      <c r="C432" s="3">
        <v>35132</v>
      </c>
      <c r="D432" s="2">
        <v>98</v>
      </c>
      <c r="E432" s="2" t="s">
        <v>150</v>
      </c>
      <c r="F432" s="2" t="s">
        <v>290</v>
      </c>
      <c r="G432" s="2" t="s">
        <v>484</v>
      </c>
      <c r="H432" s="2" t="s">
        <v>18</v>
      </c>
      <c r="I432" s="2" t="s">
        <v>19</v>
      </c>
      <c r="J432" s="2">
        <v>18</v>
      </c>
      <c r="K432" s="2">
        <v>7000000</v>
      </c>
      <c r="L432" s="2">
        <v>60611975</v>
      </c>
      <c r="M432" s="2">
        <v>7</v>
      </c>
      <c r="N432" s="2">
        <v>2</v>
      </c>
    </row>
    <row r="433" spans="1:14" x14ac:dyDescent="0.3">
      <c r="A433" s="2">
        <v>243</v>
      </c>
      <c r="B433" s="2" t="s">
        <v>487</v>
      </c>
      <c r="C433" s="3">
        <v>38632</v>
      </c>
      <c r="D433" s="2">
        <v>93</v>
      </c>
      <c r="E433" s="2" t="s">
        <v>190</v>
      </c>
      <c r="F433" s="2" t="s">
        <v>488</v>
      </c>
      <c r="G433" s="2" t="s">
        <v>489</v>
      </c>
      <c r="H433" s="2" t="s">
        <v>18</v>
      </c>
      <c r="I433" s="2" t="s">
        <v>19</v>
      </c>
      <c r="J433" s="2" t="s">
        <v>20</v>
      </c>
      <c r="K433" s="2">
        <v>7000000</v>
      </c>
      <c r="L433" s="2">
        <v>56500000</v>
      </c>
      <c r="M433" s="2">
        <v>6</v>
      </c>
      <c r="N433" s="2">
        <v>0</v>
      </c>
    </row>
    <row r="434" spans="1:14" x14ac:dyDescent="0.3">
      <c r="A434" s="2">
        <v>244</v>
      </c>
      <c r="B434" s="2" t="s">
        <v>490</v>
      </c>
      <c r="C434" s="3">
        <v>31224</v>
      </c>
      <c r="D434" s="2">
        <v>116</v>
      </c>
      <c r="E434" s="2" t="s">
        <v>360</v>
      </c>
      <c r="F434" s="2" t="s">
        <v>311</v>
      </c>
      <c r="G434" s="2" t="s">
        <v>429</v>
      </c>
      <c r="H434" s="2" t="s">
        <v>18</v>
      </c>
      <c r="I434" s="2" t="s">
        <v>19</v>
      </c>
      <c r="J434" s="2">
        <v>15</v>
      </c>
      <c r="K434" s="2">
        <v>6900000</v>
      </c>
      <c r="L434" s="2">
        <v>41410568</v>
      </c>
      <c r="M434" s="2">
        <v>0</v>
      </c>
      <c r="N434" s="2">
        <v>0</v>
      </c>
    </row>
    <row r="435" spans="1:14" x14ac:dyDescent="0.3">
      <c r="A435" s="2">
        <v>245</v>
      </c>
      <c r="B435" s="2" t="s">
        <v>491</v>
      </c>
      <c r="C435" s="3">
        <v>30981</v>
      </c>
      <c r="D435" s="2">
        <v>108</v>
      </c>
      <c r="E435" s="2" t="s">
        <v>49</v>
      </c>
      <c r="F435" s="2" t="s">
        <v>35</v>
      </c>
      <c r="G435" s="2" t="s">
        <v>492</v>
      </c>
      <c r="H435" s="2" t="s">
        <v>18</v>
      </c>
      <c r="I435" s="2" t="s">
        <v>19</v>
      </c>
      <c r="J435" s="2">
        <v>15</v>
      </c>
      <c r="K435" s="2">
        <v>6400000</v>
      </c>
      <c r="L435" s="2">
        <v>78400000</v>
      </c>
      <c r="M435" s="2">
        <v>0</v>
      </c>
      <c r="N435" s="2">
        <v>0</v>
      </c>
    </row>
    <row r="436" spans="1:14" x14ac:dyDescent="0.3">
      <c r="A436" s="2">
        <v>246</v>
      </c>
      <c r="B436" s="2" t="s">
        <v>156</v>
      </c>
      <c r="C436" s="3">
        <v>20745</v>
      </c>
      <c r="D436" s="2">
        <v>183</v>
      </c>
      <c r="E436" s="2" t="s">
        <v>15</v>
      </c>
      <c r="F436" s="2" t="s">
        <v>493</v>
      </c>
      <c r="G436" s="2" t="s">
        <v>417</v>
      </c>
      <c r="H436" s="2" t="s">
        <v>18</v>
      </c>
      <c r="I436" s="2" t="s">
        <v>19</v>
      </c>
      <c r="J436" s="2" t="s">
        <v>63</v>
      </c>
      <c r="K436" s="2">
        <v>6000000</v>
      </c>
      <c r="L436" s="2">
        <v>42000000</v>
      </c>
      <c r="M436" s="2">
        <v>8</v>
      </c>
      <c r="N436" s="2">
        <v>5</v>
      </c>
    </row>
    <row r="437" spans="1:14" x14ac:dyDescent="0.3">
      <c r="A437" s="2">
        <v>249</v>
      </c>
      <c r="B437" s="2" t="s">
        <v>494</v>
      </c>
      <c r="C437" s="3">
        <v>34936</v>
      </c>
      <c r="D437" s="2">
        <v>106</v>
      </c>
      <c r="E437" s="2" t="s">
        <v>150</v>
      </c>
      <c r="F437" s="2" t="s">
        <v>31</v>
      </c>
      <c r="G437" s="2" t="s">
        <v>495</v>
      </c>
      <c r="H437" s="2" t="s">
        <v>18</v>
      </c>
      <c r="I437" s="2" t="s">
        <v>19</v>
      </c>
      <c r="J437" s="2">
        <v>18</v>
      </c>
      <c r="K437" s="2">
        <v>6000000</v>
      </c>
      <c r="L437" s="2">
        <v>23300000</v>
      </c>
      <c r="M437" s="2">
        <v>2</v>
      </c>
      <c r="N437" s="2">
        <v>2</v>
      </c>
    </row>
    <row r="438" spans="1:14" x14ac:dyDescent="0.3">
      <c r="A438" s="2">
        <v>250</v>
      </c>
      <c r="B438" s="2" t="s">
        <v>496</v>
      </c>
      <c r="C438" s="3">
        <v>36774</v>
      </c>
      <c r="D438" s="2">
        <v>113</v>
      </c>
      <c r="E438" s="2" t="s">
        <v>84</v>
      </c>
      <c r="F438" s="2" t="s">
        <v>79</v>
      </c>
      <c r="G438" s="2" t="s">
        <v>497</v>
      </c>
      <c r="H438" s="2" t="s">
        <v>18</v>
      </c>
      <c r="I438" s="2" t="s">
        <v>19</v>
      </c>
      <c r="J438" s="2">
        <v>15</v>
      </c>
      <c r="K438" s="2">
        <v>9000000</v>
      </c>
      <c r="L438" s="2">
        <v>39700000</v>
      </c>
      <c r="M438" s="2">
        <v>2</v>
      </c>
      <c r="N438" s="2">
        <v>0</v>
      </c>
    </row>
    <row r="439" spans="1:14" x14ac:dyDescent="0.3">
      <c r="A439" s="2">
        <v>254</v>
      </c>
      <c r="B439" s="2" t="s">
        <v>505</v>
      </c>
      <c r="C439" s="3">
        <v>23637</v>
      </c>
      <c r="D439" s="2">
        <v>110</v>
      </c>
      <c r="E439" s="2" t="s">
        <v>84</v>
      </c>
      <c r="F439" s="2" t="s">
        <v>482</v>
      </c>
      <c r="G439" s="2" t="s">
        <v>86</v>
      </c>
      <c r="H439" s="2" t="s">
        <v>18</v>
      </c>
      <c r="I439" s="2" t="s">
        <v>19</v>
      </c>
      <c r="J439" s="2" t="s">
        <v>20</v>
      </c>
      <c r="K439" s="2">
        <v>3000000</v>
      </c>
      <c r="L439" s="2">
        <v>124900000</v>
      </c>
      <c r="M439" s="2">
        <v>1</v>
      </c>
      <c r="N439" s="2">
        <v>1</v>
      </c>
    </row>
    <row r="440" spans="1:14" x14ac:dyDescent="0.3">
      <c r="A440" s="2">
        <v>257</v>
      </c>
      <c r="B440" s="2" t="s">
        <v>510</v>
      </c>
      <c r="C440" s="3">
        <v>33900</v>
      </c>
      <c r="D440" s="2">
        <v>99</v>
      </c>
      <c r="E440" s="2" t="s">
        <v>150</v>
      </c>
      <c r="F440" s="2" t="s">
        <v>302</v>
      </c>
      <c r="G440" s="2" t="s">
        <v>511</v>
      </c>
      <c r="H440" s="2" t="s">
        <v>18</v>
      </c>
      <c r="I440" s="2" t="s">
        <v>19</v>
      </c>
      <c r="J440" s="2">
        <v>18</v>
      </c>
      <c r="K440" s="2">
        <v>1200000</v>
      </c>
      <c r="L440" s="2">
        <v>22000000</v>
      </c>
      <c r="M440" s="2">
        <v>0</v>
      </c>
      <c r="N440" s="2">
        <v>0</v>
      </c>
    </row>
    <row r="441" spans="1:14" x14ac:dyDescent="0.3">
      <c r="A441" s="2">
        <v>259</v>
      </c>
      <c r="B441" s="2" t="s">
        <v>26</v>
      </c>
      <c r="C441" s="3">
        <v>12151</v>
      </c>
      <c r="D441" s="2">
        <v>100</v>
      </c>
      <c r="E441" s="2" t="s">
        <v>15</v>
      </c>
      <c r="F441" s="2" t="s">
        <v>513</v>
      </c>
      <c r="G441" s="2" t="s">
        <v>514</v>
      </c>
      <c r="H441" s="2" t="s">
        <v>18</v>
      </c>
      <c r="I441" s="2" t="s">
        <v>19</v>
      </c>
      <c r="J441" s="2" t="s">
        <v>20</v>
      </c>
      <c r="K441" s="2">
        <v>672000</v>
      </c>
      <c r="L441" s="2">
        <v>2847000</v>
      </c>
      <c r="M441" s="2">
        <v>0</v>
      </c>
      <c r="N441" s="2">
        <v>0</v>
      </c>
    </row>
    <row r="442" spans="1:14" x14ac:dyDescent="0.3">
      <c r="A442" s="2">
        <v>261</v>
      </c>
      <c r="B442" s="2" t="s">
        <v>519</v>
      </c>
      <c r="C442" s="3">
        <v>38240</v>
      </c>
      <c r="D442" s="2">
        <v>98</v>
      </c>
      <c r="E442" s="2" t="s">
        <v>520</v>
      </c>
      <c r="F442" s="2" t="s">
        <v>521</v>
      </c>
      <c r="G442" s="2" t="s">
        <v>522</v>
      </c>
      <c r="H442" s="2" t="s">
        <v>18</v>
      </c>
      <c r="I442" s="2" t="s">
        <v>19</v>
      </c>
      <c r="J442" s="2" t="s">
        <v>25</v>
      </c>
      <c r="K442" s="2">
        <v>65000</v>
      </c>
      <c r="L442" s="2">
        <v>29529368</v>
      </c>
      <c r="M442" s="2">
        <v>1</v>
      </c>
      <c r="N442" s="2">
        <v>0</v>
      </c>
    </row>
    <row r="443" spans="1:14" x14ac:dyDescent="0.3">
      <c r="A443" s="2">
        <v>267</v>
      </c>
      <c r="B443" s="2" t="s">
        <v>533</v>
      </c>
      <c r="C443" s="3">
        <v>39590</v>
      </c>
      <c r="D443" s="2">
        <v>122</v>
      </c>
      <c r="E443" s="2" t="s">
        <v>15</v>
      </c>
      <c r="F443" s="2" t="s">
        <v>16</v>
      </c>
      <c r="G443" s="2" t="s">
        <v>140</v>
      </c>
      <c r="H443" s="2" t="s">
        <v>18</v>
      </c>
      <c r="I443" s="2" t="s">
        <v>19</v>
      </c>
      <c r="J443" s="2" t="s">
        <v>25</v>
      </c>
      <c r="K443" s="2">
        <v>185000000</v>
      </c>
      <c r="L443" s="2">
        <v>786600000</v>
      </c>
      <c r="M443" s="2">
        <v>0</v>
      </c>
      <c r="N443" s="2">
        <v>0</v>
      </c>
    </row>
    <row r="444" spans="1:14" x14ac:dyDescent="0.3">
      <c r="A444" s="2">
        <v>270</v>
      </c>
      <c r="B444" s="2" t="s">
        <v>534</v>
      </c>
      <c r="C444" s="3">
        <v>41817</v>
      </c>
      <c r="D444" s="2">
        <v>165</v>
      </c>
      <c r="E444" s="2" t="s">
        <v>49</v>
      </c>
      <c r="F444" s="2" t="s">
        <v>46</v>
      </c>
      <c r="G444" s="2" t="s">
        <v>50</v>
      </c>
      <c r="H444" s="2" t="s">
        <v>18</v>
      </c>
      <c r="I444" s="2" t="s">
        <v>19</v>
      </c>
      <c r="J444" s="2" t="s">
        <v>25</v>
      </c>
      <c r="K444" s="2">
        <v>210000000</v>
      </c>
      <c r="L444" s="2">
        <v>1091000000</v>
      </c>
      <c r="M444" s="2">
        <v>0</v>
      </c>
      <c r="N444" s="2">
        <v>0</v>
      </c>
    </row>
    <row r="445" spans="1:14" x14ac:dyDescent="0.3">
      <c r="A445" s="2">
        <v>272</v>
      </c>
      <c r="B445" s="2" t="s">
        <v>536</v>
      </c>
      <c r="C445" s="3">
        <v>41852</v>
      </c>
      <c r="D445" s="2">
        <v>122</v>
      </c>
      <c r="E445" s="2" t="s">
        <v>49</v>
      </c>
      <c r="F445" s="2" t="s">
        <v>537</v>
      </c>
      <c r="G445" s="2" t="s">
        <v>24</v>
      </c>
      <c r="H445" s="2" t="s">
        <v>18</v>
      </c>
      <c r="I445" s="2" t="s">
        <v>19</v>
      </c>
      <c r="J445" s="2" t="s">
        <v>25</v>
      </c>
      <c r="K445" s="2">
        <v>195900000</v>
      </c>
      <c r="L445" s="2">
        <v>774200000</v>
      </c>
      <c r="M445" s="2">
        <v>2</v>
      </c>
      <c r="N445" s="2">
        <v>0</v>
      </c>
    </row>
    <row r="446" spans="1:14" x14ac:dyDescent="0.3">
      <c r="A446" s="2">
        <v>273</v>
      </c>
      <c r="B446" s="2" t="s">
        <v>538</v>
      </c>
      <c r="C446" s="3">
        <v>41787</v>
      </c>
      <c r="D446" s="2">
        <v>98</v>
      </c>
      <c r="E446" s="2" t="s">
        <v>52</v>
      </c>
      <c r="F446" s="2" t="s">
        <v>539</v>
      </c>
      <c r="G446" s="2" t="s">
        <v>66</v>
      </c>
      <c r="H446" s="2" t="s">
        <v>18</v>
      </c>
      <c r="I446" s="2" t="s">
        <v>19</v>
      </c>
      <c r="J446" s="2" t="s">
        <v>20</v>
      </c>
      <c r="K446" s="2">
        <v>180000000</v>
      </c>
      <c r="L446" s="2">
        <v>758400000</v>
      </c>
      <c r="M446" s="2">
        <v>1</v>
      </c>
      <c r="N446" s="2">
        <v>0</v>
      </c>
    </row>
    <row r="447" spans="1:14" x14ac:dyDescent="0.3">
      <c r="A447" s="2">
        <v>274</v>
      </c>
      <c r="B447" s="2" t="s">
        <v>540</v>
      </c>
      <c r="C447" s="3">
        <v>41781</v>
      </c>
      <c r="D447" s="2">
        <v>131</v>
      </c>
      <c r="E447" s="2" t="s">
        <v>22</v>
      </c>
      <c r="F447" s="2" t="s">
        <v>31</v>
      </c>
      <c r="G447" s="2" t="s">
        <v>24</v>
      </c>
      <c r="H447" s="2" t="s">
        <v>18</v>
      </c>
      <c r="I447" s="2" t="s">
        <v>19</v>
      </c>
      <c r="J447" s="2" t="s">
        <v>25</v>
      </c>
      <c r="K447" s="2">
        <v>200000000</v>
      </c>
      <c r="L447" s="2">
        <v>748100000</v>
      </c>
      <c r="M447" s="2">
        <v>0</v>
      </c>
      <c r="N447" s="2">
        <v>0</v>
      </c>
    </row>
    <row r="448" spans="1:14" x14ac:dyDescent="0.3">
      <c r="A448" s="2">
        <v>275</v>
      </c>
      <c r="B448" s="2" t="s">
        <v>541</v>
      </c>
      <c r="C448" s="3">
        <v>41733</v>
      </c>
      <c r="D448" s="2">
        <v>136</v>
      </c>
      <c r="E448" s="2" t="s">
        <v>22</v>
      </c>
      <c r="F448" s="2" t="s">
        <v>542</v>
      </c>
      <c r="G448" s="2" t="s">
        <v>24</v>
      </c>
      <c r="H448" s="2" t="s">
        <v>18</v>
      </c>
      <c r="I448" s="2" t="s">
        <v>19</v>
      </c>
      <c r="J448" s="2" t="s">
        <v>25</v>
      </c>
      <c r="K448" s="2">
        <v>170000000</v>
      </c>
      <c r="L448" s="2">
        <v>714400000</v>
      </c>
      <c r="M448" s="2">
        <v>1</v>
      </c>
      <c r="N448" s="2">
        <v>0</v>
      </c>
    </row>
    <row r="449" spans="1:14" x14ac:dyDescent="0.3">
      <c r="A449" s="2">
        <v>276</v>
      </c>
      <c r="B449" s="2" t="s">
        <v>543</v>
      </c>
      <c r="C449" s="3">
        <v>41953</v>
      </c>
      <c r="D449" s="2">
        <v>123</v>
      </c>
      <c r="E449" s="2" t="s">
        <v>15</v>
      </c>
      <c r="F449" s="2" t="s">
        <v>69</v>
      </c>
      <c r="G449" s="2" t="s">
        <v>544</v>
      </c>
      <c r="H449" s="2" t="s">
        <v>18</v>
      </c>
      <c r="I449" s="2" t="s">
        <v>19</v>
      </c>
      <c r="J449" s="2" t="s">
        <v>25</v>
      </c>
      <c r="K449" s="2">
        <v>125000000</v>
      </c>
      <c r="L449" s="2">
        <v>755400000</v>
      </c>
      <c r="M449" s="2">
        <v>0</v>
      </c>
      <c r="N449" s="2">
        <v>0</v>
      </c>
    </row>
    <row r="450" spans="1:14" x14ac:dyDescent="0.3">
      <c r="A450" s="2">
        <v>277</v>
      </c>
      <c r="B450" s="2" t="s">
        <v>545</v>
      </c>
      <c r="C450" s="3">
        <v>41739</v>
      </c>
      <c r="D450" s="2">
        <v>141</v>
      </c>
      <c r="E450" s="2" t="s">
        <v>22</v>
      </c>
      <c r="F450" s="2" t="s">
        <v>546</v>
      </c>
      <c r="G450" s="2" t="s">
        <v>24</v>
      </c>
      <c r="H450" s="2" t="s">
        <v>18</v>
      </c>
      <c r="I450" s="2" t="s">
        <v>19</v>
      </c>
      <c r="J450" s="2" t="s">
        <v>25</v>
      </c>
      <c r="K450" s="2">
        <v>255000000</v>
      </c>
      <c r="L450" s="2">
        <v>709000000</v>
      </c>
      <c r="M450" s="2">
        <v>0</v>
      </c>
      <c r="N450" s="2">
        <v>0</v>
      </c>
    </row>
    <row r="451" spans="1:14" x14ac:dyDescent="0.3">
      <c r="A451" s="2">
        <v>278</v>
      </c>
      <c r="B451" s="2" t="s">
        <v>547</v>
      </c>
      <c r="C451" s="3">
        <v>41831</v>
      </c>
      <c r="D451" s="2">
        <v>130</v>
      </c>
      <c r="E451" s="2" t="s">
        <v>22</v>
      </c>
      <c r="F451" s="2" t="s">
        <v>548</v>
      </c>
      <c r="G451" s="2" t="s">
        <v>549</v>
      </c>
      <c r="H451" s="2" t="s">
        <v>18</v>
      </c>
      <c r="I451" s="2" t="s">
        <v>19</v>
      </c>
      <c r="J451" s="2" t="s">
        <v>25</v>
      </c>
      <c r="K451" s="2">
        <v>170000000</v>
      </c>
      <c r="L451" s="2">
        <v>710600000</v>
      </c>
      <c r="M451" s="2">
        <v>1</v>
      </c>
      <c r="N451" s="2">
        <v>0</v>
      </c>
    </row>
    <row r="452" spans="1:14" x14ac:dyDescent="0.3">
      <c r="A452" s="2">
        <v>279</v>
      </c>
      <c r="B452" s="2" t="s">
        <v>550</v>
      </c>
      <c r="C452" s="3">
        <v>41950</v>
      </c>
      <c r="D452" s="2">
        <v>169</v>
      </c>
      <c r="E452" s="2" t="s">
        <v>49</v>
      </c>
      <c r="F452" s="2" t="s">
        <v>79</v>
      </c>
      <c r="G452" s="2" t="s">
        <v>32</v>
      </c>
      <c r="H452" s="2" t="s">
        <v>18</v>
      </c>
      <c r="I452" s="2" t="s">
        <v>19</v>
      </c>
      <c r="J452" s="2" t="s">
        <v>25</v>
      </c>
      <c r="K452" s="2">
        <v>165000000</v>
      </c>
      <c r="L452" s="2">
        <v>675100000</v>
      </c>
      <c r="M452" s="2">
        <v>5</v>
      </c>
      <c r="N452" s="2">
        <v>1</v>
      </c>
    </row>
    <row r="453" spans="1:14" x14ac:dyDescent="0.3">
      <c r="A453" s="2">
        <v>280</v>
      </c>
      <c r="B453" s="2" t="s">
        <v>551</v>
      </c>
      <c r="C453" s="3">
        <v>41605</v>
      </c>
      <c r="D453" s="2">
        <v>102</v>
      </c>
      <c r="E453" s="2" t="s">
        <v>60</v>
      </c>
      <c r="F453" s="2" t="s">
        <v>552</v>
      </c>
      <c r="G453" s="2" t="s">
        <v>66</v>
      </c>
      <c r="H453" s="2" t="s">
        <v>18</v>
      </c>
      <c r="I453" s="2" t="s">
        <v>19</v>
      </c>
      <c r="J453" s="2" t="s">
        <v>20</v>
      </c>
      <c r="K453" s="2">
        <v>150000000</v>
      </c>
      <c r="L453" s="2">
        <v>1276000000</v>
      </c>
      <c r="M453" s="2">
        <v>2</v>
      </c>
      <c r="N453" s="2">
        <v>2</v>
      </c>
    </row>
    <row r="454" spans="1:14" x14ac:dyDescent="0.3">
      <c r="A454" s="2">
        <v>281</v>
      </c>
      <c r="B454" s="2" t="s">
        <v>553</v>
      </c>
      <c r="C454" s="3">
        <v>41397</v>
      </c>
      <c r="D454" s="2">
        <v>130</v>
      </c>
      <c r="E454" s="2" t="s">
        <v>22</v>
      </c>
      <c r="F454" s="2" t="s">
        <v>554</v>
      </c>
      <c r="G454" s="2" t="s">
        <v>24</v>
      </c>
      <c r="H454" s="2" t="s">
        <v>18</v>
      </c>
      <c r="I454" s="2" t="s">
        <v>19</v>
      </c>
      <c r="J454" s="2" t="s">
        <v>25</v>
      </c>
      <c r="K454" s="2">
        <v>200000000</v>
      </c>
      <c r="L454" s="2">
        <v>1215000000</v>
      </c>
      <c r="M454" s="2">
        <v>1</v>
      </c>
      <c r="N454" s="2">
        <v>0</v>
      </c>
    </row>
    <row r="455" spans="1:14" x14ac:dyDescent="0.3">
      <c r="A455" s="2">
        <v>282</v>
      </c>
      <c r="B455" s="2" t="s">
        <v>555</v>
      </c>
      <c r="C455" s="3">
        <v>41458</v>
      </c>
      <c r="D455" s="2">
        <v>98</v>
      </c>
      <c r="E455" s="2" t="s">
        <v>60</v>
      </c>
      <c r="F455" s="2" t="s">
        <v>556</v>
      </c>
      <c r="G455" s="2" t="s">
        <v>557</v>
      </c>
      <c r="H455" s="2" t="s">
        <v>18</v>
      </c>
      <c r="I455" s="2" t="s">
        <v>19</v>
      </c>
      <c r="J455" s="2" t="s">
        <v>63</v>
      </c>
      <c r="K455" s="2">
        <v>76000000</v>
      </c>
      <c r="L455" s="2">
        <v>970800000</v>
      </c>
      <c r="M455" s="2">
        <v>2</v>
      </c>
      <c r="N455" s="2">
        <v>0</v>
      </c>
    </row>
    <row r="456" spans="1:14" x14ac:dyDescent="0.3">
      <c r="A456" s="2">
        <v>284</v>
      </c>
      <c r="B456" s="2" t="s">
        <v>559</v>
      </c>
      <c r="C456" s="3">
        <v>41589</v>
      </c>
      <c r="D456" s="2">
        <v>146</v>
      </c>
      <c r="E456" s="2" t="s">
        <v>15</v>
      </c>
      <c r="F456" s="2" t="s">
        <v>69</v>
      </c>
      <c r="G456" s="2" t="s">
        <v>544</v>
      </c>
      <c r="H456" s="2" t="s">
        <v>18</v>
      </c>
      <c r="I456" s="2" t="s">
        <v>19</v>
      </c>
      <c r="J456" s="2" t="s">
        <v>25</v>
      </c>
      <c r="K456" s="2">
        <v>130000000</v>
      </c>
      <c r="L456" s="2">
        <v>865000000</v>
      </c>
      <c r="M456" s="2">
        <v>0</v>
      </c>
      <c r="N456" s="2">
        <v>0</v>
      </c>
    </row>
    <row r="457" spans="1:14" x14ac:dyDescent="0.3">
      <c r="A457" s="2">
        <v>285</v>
      </c>
      <c r="B457" s="2" t="s">
        <v>560</v>
      </c>
      <c r="C457" s="3">
        <v>41401</v>
      </c>
      <c r="D457" s="2">
        <v>130</v>
      </c>
      <c r="E457" s="2" t="s">
        <v>22</v>
      </c>
      <c r="F457" s="2" t="s">
        <v>561</v>
      </c>
      <c r="G457" s="2" t="s">
        <v>97</v>
      </c>
      <c r="H457" s="2" t="s">
        <v>18</v>
      </c>
      <c r="I457" s="2" t="s">
        <v>19</v>
      </c>
      <c r="J457" s="2" t="s">
        <v>25</v>
      </c>
      <c r="K457" s="2">
        <v>160000000</v>
      </c>
      <c r="L457" s="2">
        <v>788700000</v>
      </c>
      <c r="M457" s="2">
        <v>0</v>
      </c>
      <c r="N457" s="2">
        <v>0</v>
      </c>
    </row>
    <row r="458" spans="1:14" x14ac:dyDescent="0.3">
      <c r="A458" s="2">
        <v>286</v>
      </c>
      <c r="B458" s="2" t="s">
        <v>562</v>
      </c>
      <c r="C458" s="3">
        <v>41446</v>
      </c>
      <c r="D458" s="2">
        <v>104</v>
      </c>
      <c r="E458" s="2" t="s">
        <v>60</v>
      </c>
      <c r="F458" s="2" t="s">
        <v>563</v>
      </c>
      <c r="G458" s="2" t="s">
        <v>143</v>
      </c>
      <c r="H458" s="2" t="s">
        <v>18</v>
      </c>
      <c r="I458" s="2" t="s">
        <v>19</v>
      </c>
      <c r="J458" s="2" t="s">
        <v>63</v>
      </c>
      <c r="K458" s="2">
        <v>200000000</v>
      </c>
      <c r="L458" s="2">
        <v>743600000</v>
      </c>
      <c r="M458" s="2">
        <v>0</v>
      </c>
      <c r="N458" s="2">
        <v>0</v>
      </c>
    </row>
    <row r="459" spans="1:14" x14ac:dyDescent="0.3">
      <c r="A459" s="2">
        <v>287</v>
      </c>
      <c r="B459" s="2" t="s">
        <v>564</v>
      </c>
      <c r="C459" s="3">
        <v>41551</v>
      </c>
      <c r="D459" s="2">
        <v>91</v>
      </c>
      <c r="E459" s="2" t="s">
        <v>49</v>
      </c>
      <c r="F459" s="2" t="s">
        <v>113</v>
      </c>
      <c r="G459" s="2" t="s">
        <v>54</v>
      </c>
      <c r="H459" s="2" t="s">
        <v>18</v>
      </c>
      <c r="I459" s="2" t="s">
        <v>19</v>
      </c>
      <c r="J459" s="2" t="s">
        <v>25</v>
      </c>
      <c r="K459" s="2">
        <v>100000000</v>
      </c>
      <c r="L459" s="2">
        <v>723200000</v>
      </c>
      <c r="M459" s="2">
        <v>10</v>
      </c>
      <c r="N459" s="2">
        <v>7</v>
      </c>
    </row>
    <row r="460" spans="1:14" x14ac:dyDescent="0.3">
      <c r="A460" s="2">
        <v>288</v>
      </c>
      <c r="B460" s="2" t="s">
        <v>565</v>
      </c>
      <c r="C460" s="3">
        <v>41439</v>
      </c>
      <c r="D460" s="2">
        <v>143</v>
      </c>
      <c r="E460" s="2" t="s">
        <v>22</v>
      </c>
      <c r="F460" s="2" t="s">
        <v>291</v>
      </c>
      <c r="G460" s="2" t="s">
        <v>32</v>
      </c>
      <c r="H460" s="2" t="s">
        <v>18</v>
      </c>
      <c r="I460" s="2" t="s">
        <v>19</v>
      </c>
      <c r="J460" s="2" t="s">
        <v>25</v>
      </c>
      <c r="K460" s="2">
        <v>225000000</v>
      </c>
      <c r="L460" s="2">
        <v>668000000</v>
      </c>
      <c r="M460" s="2">
        <v>0</v>
      </c>
      <c r="N460" s="2">
        <v>0</v>
      </c>
    </row>
    <row r="461" spans="1:14" x14ac:dyDescent="0.3">
      <c r="A461" s="2">
        <v>289</v>
      </c>
      <c r="B461" s="2" t="s">
        <v>566</v>
      </c>
      <c r="C461" s="3">
        <v>41569</v>
      </c>
      <c r="D461" s="2">
        <v>112</v>
      </c>
      <c r="E461" s="2" t="s">
        <v>22</v>
      </c>
      <c r="F461" s="2" t="s">
        <v>567</v>
      </c>
      <c r="G461" s="2" t="s">
        <v>24</v>
      </c>
      <c r="H461" s="2" t="s">
        <v>18</v>
      </c>
      <c r="I461" s="2" t="s">
        <v>19</v>
      </c>
      <c r="J461" s="2" t="s">
        <v>25</v>
      </c>
      <c r="K461" s="2">
        <v>170000000</v>
      </c>
      <c r="L461" s="2">
        <v>644600000</v>
      </c>
      <c r="M461" s="2">
        <v>0</v>
      </c>
      <c r="N461" s="2">
        <v>0</v>
      </c>
    </row>
    <row r="462" spans="1:14" x14ac:dyDescent="0.3">
      <c r="A462" s="2">
        <v>290</v>
      </c>
      <c r="B462" s="2" t="s">
        <v>568</v>
      </c>
      <c r="C462" s="3">
        <v>41033</v>
      </c>
      <c r="D462" s="2">
        <v>143</v>
      </c>
      <c r="E462" s="2" t="s">
        <v>22</v>
      </c>
      <c r="F462" s="2" t="s">
        <v>341</v>
      </c>
      <c r="G462" s="2" t="s">
        <v>24</v>
      </c>
      <c r="H462" s="2" t="s">
        <v>18</v>
      </c>
      <c r="I462" s="2" t="s">
        <v>19</v>
      </c>
      <c r="J462" s="2" t="s">
        <v>25</v>
      </c>
      <c r="K462" s="2">
        <v>220000000</v>
      </c>
      <c r="L462" s="2">
        <v>1520000000</v>
      </c>
      <c r="M462" s="2">
        <v>1</v>
      </c>
      <c r="N462" s="2">
        <v>0</v>
      </c>
    </row>
    <row r="463" spans="1:14" x14ac:dyDescent="0.3">
      <c r="A463" s="2">
        <v>292</v>
      </c>
      <c r="B463" s="2" t="s">
        <v>570</v>
      </c>
      <c r="C463" s="3">
        <v>41110</v>
      </c>
      <c r="D463" s="2">
        <v>165</v>
      </c>
      <c r="E463" s="2" t="s">
        <v>22</v>
      </c>
      <c r="F463" s="2" t="s">
        <v>79</v>
      </c>
      <c r="G463" s="2" t="s">
        <v>32</v>
      </c>
      <c r="H463" s="2" t="s">
        <v>18</v>
      </c>
      <c r="I463" s="2" t="s">
        <v>19</v>
      </c>
      <c r="J463" s="2" t="s">
        <v>25</v>
      </c>
      <c r="K463" s="2">
        <v>230000000</v>
      </c>
      <c r="L463" s="2">
        <v>1085000000</v>
      </c>
      <c r="M463" s="2">
        <v>0</v>
      </c>
      <c r="N463" s="2">
        <v>0</v>
      </c>
    </row>
    <row r="464" spans="1:14" x14ac:dyDescent="0.3">
      <c r="A464" s="2">
        <v>294</v>
      </c>
      <c r="B464" s="2" t="s">
        <v>572</v>
      </c>
      <c r="C464" s="3">
        <v>41087</v>
      </c>
      <c r="D464" s="2">
        <v>88</v>
      </c>
      <c r="E464" s="2" t="s">
        <v>60</v>
      </c>
      <c r="F464" s="2" t="s">
        <v>573</v>
      </c>
      <c r="G464" s="2" t="s">
        <v>36</v>
      </c>
      <c r="H464" s="2" t="s">
        <v>18</v>
      </c>
      <c r="I464" s="2" t="s">
        <v>19</v>
      </c>
      <c r="J464" s="2" t="s">
        <v>63</v>
      </c>
      <c r="K464" s="2">
        <v>95000000</v>
      </c>
      <c r="L464" s="2">
        <v>877200000</v>
      </c>
      <c r="M464" s="2">
        <v>0</v>
      </c>
      <c r="N464" s="2">
        <v>0</v>
      </c>
    </row>
    <row r="465" spans="1:14" x14ac:dyDescent="0.3">
      <c r="A465" s="2">
        <v>295</v>
      </c>
      <c r="B465" s="2" t="s">
        <v>574</v>
      </c>
      <c r="C465" s="3">
        <v>41229</v>
      </c>
      <c r="D465" s="2">
        <v>115</v>
      </c>
      <c r="E465" s="2" t="s">
        <v>575</v>
      </c>
      <c r="F465" s="2" t="s">
        <v>576</v>
      </c>
      <c r="G465" s="2" t="s">
        <v>497</v>
      </c>
      <c r="H465" s="2" t="s">
        <v>18</v>
      </c>
      <c r="I465" s="2" t="s">
        <v>19</v>
      </c>
      <c r="J465" s="2" t="s">
        <v>25</v>
      </c>
      <c r="K465" s="2">
        <v>120000000</v>
      </c>
      <c r="L465" s="2">
        <v>829700000</v>
      </c>
      <c r="M465" s="2">
        <v>0</v>
      </c>
      <c r="N465" s="2">
        <v>0</v>
      </c>
    </row>
    <row r="466" spans="1:14" x14ac:dyDescent="0.3">
      <c r="A466" s="2">
        <v>296</v>
      </c>
      <c r="B466" s="2" t="s">
        <v>577</v>
      </c>
      <c r="C466" s="3">
        <v>41093</v>
      </c>
      <c r="D466" s="2">
        <v>136</v>
      </c>
      <c r="E466" s="2" t="s">
        <v>22</v>
      </c>
      <c r="F466" s="2" t="s">
        <v>546</v>
      </c>
      <c r="G466" s="2" t="s">
        <v>24</v>
      </c>
      <c r="H466" s="2" t="s">
        <v>18</v>
      </c>
      <c r="I466" s="2" t="s">
        <v>19</v>
      </c>
      <c r="J466" s="2" t="s">
        <v>25</v>
      </c>
      <c r="K466" s="2">
        <v>230000000</v>
      </c>
      <c r="L466" s="2">
        <v>757900000</v>
      </c>
      <c r="M466" s="2">
        <v>0</v>
      </c>
      <c r="N466" s="2">
        <v>0</v>
      </c>
    </row>
    <row r="467" spans="1:14" x14ac:dyDescent="0.3">
      <c r="A467" s="2">
        <v>297</v>
      </c>
      <c r="B467" s="2" t="s">
        <v>578</v>
      </c>
      <c r="C467" s="3">
        <v>41068</v>
      </c>
      <c r="D467" s="2">
        <v>93</v>
      </c>
      <c r="E467" s="2" t="s">
        <v>60</v>
      </c>
      <c r="F467" s="2" t="s">
        <v>579</v>
      </c>
      <c r="G467" s="2" t="s">
        <v>62</v>
      </c>
      <c r="H467" s="2" t="s">
        <v>18</v>
      </c>
      <c r="I467" s="2" t="s">
        <v>19</v>
      </c>
      <c r="J467" s="2" t="s">
        <v>20</v>
      </c>
      <c r="K467" s="2">
        <v>145000000</v>
      </c>
      <c r="L467" s="2">
        <v>746900000</v>
      </c>
      <c r="M467" s="2">
        <v>0</v>
      </c>
      <c r="N467" s="2">
        <v>0</v>
      </c>
    </row>
    <row r="468" spans="1:14" x14ac:dyDescent="0.3">
      <c r="A468" s="2">
        <v>298</v>
      </c>
      <c r="B468" s="2" t="s">
        <v>580</v>
      </c>
      <c r="C468" s="3">
        <v>40991</v>
      </c>
      <c r="D468" s="2">
        <v>142</v>
      </c>
      <c r="E468" s="2" t="s">
        <v>49</v>
      </c>
      <c r="F468" s="2" t="s">
        <v>581</v>
      </c>
      <c r="G468" s="2" t="s">
        <v>544</v>
      </c>
      <c r="H468" s="2" t="s">
        <v>18</v>
      </c>
      <c r="I468" s="2" t="s">
        <v>19</v>
      </c>
      <c r="J468" s="2" t="s">
        <v>25</v>
      </c>
      <c r="K468" s="2">
        <v>78000000</v>
      </c>
      <c r="L468" s="2">
        <v>694400000</v>
      </c>
      <c r="M468" s="2">
        <v>0</v>
      </c>
      <c r="N468" s="2">
        <v>0</v>
      </c>
    </row>
    <row r="469" spans="1:14" x14ac:dyDescent="0.3">
      <c r="A469" s="2">
        <v>299</v>
      </c>
      <c r="B469" s="2" t="s">
        <v>582</v>
      </c>
      <c r="C469" s="3">
        <v>41054</v>
      </c>
      <c r="D469" s="2">
        <v>106</v>
      </c>
      <c r="E469" s="2" t="s">
        <v>49</v>
      </c>
      <c r="F469" s="2" t="s">
        <v>92</v>
      </c>
      <c r="G469" s="2" t="s">
        <v>17</v>
      </c>
      <c r="H469" s="2" t="s">
        <v>18</v>
      </c>
      <c r="I469" s="2" t="s">
        <v>19</v>
      </c>
      <c r="J469" s="2" t="s">
        <v>20</v>
      </c>
      <c r="K469" s="2">
        <v>215000000</v>
      </c>
      <c r="L469" s="2">
        <v>624000000</v>
      </c>
      <c r="M469" s="2">
        <v>0</v>
      </c>
      <c r="N469" s="2">
        <v>0</v>
      </c>
    </row>
    <row r="470" spans="1:14" x14ac:dyDescent="0.3">
      <c r="A470" s="2">
        <v>301</v>
      </c>
      <c r="B470" s="2" t="s">
        <v>584</v>
      </c>
      <c r="C470" s="3">
        <v>40723</v>
      </c>
      <c r="D470" s="2">
        <v>157</v>
      </c>
      <c r="E470" s="2" t="s">
        <v>49</v>
      </c>
      <c r="F470" s="2" t="s">
        <v>46</v>
      </c>
      <c r="G470" s="2" t="s">
        <v>50</v>
      </c>
      <c r="H470" s="2" t="s">
        <v>18</v>
      </c>
      <c r="I470" s="2" t="s">
        <v>19</v>
      </c>
      <c r="J470" s="2" t="s">
        <v>25</v>
      </c>
      <c r="K470" s="2">
        <v>195000000</v>
      </c>
      <c r="L470" s="2">
        <v>1124000000</v>
      </c>
      <c r="M470" s="2">
        <v>3</v>
      </c>
      <c r="N470" s="2">
        <v>0</v>
      </c>
    </row>
    <row r="471" spans="1:14" x14ac:dyDescent="0.3">
      <c r="A471" s="2">
        <v>302</v>
      </c>
      <c r="B471" s="2" t="s">
        <v>585</v>
      </c>
      <c r="C471" s="3">
        <v>40683</v>
      </c>
      <c r="D471" s="2">
        <v>137</v>
      </c>
      <c r="E471" s="2" t="s">
        <v>15</v>
      </c>
      <c r="F471" s="2" t="s">
        <v>586</v>
      </c>
      <c r="G471" s="2" t="s">
        <v>66</v>
      </c>
      <c r="H471" s="2" t="s">
        <v>18</v>
      </c>
      <c r="I471" s="2" t="s">
        <v>19</v>
      </c>
      <c r="J471" s="2" t="s">
        <v>25</v>
      </c>
      <c r="K471" s="2">
        <v>378500000</v>
      </c>
      <c r="L471" s="2">
        <v>1046000000</v>
      </c>
      <c r="M471" s="2">
        <v>0</v>
      </c>
      <c r="N471" s="2">
        <v>0</v>
      </c>
    </row>
    <row r="472" spans="1:14" x14ac:dyDescent="0.3">
      <c r="A472" s="2">
        <v>303</v>
      </c>
      <c r="B472" s="2" t="s">
        <v>587</v>
      </c>
      <c r="C472" s="3">
        <v>40865</v>
      </c>
      <c r="D472" s="2">
        <v>117</v>
      </c>
      <c r="E472" s="2" t="s">
        <v>575</v>
      </c>
      <c r="F472" s="2" t="s">
        <v>576</v>
      </c>
      <c r="G472" s="2" t="s">
        <v>588</v>
      </c>
      <c r="H472" s="2" t="s">
        <v>18</v>
      </c>
      <c r="I472" s="2" t="s">
        <v>19</v>
      </c>
      <c r="J472" s="2" t="s">
        <v>25</v>
      </c>
      <c r="K472" s="2">
        <v>110000000</v>
      </c>
      <c r="L472" s="2">
        <v>712200000</v>
      </c>
      <c r="M472" s="2">
        <v>0</v>
      </c>
      <c r="N472" s="2">
        <v>0</v>
      </c>
    </row>
    <row r="473" spans="1:14" x14ac:dyDescent="0.3">
      <c r="A473" s="2">
        <v>304</v>
      </c>
      <c r="B473" s="2" t="s">
        <v>589</v>
      </c>
      <c r="C473" s="3">
        <v>40893</v>
      </c>
      <c r="D473" s="2">
        <v>133</v>
      </c>
      <c r="E473" s="2" t="s">
        <v>84</v>
      </c>
      <c r="F473" s="2" t="s">
        <v>72</v>
      </c>
      <c r="G473" s="2" t="s">
        <v>590</v>
      </c>
      <c r="H473" s="2" t="s">
        <v>18</v>
      </c>
      <c r="I473" s="2" t="s">
        <v>19</v>
      </c>
      <c r="J473" s="2" t="s">
        <v>25</v>
      </c>
      <c r="K473" s="2">
        <v>145000000</v>
      </c>
      <c r="L473" s="2">
        <v>694700000</v>
      </c>
      <c r="M473" s="2">
        <v>0</v>
      </c>
      <c r="N473" s="2">
        <v>0</v>
      </c>
    </row>
    <row r="474" spans="1:14" x14ac:dyDescent="0.3">
      <c r="A474" s="2">
        <v>305</v>
      </c>
      <c r="B474" s="2" t="s">
        <v>591</v>
      </c>
      <c r="C474" s="3">
        <v>40689</v>
      </c>
      <c r="D474" s="2">
        <v>90</v>
      </c>
      <c r="E474" s="2" t="s">
        <v>60</v>
      </c>
      <c r="F474" s="2" t="s">
        <v>592</v>
      </c>
      <c r="G474" s="2" t="s">
        <v>62</v>
      </c>
      <c r="H474" s="2" t="s">
        <v>18</v>
      </c>
      <c r="I474" s="2" t="s">
        <v>19</v>
      </c>
      <c r="J474" s="2" t="s">
        <v>20</v>
      </c>
      <c r="K474" s="2">
        <v>150000000</v>
      </c>
      <c r="L474" s="2">
        <v>665700000</v>
      </c>
      <c r="M474" s="2">
        <v>1</v>
      </c>
      <c r="N474" s="2">
        <v>0</v>
      </c>
    </row>
    <row r="475" spans="1:14" x14ac:dyDescent="0.3">
      <c r="A475" s="2">
        <v>306</v>
      </c>
      <c r="B475" s="2" t="s">
        <v>593</v>
      </c>
      <c r="C475" s="3">
        <v>40662</v>
      </c>
      <c r="D475" s="2">
        <v>130</v>
      </c>
      <c r="E475" s="2" t="s">
        <v>22</v>
      </c>
      <c r="F475" s="2" t="s">
        <v>561</v>
      </c>
      <c r="G475" s="2" t="s">
        <v>97</v>
      </c>
      <c r="H475" s="2" t="s">
        <v>18</v>
      </c>
      <c r="I475" s="2" t="s">
        <v>19</v>
      </c>
      <c r="J475" s="2" t="s">
        <v>25</v>
      </c>
      <c r="K475" s="2">
        <v>125000000</v>
      </c>
      <c r="L475" s="2">
        <v>626100000</v>
      </c>
      <c r="M475" s="2">
        <v>0</v>
      </c>
      <c r="N475" s="2">
        <v>0</v>
      </c>
    </row>
    <row r="476" spans="1:14" x14ac:dyDescent="0.3">
      <c r="A476" s="2">
        <v>307</v>
      </c>
      <c r="B476" s="2" t="s">
        <v>594</v>
      </c>
      <c r="C476" s="3">
        <v>40689</v>
      </c>
      <c r="D476" s="2">
        <v>102</v>
      </c>
      <c r="E476" s="2" t="s">
        <v>38</v>
      </c>
      <c r="F476" s="2" t="s">
        <v>287</v>
      </c>
      <c r="G476" s="2" t="s">
        <v>32</v>
      </c>
      <c r="H476" s="2" t="s">
        <v>18</v>
      </c>
      <c r="I476" s="2" t="s">
        <v>19</v>
      </c>
      <c r="J476" s="2">
        <v>15</v>
      </c>
      <c r="K476" s="2">
        <v>80000000</v>
      </c>
      <c r="L476" s="2">
        <v>586800000</v>
      </c>
      <c r="M476" s="2">
        <v>0</v>
      </c>
      <c r="N476" s="2">
        <v>0</v>
      </c>
    </row>
    <row r="477" spans="1:14" x14ac:dyDescent="0.3">
      <c r="A477" s="2">
        <v>308</v>
      </c>
      <c r="B477" s="2" t="s">
        <v>595</v>
      </c>
      <c r="C477" s="3">
        <v>40753</v>
      </c>
      <c r="D477" s="2">
        <v>103</v>
      </c>
      <c r="E477" s="2" t="s">
        <v>60</v>
      </c>
      <c r="F477" s="2" t="s">
        <v>596</v>
      </c>
      <c r="G477" s="2" t="s">
        <v>597</v>
      </c>
      <c r="H477" s="2" t="s">
        <v>18</v>
      </c>
      <c r="I477" s="2" t="s">
        <v>19</v>
      </c>
      <c r="J477" s="2" t="s">
        <v>63</v>
      </c>
      <c r="K477" s="2">
        <v>110000000</v>
      </c>
      <c r="L477" s="2">
        <v>563700000</v>
      </c>
      <c r="M477" s="2">
        <v>0</v>
      </c>
      <c r="N477" s="2">
        <v>0</v>
      </c>
    </row>
    <row r="478" spans="1:14" x14ac:dyDescent="0.3">
      <c r="A478" s="2">
        <v>309</v>
      </c>
      <c r="B478" s="2" t="s">
        <v>598</v>
      </c>
      <c r="C478" s="3">
        <v>40718</v>
      </c>
      <c r="D478" s="2">
        <v>106</v>
      </c>
      <c r="E478" s="2" t="s">
        <v>60</v>
      </c>
      <c r="F478" s="2" t="s">
        <v>599</v>
      </c>
      <c r="G478" s="2" t="s">
        <v>143</v>
      </c>
      <c r="H478" s="2" t="s">
        <v>18</v>
      </c>
      <c r="I478" s="2" t="s">
        <v>19</v>
      </c>
      <c r="J478" s="2" t="s">
        <v>63</v>
      </c>
      <c r="K478" s="2">
        <v>200000000</v>
      </c>
      <c r="L478" s="2">
        <v>559900000</v>
      </c>
      <c r="M478" s="2">
        <v>0</v>
      </c>
      <c r="N478" s="2">
        <v>0</v>
      </c>
    </row>
    <row r="479" spans="1:14" x14ac:dyDescent="0.3">
      <c r="A479" s="2">
        <v>310</v>
      </c>
      <c r="B479" s="2" t="s">
        <v>600</v>
      </c>
      <c r="C479" s="3">
        <v>40347</v>
      </c>
      <c r="D479" s="2">
        <v>103</v>
      </c>
      <c r="E479" s="2" t="s">
        <v>60</v>
      </c>
      <c r="F479" s="2" t="s">
        <v>601</v>
      </c>
      <c r="G479" s="2" t="s">
        <v>143</v>
      </c>
      <c r="H479" s="2" t="s">
        <v>18</v>
      </c>
      <c r="I479" s="2" t="s">
        <v>19</v>
      </c>
      <c r="J479" s="2" t="s">
        <v>63</v>
      </c>
      <c r="K479" s="2">
        <v>200000000</v>
      </c>
      <c r="L479" s="2">
        <v>1063000000</v>
      </c>
      <c r="M479" s="2">
        <v>5</v>
      </c>
      <c r="N479" s="2">
        <v>2</v>
      </c>
    </row>
    <row r="480" spans="1:14" x14ac:dyDescent="0.3">
      <c r="A480" s="2">
        <v>313</v>
      </c>
      <c r="B480" s="2" t="s">
        <v>604</v>
      </c>
      <c r="C480" s="3">
        <v>40375</v>
      </c>
      <c r="D480" s="2">
        <v>148</v>
      </c>
      <c r="E480" s="2" t="s">
        <v>49</v>
      </c>
      <c r="F480" s="2" t="s">
        <v>79</v>
      </c>
      <c r="G480" s="2" t="s">
        <v>32</v>
      </c>
      <c r="H480" s="2" t="s">
        <v>18</v>
      </c>
      <c r="I480" s="2" t="s">
        <v>19</v>
      </c>
      <c r="J480" s="2" t="s">
        <v>25</v>
      </c>
      <c r="K480" s="2">
        <v>160000000</v>
      </c>
      <c r="L480" s="2">
        <v>825500000</v>
      </c>
      <c r="M480" s="2">
        <v>8</v>
      </c>
      <c r="N480" s="2">
        <v>4</v>
      </c>
    </row>
    <row r="481" spans="1:14" x14ac:dyDescent="0.3">
      <c r="A481" s="2">
        <v>314</v>
      </c>
      <c r="B481" s="2" t="s">
        <v>605</v>
      </c>
      <c r="C481" s="3">
        <v>40319</v>
      </c>
      <c r="D481" s="2">
        <v>93</v>
      </c>
      <c r="E481" s="2" t="s">
        <v>60</v>
      </c>
      <c r="F481" s="2" t="s">
        <v>606</v>
      </c>
      <c r="G481" s="2" t="s">
        <v>62</v>
      </c>
      <c r="H481" s="2" t="s">
        <v>18</v>
      </c>
      <c r="I481" s="2" t="s">
        <v>19</v>
      </c>
      <c r="J481" s="2" t="s">
        <v>63</v>
      </c>
      <c r="K481" s="2">
        <v>135000000</v>
      </c>
      <c r="L481" s="2">
        <v>753000000</v>
      </c>
      <c r="M481" s="2">
        <v>0</v>
      </c>
      <c r="N481" s="2">
        <v>0</v>
      </c>
    </row>
    <row r="482" spans="1:14" x14ac:dyDescent="0.3">
      <c r="A482" s="2">
        <v>315</v>
      </c>
      <c r="B482" s="2" t="s">
        <v>607</v>
      </c>
      <c r="C482" s="3">
        <v>40359</v>
      </c>
      <c r="D482" s="2">
        <v>123</v>
      </c>
      <c r="E482" s="2" t="s">
        <v>575</v>
      </c>
      <c r="F482" s="2" t="s">
        <v>608</v>
      </c>
      <c r="G482" s="2" t="s">
        <v>588</v>
      </c>
      <c r="H482" s="2" t="s">
        <v>18</v>
      </c>
      <c r="I482" s="2" t="s">
        <v>19</v>
      </c>
      <c r="J482" s="2" t="s">
        <v>25</v>
      </c>
      <c r="K482" s="2">
        <v>68000000</v>
      </c>
      <c r="L482" s="2">
        <v>698500000</v>
      </c>
      <c r="M482" s="2">
        <v>0</v>
      </c>
      <c r="N482" s="2">
        <v>0</v>
      </c>
    </row>
    <row r="483" spans="1:14" x14ac:dyDescent="0.3">
      <c r="A483" s="2">
        <v>316</v>
      </c>
      <c r="B483" s="2" t="s">
        <v>609</v>
      </c>
      <c r="C483" s="3">
        <v>40305</v>
      </c>
      <c r="D483" s="2">
        <v>125</v>
      </c>
      <c r="E483" s="2" t="s">
        <v>22</v>
      </c>
      <c r="F483" s="2" t="s">
        <v>610</v>
      </c>
      <c r="G483" s="2" t="s">
        <v>24</v>
      </c>
      <c r="H483" s="2" t="s">
        <v>18</v>
      </c>
      <c r="I483" s="2" t="s">
        <v>19</v>
      </c>
      <c r="J483" s="2" t="s">
        <v>25</v>
      </c>
      <c r="K483" s="2">
        <v>200000000</v>
      </c>
      <c r="L483" s="2">
        <v>623900000</v>
      </c>
      <c r="M483" s="2">
        <v>1</v>
      </c>
      <c r="N483" s="2">
        <v>0</v>
      </c>
    </row>
    <row r="484" spans="1:14" x14ac:dyDescent="0.3">
      <c r="A484" s="2">
        <v>317</v>
      </c>
      <c r="B484" s="2" t="s">
        <v>611</v>
      </c>
      <c r="C484" s="3">
        <v>40506</v>
      </c>
      <c r="D484" s="2">
        <v>100</v>
      </c>
      <c r="E484" s="2" t="s">
        <v>60</v>
      </c>
      <c r="F484" s="2" t="s">
        <v>612</v>
      </c>
      <c r="G484" s="2" t="s">
        <v>66</v>
      </c>
      <c r="H484" s="2" t="s">
        <v>18</v>
      </c>
      <c r="I484" s="2" t="s">
        <v>19</v>
      </c>
      <c r="J484" s="2" t="s">
        <v>20</v>
      </c>
      <c r="K484" s="2">
        <v>260000000</v>
      </c>
      <c r="L484" s="2">
        <v>591800000</v>
      </c>
      <c r="M484" s="2">
        <v>1</v>
      </c>
      <c r="N484" s="2">
        <v>0</v>
      </c>
    </row>
    <row r="485" spans="1:14" x14ac:dyDescent="0.3">
      <c r="A485" s="2">
        <v>318</v>
      </c>
      <c r="B485" s="2" t="s">
        <v>613</v>
      </c>
      <c r="C485" s="3">
        <v>40368</v>
      </c>
      <c r="D485" s="2">
        <v>95</v>
      </c>
      <c r="E485" s="2" t="s">
        <v>60</v>
      </c>
      <c r="F485" s="2" t="s">
        <v>556</v>
      </c>
      <c r="G485" s="2" t="s">
        <v>557</v>
      </c>
      <c r="H485" s="2" t="s">
        <v>18</v>
      </c>
      <c r="I485" s="2" t="s">
        <v>19</v>
      </c>
      <c r="J485" s="2" t="s">
        <v>63</v>
      </c>
      <c r="K485" s="2">
        <v>69000000</v>
      </c>
      <c r="L485" s="2">
        <v>543200000</v>
      </c>
      <c r="M485" s="2">
        <v>0</v>
      </c>
      <c r="N485" s="2">
        <v>0</v>
      </c>
    </row>
    <row r="486" spans="1:14" x14ac:dyDescent="0.3">
      <c r="A486" s="2">
        <v>319</v>
      </c>
      <c r="B486" s="2" t="s">
        <v>614</v>
      </c>
      <c r="C486" s="3">
        <v>40263</v>
      </c>
      <c r="D486" s="2">
        <v>98</v>
      </c>
      <c r="E486" s="2" t="s">
        <v>60</v>
      </c>
      <c r="F486" s="2" t="s">
        <v>615</v>
      </c>
      <c r="G486" s="2" t="s">
        <v>62</v>
      </c>
      <c r="H486" s="2" t="s">
        <v>18</v>
      </c>
      <c r="I486" s="2" t="s">
        <v>19</v>
      </c>
      <c r="J486" s="2" t="s">
        <v>20</v>
      </c>
      <c r="K486" s="2">
        <v>165000000</v>
      </c>
      <c r="L486" s="2">
        <v>494900000</v>
      </c>
      <c r="M486" s="2">
        <v>2</v>
      </c>
      <c r="N486" s="2">
        <v>0</v>
      </c>
    </row>
    <row r="487" spans="1:14" x14ac:dyDescent="0.3">
      <c r="A487" s="2">
        <v>320</v>
      </c>
      <c r="B487" s="2" t="s">
        <v>616</v>
      </c>
      <c r="C487" s="3">
        <v>40164</v>
      </c>
      <c r="D487" s="2">
        <v>161</v>
      </c>
      <c r="E487" s="2" t="s">
        <v>49</v>
      </c>
      <c r="F487" s="2" t="s">
        <v>35</v>
      </c>
      <c r="G487" s="2" t="s">
        <v>188</v>
      </c>
      <c r="H487" s="2" t="s">
        <v>18</v>
      </c>
      <c r="I487" s="2" t="s">
        <v>19</v>
      </c>
      <c r="J487" s="2" t="s">
        <v>25</v>
      </c>
      <c r="K487" s="2">
        <v>237000000</v>
      </c>
      <c r="L487" s="2">
        <v>2788000000</v>
      </c>
      <c r="M487" s="2">
        <v>9</v>
      </c>
      <c r="N487" s="2">
        <v>3</v>
      </c>
    </row>
    <row r="488" spans="1:14" x14ac:dyDescent="0.3">
      <c r="A488" s="2">
        <v>322</v>
      </c>
      <c r="B488" s="2" t="s">
        <v>618</v>
      </c>
      <c r="C488" s="3">
        <v>39995</v>
      </c>
      <c r="D488" s="2">
        <v>94</v>
      </c>
      <c r="E488" s="2" t="s">
        <v>60</v>
      </c>
      <c r="F488" s="2" t="s">
        <v>619</v>
      </c>
      <c r="G488" s="2" t="s">
        <v>36</v>
      </c>
      <c r="H488" s="2" t="s">
        <v>18</v>
      </c>
      <c r="I488" s="2" t="s">
        <v>19</v>
      </c>
      <c r="J488" s="2" t="s">
        <v>63</v>
      </c>
      <c r="K488" s="2">
        <v>90000000</v>
      </c>
      <c r="L488" s="2">
        <v>886700000</v>
      </c>
      <c r="M488" s="2">
        <v>0</v>
      </c>
      <c r="N488" s="2">
        <v>0</v>
      </c>
    </row>
    <row r="489" spans="1:14" x14ac:dyDescent="0.3">
      <c r="A489" s="2">
        <v>323</v>
      </c>
      <c r="B489" s="2" t="s">
        <v>620</v>
      </c>
      <c r="C489" s="3">
        <v>39983</v>
      </c>
      <c r="D489" s="2">
        <v>150</v>
      </c>
      <c r="E489" s="2" t="s">
        <v>49</v>
      </c>
      <c r="F489" s="2" t="s">
        <v>46</v>
      </c>
      <c r="G489" s="2" t="s">
        <v>50</v>
      </c>
      <c r="H489" s="2" t="s">
        <v>18</v>
      </c>
      <c r="I489" s="2" t="s">
        <v>19</v>
      </c>
      <c r="J489" s="2" t="s">
        <v>25</v>
      </c>
      <c r="K489" s="2">
        <v>200000000</v>
      </c>
      <c r="L489" s="2">
        <v>836300000</v>
      </c>
      <c r="M489" s="2">
        <v>1</v>
      </c>
      <c r="N489" s="2">
        <v>0</v>
      </c>
    </row>
    <row r="490" spans="1:14" x14ac:dyDescent="0.3">
      <c r="A490" s="2">
        <v>324</v>
      </c>
      <c r="B490" s="2">
        <v>2012</v>
      </c>
      <c r="C490" s="3">
        <v>40130</v>
      </c>
      <c r="D490" s="2">
        <v>158</v>
      </c>
      <c r="E490" s="2" t="s">
        <v>621</v>
      </c>
      <c r="F490" s="2" t="s">
        <v>123</v>
      </c>
      <c r="G490" s="2" t="s">
        <v>124</v>
      </c>
      <c r="H490" s="2" t="s">
        <v>18</v>
      </c>
      <c r="I490" s="2" t="s">
        <v>19</v>
      </c>
      <c r="J490" s="2" t="s">
        <v>25</v>
      </c>
      <c r="K490" s="2">
        <v>200000000</v>
      </c>
      <c r="L490" s="2">
        <v>769700000</v>
      </c>
      <c r="M490" s="2">
        <v>0</v>
      </c>
      <c r="N490" s="2">
        <v>0</v>
      </c>
    </row>
    <row r="491" spans="1:14" x14ac:dyDescent="0.3">
      <c r="A491" s="2">
        <v>325</v>
      </c>
      <c r="B491" s="2" t="s">
        <v>622</v>
      </c>
      <c r="C491" s="3">
        <v>39962</v>
      </c>
      <c r="D491" s="2">
        <v>96</v>
      </c>
      <c r="E491" s="2" t="s">
        <v>60</v>
      </c>
      <c r="F491" s="2" t="s">
        <v>142</v>
      </c>
      <c r="G491" s="2" t="s">
        <v>143</v>
      </c>
      <c r="H491" s="2" t="s">
        <v>18</v>
      </c>
      <c r="I491" s="2" t="s">
        <v>19</v>
      </c>
      <c r="J491" s="2" t="s">
        <v>63</v>
      </c>
      <c r="K491" s="2">
        <v>175000000</v>
      </c>
      <c r="L491" s="2">
        <v>731400000</v>
      </c>
      <c r="M491" s="2">
        <v>5</v>
      </c>
      <c r="N491" s="2">
        <v>2</v>
      </c>
    </row>
    <row r="492" spans="1:14" x14ac:dyDescent="0.3">
      <c r="A492" s="2">
        <v>326</v>
      </c>
      <c r="B492" s="2" t="s">
        <v>623</v>
      </c>
      <c r="C492" s="3">
        <v>40137</v>
      </c>
      <c r="D492" s="2">
        <v>130</v>
      </c>
      <c r="E492" s="2" t="s">
        <v>575</v>
      </c>
      <c r="F492" s="2" t="s">
        <v>624</v>
      </c>
      <c r="G492" s="2" t="s">
        <v>588</v>
      </c>
      <c r="H492" s="2" t="s">
        <v>18</v>
      </c>
      <c r="I492" s="2" t="s">
        <v>19</v>
      </c>
      <c r="J492" s="2" t="s">
        <v>25</v>
      </c>
      <c r="K492" s="2">
        <v>50000000</v>
      </c>
      <c r="L492" s="2">
        <v>709700000</v>
      </c>
      <c r="M492" s="2">
        <v>0</v>
      </c>
      <c r="N492" s="2">
        <v>0</v>
      </c>
    </row>
    <row r="493" spans="1:14" x14ac:dyDescent="0.3">
      <c r="A493" s="2">
        <v>328</v>
      </c>
      <c r="B493" s="2" t="s">
        <v>627</v>
      </c>
      <c r="C493" s="3">
        <v>39948</v>
      </c>
      <c r="D493" s="2">
        <v>138</v>
      </c>
      <c r="E493" s="2" t="s">
        <v>117</v>
      </c>
      <c r="F493" s="2" t="s">
        <v>118</v>
      </c>
      <c r="G493" s="2" t="s">
        <v>119</v>
      </c>
      <c r="H493" s="2" t="s">
        <v>18</v>
      </c>
      <c r="I493" s="2" t="s">
        <v>19</v>
      </c>
      <c r="J493" s="2">
        <v>15</v>
      </c>
      <c r="K493" s="2">
        <v>150000000</v>
      </c>
      <c r="L493" s="2">
        <v>485900000</v>
      </c>
      <c r="M493" s="2">
        <v>0</v>
      </c>
      <c r="N493" s="2">
        <v>0</v>
      </c>
    </row>
    <row r="494" spans="1:14" x14ac:dyDescent="0.3">
      <c r="A494" s="2">
        <v>329</v>
      </c>
      <c r="B494" s="2" t="s">
        <v>628</v>
      </c>
      <c r="C494" s="3">
        <v>39969</v>
      </c>
      <c r="D494" s="2">
        <v>100</v>
      </c>
      <c r="E494" s="2" t="s">
        <v>38</v>
      </c>
      <c r="F494" s="2" t="s">
        <v>287</v>
      </c>
      <c r="G494" s="2" t="s">
        <v>32</v>
      </c>
      <c r="H494" s="2" t="s">
        <v>18</v>
      </c>
      <c r="I494" s="2" t="s">
        <v>19</v>
      </c>
      <c r="J494" s="2">
        <v>15</v>
      </c>
      <c r="K494" s="2">
        <v>35000000</v>
      </c>
      <c r="L494" s="2">
        <v>467500000</v>
      </c>
      <c r="M494" s="2">
        <v>0</v>
      </c>
      <c r="N494" s="2">
        <v>0</v>
      </c>
    </row>
    <row r="495" spans="1:14" x14ac:dyDescent="0.3">
      <c r="A495" s="2">
        <v>330</v>
      </c>
      <c r="B495" s="2" t="s">
        <v>629</v>
      </c>
      <c r="C495" s="3">
        <v>39653</v>
      </c>
      <c r="D495" s="2">
        <v>152</v>
      </c>
      <c r="E495" s="2" t="s">
        <v>22</v>
      </c>
      <c r="F495" s="2" t="s">
        <v>79</v>
      </c>
      <c r="G495" s="2" t="s">
        <v>32</v>
      </c>
      <c r="H495" s="2" t="s">
        <v>18</v>
      </c>
      <c r="I495" s="2" t="s">
        <v>19</v>
      </c>
      <c r="J495" s="2" t="s">
        <v>25</v>
      </c>
      <c r="K495" s="2">
        <v>185000000</v>
      </c>
      <c r="L495" s="2">
        <v>1005000000</v>
      </c>
      <c r="M495" s="2">
        <v>8</v>
      </c>
      <c r="N495" s="2">
        <v>2</v>
      </c>
    </row>
    <row r="496" spans="1:14" x14ac:dyDescent="0.3">
      <c r="A496" s="2">
        <v>332</v>
      </c>
      <c r="B496" s="2" t="s">
        <v>630</v>
      </c>
      <c r="C496" s="3">
        <v>39605</v>
      </c>
      <c r="D496" s="2">
        <v>92</v>
      </c>
      <c r="E496" s="2" t="s">
        <v>60</v>
      </c>
      <c r="F496" s="2" t="s">
        <v>631</v>
      </c>
      <c r="G496" s="2" t="s">
        <v>62</v>
      </c>
      <c r="H496" s="2" t="s">
        <v>18</v>
      </c>
      <c r="I496" s="2" t="s">
        <v>19</v>
      </c>
      <c r="J496" s="2" t="s">
        <v>20</v>
      </c>
      <c r="K496" s="2">
        <v>130000000</v>
      </c>
      <c r="L496" s="2">
        <v>631700000</v>
      </c>
      <c r="M496" s="2">
        <v>1</v>
      </c>
      <c r="N496" s="2">
        <v>0</v>
      </c>
    </row>
    <row r="497" spans="1:14" x14ac:dyDescent="0.3">
      <c r="A497" s="2">
        <v>333</v>
      </c>
      <c r="B497" s="2" t="s">
        <v>632</v>
      </c>
      <c r="C497" s="3">
        <v>39631</v>
      </c>
      <c r="D497" s="2">
        <v>92</v>
      </c>
      <c r="E497" s="2" t="s">
        <v>22</v>
      </c>
      <c r="F497" s="2" t="s">
        <v>633</v>
      </c>
      <c r="G497" s="2" t="s">
        <v>634</v>
      </c>
      <c r="H497" s="2" t="s">
        <v>18</v>
      </c>
      <c r="I497" s="2" t="s">
        <v>19</v>
      </c>
      <c r="J497" s="2" t="s">
        <v>25</v>
      </c>
      <c r="K497" s="2">
        <v>150000000</v>
      </c>
      <c r="L497" s="2">
        <v>624300000</v>
      </c>
      <c r="M497" s="2">
        <v>0</v>
      </c>
      <c r="N497" s="2">
        <v>0</v>
      </c>
    </row>
    <row r="498" spans="1:14" x14ac:dyDescent="0.3">
      <c r="A498" s="2">
        <v>335</v>
      </c>
      <c r="B498" s="2" t="s">
        <v>639</v>
      </c>
      <c r="C498" s="3">
        <v>39759</v>
      </c>
      <c r="D498" s="2">
        <v>89</v>
      </c>
      <c r="E498" s="2" t="s">
        <v>60</v>
      </c>
      <c r="F498" s="2" t="s">
        <v>579</v>
      </c>
      <c r="G498" s="2" t="s">
        <v>62</v>
      </c>
      <c r="H498" s="2" t="s">
        <v>18</v>
      </c>
      <c r="I498" s="2" t="s">
        <v>19</v>
      </c>
      <c r="J498" s="2" t="s">
        <v>20</v>
      </c>
      <c r="K498" s="2">
        <v>150000000</v>
      </c>
      <c r="L498" s="2">
        <v>602300000</v>
      </c>
      <c r="M498" s="2">
        <v>0</v>
      </c>
      <c r="N498" s="2">
        <v>0</v>
      </c>
    </row>
    <row r="499" spans="1:14" x14ac:dyDescent="0.3">
      <c r="A499" s="2">
        <v>337</v>
      </c>
      <c r="B499" s="2" t="s">
        <v>642</v>
      </c>
      <c r="C499" s="3">
        <v>39570</v>
      </c>
      <c r="D499" s="2">
        <v>126</v>
      </c>
      <c r="E499" s="2" t="s">
        <v>22</v>
      </c>
      <c r="F499" s="2" t="s">
        <v>610</v>
      </c>
      <c r="G499" s="2" t="s">
        <v>24</v>
      </c>
      <c r="H499" s="2" t="s">
        <v>18</v>
      </c>
      <c r="I499" s="2" t="s">
        <v>19</v>
      </c>
      <c r="J499" s="2" t="s">
        <v>25</v>
      </c>
      <c r="K499" s="2">
        <v>140000000</v>
      </c>
      <c r="L499" s="2">
        <v>585200000</v>
      </c>
      <c r="M499" s="2">
        <v>2</v>
      </c>
      <c r="N499" s="2">
        <v>0</v>
      </c>
    </row>
    <row r="500" spans="1:14" x14ac:dyDescent="0.3">
      <c r="A500" s="2">
        <v>338</v>
      </c>
      <c r="B500" s="2" t="s">
        <v>643</v>
      </c>
      <c r="C500" s="3">
        <v>39626</v>
      </c>
      <c r="D500" s="2">
        <v>98</v>
      </c>
      <c r="E500" s="2" t="s">
        <v>60</v>
      </c>
      <c r="F500" s="2" t="s">
        <v>644</v>
      </c>
      <c r="G500" s="2" t="s">
        <v>143</v>
      </c>
      <c r="H500" s="2" t="s">
        <v>18</v>
      </c>
      <c r="I500" s="2" t="s">
        <v>19</v>
      </c>
      <c r="J500" s="2" t="s">
        <v>63</v>
      </c>
      <c r="K500" s="2">
        <v>180000000</v>
      </c>
      <c r="L500" s="2">
        <v>521300000</v>
      </c>
      <c r="M500" s="2">
        <v>6</v>
      </c>
      <c r="N500" s="2">
        <v>1</v>
      </c>
    </row>
    <row r="501" spans="1:14" x14ac:dyDescent="0.3">
      <c r="A501" s="2">
        <v>340</v>
      </c>
      <c r="B501" s="2" t="s">
        <v>646</v>
      </c>
      <c r="C501" s="3">
        <v>39437</v>
      </c>
      <c r="D501" s="2">
        <v>124</v>
      </c>
      <c r="E501" s="2" t="s">
        <v>15</v>
      </c>
      <c r="F501" s="2" t="s">
        <v>647</v>
      </c>
      <c r="G501" s="2" t="s">
        <v>648</v>
      </c>
      <c r="H501" s="2" t="s">
        <v>18</v>
      </c>
      <c r="I501" s="2" t="s">
        <v>19</v>
      </c>
      <c r="J501" s="2" t="s">
        <v>20</v>
      </c>
      <c r="K501" s="2">
        <v>130000000</v>
      </c>
      <c r="L501" s="2">
        <v>457400000</v>
      </c>
      <c r="M501" s="2">
        <v>0</v>
      </c>
      <c r="N501" s="2">
        <v>0</v>
      </c>
    </row>
    <row r="502" spans="1:14" x14ac:dyDescent="0.3">
      <c r="A502" s="2">
        <v>341</v>
      </c>
      <c r="B502" s="2" t="s">
        <v>649</v>
      </c>
      <c r="C502" s="3">
        <v>39736</v>
      </c>
      <c r="D502" s="2">
        <v>122</v>
      </c>
      <c r="E502" s="2" t="s">
        <v>190</v>
      </c>
      <c r="F502" s="2" t="s">
        <v>118</v>
      </c>
      <c r="G502" s="2" t="s">
        <v>119</v>
      </c>
      <c r="H502" s="2" t="s">
        <v>18</v>
      </c>
      <c r="I502" s="2" t="s">
        <v>19</v>
      </c>
      <c r="J502" s="2">
        <v>15</v>
      </c>
      <c r="K502" s="2">
        <v>25000000</v>
      </c>
      <c r="L502" s="2">
        <v>27400000</v>
      </c>
      <c r="M502" s="2">
        <v>5</v>
      </c>
      <c r="N502" s="2">
        <v>0</v>
      </c>
    </row>
    <row r="503" spans="1:14" x14ac:dyDescent="0.3">
      <c r="A503" s="2">
        <v>342</v>
      </c>
      <c r="B503" s="2" t="s">
        <v>650</v>
      </c>
      <c r="C503" s="3">
        <v>38807</v>
      </c>
      <c r="D503" s="2">
        <v>91</v>
      </c>
      <c r="E503" s="2" t="s">
        <v>60</v>
      </c>
      <c r="F503" s="2" t="s">
        <v>619</v>
      </c>
      <c r="G503" s="2" t="s">
        <v>36</v>
      </c>
      <c r="H503" s="2" t="s">
        <v>18</v>
      </c>
      <c r="I503" s="2" t="s">
        <v>19</v>
      </c>
      <c r="J503" s="2" t="s">
        <v>63</v>
      </c>
      <c r="K503" s="2">
        <v>80000000</v>
      </c>
      <c r="L503" s="2">
        <v>660900000</v>
      </c>
      <c r="M503" s="2">
        <v>0</v>
      </c>
      <c r="N503" s="2">
        <v>0</v>
      </c>
    </row>
    <row r="504" spans="1:14" x14ac:dyDescent="0.3">
      <c r="A504" s="2">
        <v>343</v>
      </c>
      <c r="B504" s="2" t="s">
        <v>651</v>
      </c>
      <c r="C504" s="3">
        <v>39073</v>
      </c>
      <c r="D504" s="2">
        <v>108</v>
      </c>
      <c r="E504" s="2" t="s">
        <v>15</v>
      </c>
      <c r="F504" s="2" t="s">
        <v>652</v>
      </c>
      <c r="G504" s="2" t="s">
        <v>415</v>
      </c>
      <c r="H504" s="2" t="s">
        <v>18</v>
      </c>
      <c r="I504" s="2" t="s">
        <v>19</v>
      </c>
      <c r="J504" s="2" t="s">
        <v>20</v>
      </c>
      <c r="K504" s="2">
        <v>110000000</v>
      </c>
      <c r="L504" s="2">
        <v>574500000</v>
      </c>
      <c r="M504" s="2">
        <v>0</v>
      </c>
      <c r="N504" s="2">
        <v>0</v>
      </c>
    </row>
    <row r="505" spans="1:14" x14ac:dyDescent="0.3">
      <c r="A505" s="2">
        <v>344</v>
      </c>
      <c r="B505" s="2" t="s">
        <v>653</v>
      </c>
      <c r="C505" s="3">
        <v>38877</v>
      </c>
      <c r="D505" s="2">
        <v>116</v>
      </c>
      <c r="E505" s="2" t="s">
        <v>60</v>
      </c>
      <c r="F505" s="2" t="s">
        <v>599</v>
      </c>
      <c r="G505" s="2" t="s">
        <v>143</v>
      </c>
      <c r="H505" s="2" t="s">
        <v>18</v>
      </c>
      <c r="I505" s="2" t="s">
        <v>19</v>
      </c>
      <c r="J505" s="2" t="s">
        <v>20</v>
      </c>
      <c r="K505" s="2">
        <v>120000000</v>
      </c>
      <c r="L505" s="2">
        <v>462000000</v>
      </c>
      <c r="M505" s="2">
        <v>2</v>
      </c>
      <c r="N505" s="2">
        <v>0</v>
      </c>
    </row>
    <row r="506" spans="1:14" x14ac:dyDescent="0.3">
      <c r="A506" s="2">
        <v>347</v>
      </c>
      <c r="B506" s="2" t="s">
        <v>658</v>
      </c>
      <c r="C506" s="3">
        <v>38499</v>
      </c>
      <c r="D506" s="2">
        <v>86</v>
      </c>
      <c r="E506" s="2" t="s">
        <v>60</v>
      </c>
      <c r="F506" s="2" t="s">
        <v>579</v>
      </c>
      <c r="G506" s="2" t="s">
        <v>62</v>
      </c>
      <c r="H506" s="2" t="s">
        <v>18</v>
      </c>
      <c r="I506" s="2" t="s">
        <v>19</v>
      </c>
      <c r="J506" s="2" t="s">
        <v>63</v>
      </c>
      <c r="K506" s="2">
        <v>75000000</v>
      </c>
      <c r="L506" s="2">
        <v>532700000</v>
      </c>
      <c r="M506" s="2">
        <v>0</v>
      </c>
      <c r="N506" s="2">
        <v>0</v>
      </c>
    </row>
    <row r="507" spans="1:14" x14ac:dyDescent="0.3">
      <c r="A507" s="2">
        <v>348</v>
      </c>
      <c r="B507" s="2" t="s">
        <v>659</v>
      </c>
      <c r="C507" s="3">
        <v>38394</v>
      </c>
      <c r="D507" s="2">
        <v>118</v>
      </c>
      <c r="E507" s="2" t="s">
        <v>34</v>
      </c>
      <c r="F507" s="2" t="s">
        <v>660</v>
      </c>
      <c r="G507" s="2" t="s">
        <v>661</v>
      </c>
      <c r="H507" s="2" t="s">
        <v>18</v>
      </c>
      <c r="I507" s="2" t="s">
        <v>19</v>
      </c>
      <c r="J507" s="2" t="s">
        <v>25</v>
      </c>
      <c r="K507" s="2">
        <v>70000000</v>
      </c>
      <c r="L507" s="2">
        <v>368100000</v>
      </c>
      <c r="M507" s="2">
        <v>0</v>
      </c>
      <c r="N507" s="2">
        <v>0</v>
      </c>
    </row>
    <row r="508" spans="1:14" x14ac:dyDescent="0.3">
      <c r="A508" s="2">
        <v>349</v>
      </c>
      <c r="B508" s="2" t="s">
        <v>662</v>
      </c>
      <c r="C508" s="3">
        <v>38296</v>
      </c>
      <c r="D508" s="2">
        <v>115</v>
      </c>
      <c r="E508" s="2" t="s">
        <v>60</v>
      </c>
      <c r="F508" s="2" t="s">
        <v>72</v>
      </c>
      <c r="G508" s="2" t="s">
        <v>143</v>
      </c>
      <c r="H508" s="2" t="s">
        <v>18</v>
      </c>
      <c r="I508" s="2" t="s">
        <v>19</v>
      </c>
      <c r="J508" s="2" t="s">
        <v>63</v>
      </c>
      <c r="K508" s="2">
        <v>92000000</v>
      </c>
      <c r="L508" s="2">
        <v>633000000</v>
      </c>
      <c r="M508" s="2">
        <v>4</v>
      </c>
      <c r="N508" s="2">
        <v>2</v>
      </c>
    </row>
    <row r="509" spans="1:14" x14ac:dyDescent="0.3">
      <c r="A509" s="2">
        <v>350</v>
      </c>
      <c r="B509" s="2" t="s">
        <v>663</v>
      </c>
      <c r="C509" s="3">
        <v>38343</v>
      </c>
      <c r="D509" s="2">
        <v>115</v>
      </c>
      <c r="E509" s="2" t="s">
        <v>38</v>
      </c>
      <c r="F509" s="2" t="s">
        <v>664</v>
      </c>
      <c r="G509" s="2" t="s">
        <v>665</v>
      </c>
      <c r="H509" s="2" t="s">
        <v>18</v>
      </c>
      <c r="I509" s="2" t="s">
        <v>19</v>
      </c>
      <c r="J509" s="2" t="s">
        <v>25</v>
      </c>
      <c r="K509" s="2">
        <v>80000000</v>
      </c>
      <c r="L509" s="2">
        <v>516000000</v>
      </c>
      <c r="M509" s="2">
        <v>0</v>
      </c>
      <c r="N509" s="2">
        <v>0</v>
      </c>
    </row>
    <row r="510" spans="1:14" x14ac:dyDescent="0.3">
      <c r="A510" s="2">
        <v>351</v>
      </c>
      <c r="B510" s="2" t="s">
        <v>666</v>
      </c>
      <c r="C510" s="3">
        <v>38261</v>
      </c>
      <c r="D510" s="2">
        <v>90</v>
      </c>
      <c r="E510" s="2" t="s">
        <v>60</v>
      </c>
      <c r="F510" s="2" t="s">
        <v>667</v>
      </c>
      <c r="G510" s="2" t="s">
        <v>62</v>
      </c>
      <c r="H510" s="2" t="s">
        <v>18</v>
      </c>
      <c r="I510" s="2" t="s">
        <v>19</v>
      </c>
      <c r="J510" s="2" t="s">
        <v>63</v>
      </c>
      <c r="K510" s="2">
        <v>75000000</v>
      </c>
      <c r="L510" s="2">
        <v>367300000</v>
      </c>
      <c r="M510" s="2">
        <v>1</v>
      </c>
      <c r="N510" s="2">
        <v>0</v>
      </c>
    </row>
    <row r="511" spans="1:14" x14ac:dyDescent="0.3">
      <c r="A511" s="2">
        <v>352</v>
      </c>
      <c r="B511" s="2" t="s">
        <v>668</v>
      </c>
      <c r="C511" s="3">
        <v>37771</v>
      </c>
      <c r="D511" s="2">
        <v>100</v>
      </c>
      <c r="E511" s="2" t="s">
        <v>60</v>
      </c>
      <c r="F511" s="2" t="s">
        <v>644</v>
      </c>
      <c r="G511" s="2" t="s">
        <v>143</v>
      </c>
      <c r="H511" s="2" t="s">
        <v>18</v>
      </c>
      <c r="I511" s="2" t="s">
        <v>19</v>
      </c>
      <c r="J511" s="2" t="s">
        <v>63</v>
      </c>
      <c r="K511" s="2">
        <v>94000000</v>
      </c>
      <c r="L511" s="2">
        <v>940300000</v>
      </c>
      <c r="M511" s="2">
        <v>4</v>
      </c>
      <c r="N511" s="2">
        <v>1</v>
      </c>
    </row>
    <row r="512" spans="1:14" x14ac:dyDescent="0.3">
      <c r="A512" s="2">
        <v>353</v>
      </c>
      <c r="B512" s="2" t="s">
        <v>669</v>
      </c>
      <c r="C512" s="3">
        <v>37804</v>
      </c>
      <c r="D512" s="2">
        <v>109</v>
      </c>
      <c r="E512" s="2" t="s">
        <v>49</v>
      </c>
      <c r="F512" s="2" t="s">
        <v>670</v>
      </c>
      <c r="G512" s="2" t="s">
        <v>671</v>
      </c>
      <c r="H512" s="2" t="s">
        <v>18</v>
      </c>
      <c r="I512" s="2" t="s">
        <v>19</v>
      </c>
      <c r="J512" s="2" t="s">
        <v>25</v>
      </c>
      <c r="K512" s="2">
        <v>187300000</v>
      </c>
      <c r="L512" s="2">
        <v>433400000</v>
      </c>
      <c r="M512" s="2">
        <v>0</v>
      </c>
      <c r="N512" s="2">
        <v>0</v>
      </c>
    </row>
    <row r="513" spans="1:14" x14ac:dyDescent="0.3">
      <c r="A513" s="2">
        <v>354</v>
      </c>
      <c r="B513" s="2" t="s">
        <v>672</v>
      </c>
      <c r="C513" s="3">
        <v>37820</v>
      </c>
      <c r="D513" s="2">
        <v>147</v>
      </c>
      <c r="E513" s="2" t="s">
        <v>22</v>
      </c>
      <c r="F513" s="2" t="s">
        <v>46</v>
      </c>
      <c r="G513" s="2" t="s">
        <v>648</v>
      </c>
      <c r="H513" s="2" t="s">
        <v>18</v>
      </c>
      <c r="I513" s="2" t="s">
        <v>19</v>
      </c>
      <c r="J513" s="2">
        <v>15</v>
      </c>
      <c r="K513" s="2">
        <v>130000000</v>
      </c>
      <c r="L513" s="2">
        <v>273300000</v>
      </c>
      <c r="M513" s="2">
        <v>0</v>
      </c>
      <c r="N513" s="2">
        <v>0</v>
      </c>
    </row>
    <row r="514" spans="1:14" x14ac:dyDescent="0.3">
      <c r="A514" s="2">
        <v>355</v>
      </c>
      <c r="B514" s="2" t="s">
        <v>673</v>
      </c>
      <c r="C514" s="3">
        <v>37470</v>
      </c>
      <c r="D514" s="2">
        <v>107</v>
      </c>
      <c r="E514" s="2" t="s">
        <v>117</v>
      </c>
      <c r="F514" s="2" t="s">
        <v>237</v>
      </c>
      <c r="G514" s="2" t="s">
        <v>47</v>
      </c>
      <c r="H514" s="2" t="s">
        <v>18</v>
      </c>
      <c r="I514" s="2" t="s">
        <v>19</v>
      </c>
      <c r="J514" s="2" t="s">
        <v>25</v>
      </c>
      <c r="K514" s="2">
        <v>72000000</v>
      </c>
      <c r="L514" s="2">
        <v>408200000</v>
      </c>
      <c r="M514" s="2">
        <v>0</v>
      </c>
      <c r="N514" s="2">
        <v>0</v>
      </c>
    </row>
    <row r="515" spans="1:14" x14ac:dyDescent="0.3">
      <c r="A515" s="2">
        <v>356</v>
      </c>
      <c r="B515" s="2" t="s">
        <v>674</v>
      </c>
      <c r="C515" s="3">
        <v>37330</v>
      </c>
      <c r="D515" s="2">
        <v>81</v>
      </c>
      <c r="E515" s="2" t="s">
        <v>60</v>
      </c>
      <c r="F515" s="2" t="s">
        <v>619</v>
      </c>
      <c r="G515" s="2" t="s">
        <v>36</v>
      </c>
      <c r="H515" s="2" t="s">
        <v>18</v>
      </c>
      <c r="I515" s="2" t="s">
        <v>19</v>
      </c>
      <c r="J515" s="2" t="s">
        <v>63</v>
      </c>
      <c r="K515" s="2">
        <v>59000000</v>
      </c>
      <c r="L515" s="2">
        <v>383300000</v>
      </c>
      <c r="M515" s="2">
        <v>1</v>
      </c>
      <c r="N515" s="2">
        <v>0</v>
      </c>
    </row>
    <row r="516" spans="1:14" x14ac:dyDescent="0.3">
      <c r="A516" s="2">
        <v>358</v>
      </c>
      <c r="B516" s="2" t="s">
        <v>679</v>
      </c>
      <c r="C516" s="3">
        <v>37015</v>
      </c>
      <c r="D516" s="2">
        <v>130</v>
      </c>
      <c r="E516" s="2" t="s">
        <v>15</v>
      </c>
      <c r="F516" s="2" t="s">
        <v>680</v>
      </c>
      <c r="G516" s="2" t="s">
        <v>681</v>
      </c>
      <c r="H516" s="2" t="s">
        <v>18</v>
      </c>
      <c r="I516" s="2" t="s">
        <v>19</v>
      </c>
      <c r="J516" s="2">
        <v>12</v>
      </c>
      <c r="K516" s="2">
        <v>98000000</v>
      </c>
      <c r="L516" s="2">
        <v>433000000</v>
      </c>
      <c r="M516" s="2">
        <v>0</v>
      </c>
      <c r="N516" s="2">
        <v>0</v>
      </c>
    </row>
    <row r="517" spans="1:14" x14ac:dyDescent="0.3">
      <c r="A517" s="2">
        <v>359</v>
      </c>
      <c r="B517" s="2" t="s">
        <v>682</v>
      </c>
      <c r="C517" s="3">
        <v>37090</v>
      </c>
      <c r="D517" s="2">
        <v>92</v>
      </c>
      <c r="E517" s="2" t="s">
        <v>15</v>
      </c>
      <c r="F517" s="2" t="s">
        <v>683</v>
      </c>
      <c r="G517" s="2" t="s">
        <v>17</v>
      </c>
      <c r="H517" s="2" t="s">
        <v>18</v>
      </c>
      <c r="I517" s="2" t="s">
        <v>19</v>
      </c>
      <c r="J517" s="2" t="s">
        <v>20</v>
      </c>
      <c r="K517" s="2">
        <v>93000000</v>
      </c>
      <c r="L517" s="2">
        <v>368800000</v>
      </c>
      <c r="M517" s="2">
        <v>0</v>
      </c>
      <c r="N517" s="2">
        <v>0</v>
      </c>
    </row>
    <row r="518" spans="1:14" x14ac:dyDescent="0.3">
      <c r="A518" s="2">
        <v>360</v>
      </c>
      <c r="B518" s="2" t="s">
        <v>684</v>
      </c>
      <c r="C518" s="3">
        <v>36931</v>
      </c>
      <c r="D518" s="2">
        <v>132</v>
      </c>
      <c r="E518" s="2" t="s">
        <v>84</v>
      </c>
      <c r="F518" s="2" t="s">
        <v>160</v>
      </c>
      <c r="G518" s="2" t="s">
        <v>399</v>
      </c>
      <c r="H518" s="2" t="s">
        <v>18</v>
      </c>
      <c r="I518" s="2" t="s">
        <v>19</v>
      </c>
      <c r="J518" s="2">
        <v>18</v>
      </c>
      <c r="K518" s="2">
        <v>87000000</v>
      </c>
      <c r="L518" s="2">
        <v>351600000</v>
      </c>
      <c r="M518" s="2">
        <v>0</v>
      </c>
      <c r="N518" s="2">
        <v>0</v>
      </c>
    </row>
    <row r="519" spans="1:14" x14ac:dyDescent="0.3">
      <c r="A519" s="2">
        <v>361</v>
      </c>
      <c r="B519" s="2" t="s">
        <v>685</v>
      </c>
      <c r="C519" s="3">
        <v>36875</v>
      </c>
      <c r="D519" s="2">
        <v>127</v>
      </c>
      <c r="E519" s="2" t="s">
        <v>38</v>
      </c>
      <c r="F519" s="2" t="s">
        <v>686</v>
      </c>
      <c r="G519" s="2" t="s">
        <v>247</v>
      </c>
      <c r="H519" s="2" t="s">
        <v>18</v>
      </c>
      <c r="I519" s="2" t="s">
        <v>19</v>
      </c>
      <c r="J519" s="2">
        <v>12</v>
      </c>
      <c r="K519" s="2">
        <v>70000000</v>
      </c>
      <c r="L519" s="2">
        <v>374111707</v>
      </c>
      <c r="M519" s="2">
        <v>0</v>
      </c>
      <c r="N519" s="2">
        <v>0</v>
      </c>
    </row>
    <row r="520" spans="1:14" x14ac:dyDescent="0.3">
      <c r="A520" s="2">
        <v>362</v>
      </c>
      <c r="B520" s="2" t="s">
        <v>687</v>
      </c>
      <c r="C520" s="3">
        <v>36665</v>
      </c>
      <c r="D520" s="2">
        <v>82</v>
      </c>
      <c r="E520" s="2" t="s">
        <v>60</v>
      </c>
      <c r="F520" s="2" t="s">
        <v>688</v>
      </c>
      <c r="G520" s="2" t="s">
        <v>66</v>
      </c>
      <c r="H520" s="2" t="s">
        <v>18</v>
      </c>
      <c r="I520" s="2" t="s">
        <v>19</v>
      </c>
      <c r="J520" s="2" t="s">
        <v>20</v>
      </c>
      <c r="K520" s="2">
        <v>127500000</v>
      </c>
      <c r="L520" s="2">
        <v>349800000</v>
      </c>
      <c r="M520" s="2">
        <v>0</v>
      </c>
      <c r="N520" s="2">
        <v>0</v>
      </c>
    </row>
    <row r="521" spans="1:14" x14ac:dyDescent="0.3">
      <c r="A521" s="2">
        <v>363</v>
      </c>
      <c r="B521" s="2" t="s">
        <v>689</v>
      </c>
      <c r="C521" s="3">
        <v>36847</v>
      </c>
      <c r="D521" s="2">
        <v>104</v>
      </c>
      <c r="E521" s="2" t="s">
        <v>38</v>
      </c>
      <c r="F521" s="2" t="s">
        <v>118</v>
      </c>
      <c r="G521" s="2" t="s">
        <v>119</v>
      </c>
      <c r="H521" s="2" t="s">
        <v>18</v>
      </c>
      <c r="I521" s="2" t="s">
        <v>19</v>
      </c>
      <c r="J521" s="2" t="s">
        <v>20</v>
      </c>
      <c r="K521" s="2">
        <v>123000000</v>
      </c>
      <c r="L521" s="2">
        <v>345100000</v>
      </c>
      <c r="M521" s="2">
        <v>3</v>
      </c>
      <c r="N521" s="2">
        <v>1</v>
      </c>
    </row>
    <row r="522" spans="1:14" x14ac:dyDescent="0.3">
      <c r="A522" s="2">
        <v>364</v>
      </c>
      <c r="B522" s="2" t="s">
        <v>690</v>
      </c>
      <c r="C522" s="3">
        <v>36805</v>
      </c>
      <c r="D522" s="2">
        <v>108</v>
      </c>
      <c r="E522" s="2" t="s">
        <v>38</v>
      </c>
      <c r="F522" s="2" t="s">
        <v>664</v>
      </c>
      <c r="G522" s="2" t="s">
        <v>665</v>
      </c>
      <c r="H522" s="2" t="s">
        <v>18</v>
      </c>
      <c r="I522" s="2" t="s">
        <v>19</v>
      </c>
      <c r="J522" s="2">
        <v>12</v>
      </c>
      <c r="K522" s="2">
        <v>55000000</v>
      </c>
      <c r="L522" s="2">
        <v>330400000</v>
      </c>
      <c r="M522" s="2">
        <v>1</v>
      </c>
      <c r="N522" s="2">
        <v>0</v>
      </c>
    </row>
    <row r="523" spans="1:14" x14ac:dyDescent="0.3">
      <c r="A523" s="2">
        <v>365</v>
      </c>
      <c r="B523" s="2" t="s">
        <v>691</v>
      </c>
      <c r="C523" s="3">
        <v>36728</v>
      </c>
      <c r="D523" s="2">
        <v>130</v>
      </c>
      <c r="E523" s="2" t="s">
        <v>68</v>
      </c>
      <c r="F523" s="2" t="s">
        <v>57</v>
      </c>
      <c r="G523" s="2" t="s">
        <v>215</v>
      </c>
      <c r="H523" s="2" t="s">
        <v>18</v>
      </c>
      <c r="I523" s="2" t="s">
        <v>19</v>
      </c>
      <c r="J523" s="2">
        <v>15</v>
      </c>
      <c r="K523" s="2">
        <v>100000000</v>
      </c>
      <c r="L523" s="2">
        <v>291400000</v>
      </c>
      <c r="M523" s="2">
        <v>0</v>
      </c>
      <c r="N523" s="2">
        <v>0</v>
      </c>
    </row>
    <row r="524" spans="1:14" x14ac:dyDescent="0.3">
      <c r="A524" s="2">
        <v>366</v>
      </c>
      <c r="B524" s="2" t="s">
        <v>692</v>
      </c>
      <c r="C524" s="3">
        <v>36488</v>
      </c>
      <c r="D524" s="2">
        <v>95</v>
      </c>
      <c r="E524" s="2" t="s">
        <v>60</v>
      </c>
      <c r="F524" s="2" t="s">
        <v>599</v>
      </c>
      <c r="G524" s="2" t="s">
        <v>143</v>
      </c>
      <c r="H524" s="2" t="s">
        <v>18</v>
      </c>
      <c r="I524" s="2" t="s">
        <v>19</v>
      </c>
      <c r="J524" s="2" t="s">
        <v>63</v>
      </c>
      <c r="K524" s="2">
        <v>90000000</v>
      </c>
      <c r="L524" s="2">
        <v>497400000</v>
      </c>
      <c r="M524" s="2">
        <v>1</v>
      </c>
      <c r="N524" s="2">
        <v>0</v>
      </c>
    </row>
    <row r="525" spans="1:14" x14ac:dyDescent="0.3">
      <c r="A525" s="2">
        <v>367</v>
      </c>
      <c r="B525" s="2" t="s">
        <v>693</v>
      </c>
      <c r="C525" s="3">
        <v>36327</v>
      </c>
      <c r="D525" s="2">
        <v>88</v>
      </c>
      <c r="E525" s="2" t="s">
        <v>60</v>
      </c>
      <c r="F525" s="2" t="s">
        <v>694</v>
      </c>
      <c r="G525" s="2" t="s">
        <v>66</v>
      </c>
      <c r="H525" s="2" t="s">
        <v>18</v>
      </c>
      <c r="I525" s="2" t="s">
        <v>19</v>
      </c>
      <c r="J525" s="2" t="s">
        <v>63</v>
      </c>
      <c r="K525" s="2">
        <v>130000000</v>
      </c>
      <c r="L525" s="2">
        <v>448200000</v>
      </c>
      <c r="M525" s="2">
        <v>1</v>
      </c>
      <c r="N525" s="2">
        <v>1</v>
      </c>
    </row>
    <row r="526" spans="1:14" x14ac:dyDescent="0.3">
      <c r="A526" s="2">
        <v>368</v>
      </c>
      <c r="B526" s="2" t="s">
        <v>695</v>
      </c>
      <c r="C526" s="3">
        <v>36287</v>
      </c>
      <c r="D526" s="2">
        <v>125</v>
      </c>
      <c r="E526" s="2" t="s">
        <v>15</v>
      </c>
      <c r="F526" s="2" t="s">
        <v>680</v>
      </c>
      <c r="G526" s="2" t="s">
        <v>681</v>
      </c>
      <c r="H526" s="2" t="s">
        <v>18</v>
      </c>
      <c r="I526" s="2" t="s">
        <v>19</v>
      </c>
      <c r="J526" s="2">
        <v>12</v>
      </c>
      <c r="K526" s="2">
        <v>80000000</v>
      </c>
      <c r="L526" s="2">
        <v>415900000</v>
      </c>
      <c r="M526" s="2">
        <v>1</v>
      </c>
      <c r="N526" s="2">
        <v>0</v>
      </c>
    </row>
    <row r="527" spans="1:14" x14ac:dyDescent="0.3">
      <c r="A527" s="2">
        <v>370</v>
      </c>
      <c r="B527" s="2" t="s">
        <v>699</v>
      </c>
      <c r="C527" s="3">
        <v>36322</v>
      </c>
      <c r="D527" s="2">
        <v>96</v>
      </c>
      <c r="E527" s="2" t="s">
        <v>38</v>
      </c>
      <c r="F527" s="2" t="s">
        <v>664</v>
      </c>
      <c r="G527" s="2" t="s">
        <v>700</v>
      </c>
      <c r="H527" s="2" t="s">
        <v>18</v>
      </c>
      <c r="I527" s="2" t="s">
        <v>19</v>
      </c>
      <c r="J527" s="2">
        <v>12</v>
      </c>
      <c r="K527" s="2">
        <v>33000000</v>
      </c>
      <c r="L527" s="2">
        <v>312000000</v>
      </c>
      <c r="M527" s="2">
        <v>1</v>
      </c>
      <c r="N527" s="2">
        <v>0</v>
      </c>
    </row>
    <row r="528" spans="1:14" x14ac:dyDescent="0.3">
      <c r="A528" s="2">
        <v>371</v>
      </c>
      <c r="B528" s="2" t="s">
        <v>701</v>
      </c>
      <c r="C528" s="3">
        <v>35935</v>
      </c>
      <c r="D528" s="2">
        <v>139</v>
      </c>
      <c r="E528" s="2" t="s">
        <v>49</v>
      </c>
      <c r="F528" s="2" t="s">
        <v>123</v>
      </c>
      <c r="G528" s="2" t="s">
        <v>124</v>
      </c>
      <c r="H528" s="2" t="s">
        <v>18</v>
      </c>
      <c r="I528" s="2" t="s">
        <v>19</v>
      </c>
      <c r="J528" s="2" t="s">
        <v>20</v>
      </c>
      <c r="K528" s="2">
        <v>130000000</v>
      </c>
      <c r="L528" s="2">
        <v>379000000</v>
      </c>
      <c r="M528" s="2">
        <v>0</v>
      </c>
      <c r="N528" s="2">
        <v>0</v>
      </c>
    </row>
    <row r="529" spans="1:14" x14ac:dyDescent="0.3">
      <c r="A529" s="2">
        <v>372</v>
      </c>
      <c r="B529" s="2" t="s">
        <v>702</v>
      </c>
      <c r="C529" s="3">
        <v>35991</v>
      </c>
      <c r="D529" s="2">
        <v>119</v>
      </c>
      <c r="E529" s="2" t="s">
        <v>38</v>
      </c>
      <c r="F529" s="2" t="s">
        <v>703</v>
      </c>
      <c r="G529" s="2" t="s">
        <v>36</v>
      </c>
      <c r="H529" s="2" t="s">
        <v>18</v>
      </c>
      <c r="I529" s="2" t="s">
        <v>19</v>
      </c>
      <c r="J529" s="2">
        <v>15</v>
      </c>
      <c r="K529" s="2">
        <v>23000000</v>
      </c>
      <c r="L529" s="2">
        <v>369900000</v>
      </c>
      <c r="M529" s="2">
        <v>0</v>
      </c>
      <c r="N529" s="2">
        <v>0</v>
      </c>
    </row>
    <row r="530" spans="1:14" x14ac:dyDescent="0.3">
      <c r="A530" s="2">
        <v>373</v>
      </c>
      <c r="B530" s="2" t="s">
        <v>704</v>
      </c>
      <c r="C530" s="3">
        <v>36124</v>
      </c>
      <c r="D530" s="2">
        <v>95</v>
      </c>
      <c r="E530" s="2" t="s">
        <v>60</v>
      </c>
      <c r="F530" s="2" t="s">
        <v>599</v>
      </c>
      <c r="G530" s="2" t="s">
        <v>143</v>
      </c>
      <c r="H530" s="2" t="s">
        <v>18</v>
      </c>
      <c r="I530" s="2" t="s">
        <v>19</v>
      </c>
      <c r="J530" s="2" t="s">
        <v>63</v>
      </c>
      <c r="K530" s="2">
        <v>120000000</v>
      </c>
      <c r="L530" s="2">
        <v>363300000</v>
      </c>
      <c r="M530" s="2">
        <v>1</v>
      </c>
      <c r="N530" s="2">
        <v>0</v>
      </c>
    </row>
    <row r="531" spans="1:14" x14ac:dyDescent="0.3">
      <c r="A531" s="2">
        <v>374</v>
      </c>
      <c r="B531" s="2" t="s">
        <v>705</v>
      </c>
      <c r="C531" s="3">
        <v>35965</v>
      </c>
      <c r="D531" s="2">
        <v>87</v>
      </c>
      <c r="E531" s="2" t="s">
        <v>60</v>
      </c>
      <c r="F531" s="2" t="s">
        <v>706</v>
      </c>
      <c r="G531" s="2" t="s">
        <v>66</v>
      </c>
      <c r="H531" s="2" t="s">
        <v>18</v>
      </c>
      <c r="I531" s="2" t="s">
        <v>19</v>
      </c>
      <c r="J531" s="2" t="s">
        <v>63</v>
      </c>
      <c r="K531" s="2">
        <v>90000000</v>
      </c>
      <c r="L531" s="2">
        <v>304300000</v>
      </c>
      <c r="M531" s="2">
        <v>1</v>
      </c>
      <c r="N531" s="2">
        <v>0</v>
      </c>
    </row>
    <row r="532" spans="1:14" x14ac:dyDescent="0.3">
      <c r="A532" s="2">
        <v>375</v>
      </c>
      <c r="B532" s="2" t="s">
        <v>707</v>
      </c>
      <c r="C532" s="3">
        <v>35972</v>
      </c>
      <c r="D532" s="2">
        <v>85</v>
      </c>
      <c r="E532" s="2" t="s">
        <v>38</v>
      </c>
      <c r="F532" s="2" t="s">
        <v>708</v>
      </c>
      <c r="G532" s="2" t="s">
        <v>174</v>
      </c>
      <c r="H532" s="2" t="s">
        <v>18</v>
      </c>
      <c r="I532" s="2" t="s">
        <v>19</v>
      </c>
      <c r="J532" s="2" t="s">
        <v>20</v>
      </c>
      <c r="K532" s="2">
        <v>70500000</v>
      </c>
      <c r="L532" s="2">
        <v>294400000</v>
      </c>
      <c r="M532" s="2">
        <v>0</v>
      </c>
      <c r="N532" s="2">
        <v>0</v>
      </c>
    </row>
    <row r="533" spans="1:14" x14ac:dyDescent="0.3">
      <c r="A533" s="2">
        <v>377</v>
      </c>
      <c r="B533" s="2" t="s">
        <v>711</v>
      </c>
      <c r="C533" s="3">
        <v>35573</v>
      </c>
      <c r="D533" s="2">
        <v>129</v>
      </c>
      <c r="E533" s="2" t="s">
        <v>15</v>
      </c>
      <c r="F533" s="2" t="s">
        <v>16</v>
      </c>
      <c r="G533" s="2" t="s">
        <v>17</v>
      </c>
      <c r="H533" s="2" t="s">
        <v>18</v>
      </c>
      <c r="I533" s="2" t="s">
        <v>19</v>
      </c>
      <c r="J533" s="2" t="s">
        <v>20</v>
      </c>
      <c r="K533" s="2">
        <v>73000000</v>
      </c>
      <c r="L533" s="2">
        <v>618600000</v>
      </c>
      <c r="M533" s="2">
        <v>1</v>
      </c>
      <c r="N533" s="2">
        <v>0</v>
      </c>
    </row>
    <row r="534" spans="1:14" x14ac:dyDescent="0.3">
      <c r="A534" s="2">
        <v>378</v>
      </c>
      <c r="B534" s="2" t="s">
        <v>712</v>
      </c>
      <c r="C534" s="3">
        <v>35636</v>
      </c>
      <c r="D534" s="2">
        <v>124</v>
      </c>
      <c r="E534" s="2" t="s">
        <v>84</v>
      </c>
      <c r="F534" s="2" t="s">
        <v>74</v>
      </c>
      <c r="G534" s="2" t="s">
        <v>47</v>
      </c>
      <c r="H534" s="2" t="s">
        <v>18</v>
      </c>
      <c r="I534" s="2" t="s">
        <v>19</v>
      </c>
      <c r="J534" s="2">
        <v>15</v>
      </c>
      <c r="K534" s="2">
        <v>85000000</v>
      </c>
      <c r="L534" s="2">
        <v>315100000</v>
      </c>
      <c r="M534" s="2">
        <v>2</v>
      </c>
      <c r="N534" s="2">
        <v>0</v>
      </c>
    </row>
    <row r="535" spans="1:14" x14ac:dyDescent="0.3">
      <c r="A535" s="2">
        <v>380</v>
      </c>
      <c r="B535" s="2" t="s">
        <v>713</v>
      </c>
      <c r="C535" s="3">
        <v>35510</v>
      </c>
      <c r="D535" s="2">
        <v>88</v>
      </c>
      <c r="E535" s="2" t="s">
        <v>38</v>
      </c>
      <c r="F535" s="2" t="s">
        <v>39</v>
      </c>
      <c r="G535" s="2" t="s">
        <v>119</v>
      </c>
      <c r="H535" s="2" t="s">
        <v>18</v>
      </c>
      <c r="I535" s="2" t="s">
        <v>19</v>
      </c>
      <c r="J535" s="2">
        <v>12</v>
      </c>
      <c r="K535" s="2">
        <v>45000000</v>
      </c>
      <c r="L535" s="2">
        <v>302700000</v>
      </c>
      <c r="M535" s="2">
        <v>0</v>
      </c>
      <c r="N535" s="2">
        <v>0</v>
      </c>
    </row>
    <row r="536" spans="1:14" x14ac:dyDescent="0.3">
      <c r="A536" s="2">
        <v>381</v>
      </c>
      <c r="B536" s="2" t="s">
        <v>714</v>
      </c>
      <c r="C536" s="3">
        <v>35601</v>
      </c>
      <c r="D536" s="2">
        <v>104</v>
      </c>
      <c r="E536" s="2" t="s">
        <v>697</v>
      </c>
      <c r="F536" s="2" t="s">
        <v>715</v>
      </c>
      <c r="G536" s="2" t="s">
        <v>716</v>
      </c>
      <c r="H536" s="2" t="s">
        <v>18</v>
      </c>
      <c r="I536" s="2" t="s">
        <v>19</v>
      </c>
      <c r="J536" s="2">
        <v>12</v>
      </c>
      <c r="K536" s="2">
        <v>38000000</v>
      </c>
      <c r="L536" s="2">
        <v>299300000</v>
      </c>
      <c r="M536" s="2">
        <v>1</v>
      </c>
      <c r="N536" s="2">
        <v>0</v>
      </c>
    </row>
    <row r="537" spans="1:14" x14ac:dyDescent="0.3">
      <c r="A537" s="2">
        <v>383</v>
      </c>
      <c r="B537" s="2" t="s">
        <v>719</v>
      </c>
      <c r="C537" s="3">
        <v>35202</v>
      </c>
      <c r="D537" s="2">
        <v>113</v>
      </c>
      <c r="E537" s="2" t="s">
        <v>621</v>
      </c>
      <c r="F537" s="2" t="s">
        <v>720</v>
      </c>
      <c r="G537" s="2" t="s">
        <v>17</v>
      </c>
      <c r="H537" s="2" t="s">
        <v>18</v>
      </c>
      <c r="I537" s="2" t="s">
        <v>19</v>
      </c>
      <c r="J537" s="2" t="s">
        <v>20</v>
      </c>
      <c r="K537" s="2">
        <v>92000000</v>
      </c>
      <c r="L537" s="2">
        <v>494400000</v>
      </c>
      <c r="M537" s="2">
        <v>2</v>
      </c>
      <c r="N537" s="2">
        <v>0</v>
      </c>
    </row>
    <row r="538" spans="1:14" x14ac:dyDescent="0.3">
      <c r="A538" s="2">
        <v>384</v>
      </c>
      <c r="B538" s="2" t="s">
        <v>721</v>
      </c>
      <c r="C538" s="3">
        <v>35237</v>
      </c>
      <c r="D538" s="2">
        <v>91</v>
      </c>
      <c r="E538" s="2" t="s">
        <v>60</v>
      </c>
      <c r="F538" s="2" t="s">
        <v>722</v>
      </c>
      <c r="G538" s="2" t="s">
        <v>66</v>
      </c>
      <c r="H538" s="2" t="s">
        <v>18</v>
      </c>
      <c r="I538" s="2" t="s">
        <v>19</v>
      </c>
      <c r="J538" s="2" t="s">
        <v>63</v>
      </c>
      <c r="K538" s="2">
        <v>100000000</v>
      </c>
      <c r="L538" s="2">
        <v>325300000</v>
      </c>
      <c r="M538" s="2">
        <v>1</v>
      </c>
      <c r="N538" s="2">
        <v>0</v>
      </c>
    </row>
    <row r="539" spans="1:14" x14ac:dyDescent="0.3">
      <c r="A539" s="2">
        <v>385</v>
      </c>
      <c r="B539" s="2" t="s">
        <v>723</v>
      </c>
      <c r="C539" s="3">
        <v>35396</v>
      </c>
      <c r="D539" s="2">
        <v>103</v>
      </c>
      <c r="E539" s="2" t="s">
        <v>724</v>
      </c>
      <c r="F539" s="2" t="s">
        <v>725</v>
      </c>
      <c r="G539" s="2" t="s">
        <v>66</v>
      </c>
      <c r="H539" s="2" t="s">
        <v>18</v>
      </c>
      <c r="I539" s="2" t="s">
        <v>19</v>
      </c>
      <c r="J539" s="2" t="s">
        <v>63</v>
      </c>
      <c r="K539" s="2">
        <v>75000000</v>
      </c>
      <c r="L539" s="2">
        <v>320600000</v>
      </c>
      <c r="M539" s="2">
        <v>0</v>
      </c>
      <c r="N539" s="2">
        <v>0</v>
      </c>
    </row>
    <row r="540" spans="1:14" x14ac:dyDescent="0.3">
      <c r="A540" s="2">
        <v>386</v>
      </c>
      <c r="B540" s="2" t="s">
        <v>726</v>
      </c>
      <c r="C540" s="3">
        <v>35377</v>
      </c>
      <c r="D540" s="2">
        <v>121</v>
      </c>
      <c r="E540" s="2" t="s">
        <v>84</v>
      </c>
      <c r="F540" s="2" t="s">
        <v>118</v>
      </c>
      <c r="G540" s="2" t="s">
        <v>47</v>
      </c>
      <c r="H540" s="2" t="s">
        <v>18</v>
      </c>
      <c r="I540" s="2" t="s">
        <v>19</v>
      </c>
      <c r="J540" s="2">
        <v>15</v>
      </c>
      <c r="K540" s="2">
        <v>80000000</v>
      </c>
      <c r="L540" s="2">
        <v>309500000</v>
      </c>
      <c r="M540" s="2">
        <v>0</v>
      </c>
      <c r="N540" s="2">
        <v>0</v>
      </c>
    </row>
    <row r="541" spans="1:14" x14ac:dyDescent="0.3">
      <c r="A541" s="2">
        <v>387</v>
      </c>
      <c r="B541" s="2" t="s">
        <v>727</v>
      </c>
      <c r="C541" s="3">
        <v>35244</v>
      </c>
      <c r="D541" s="2">
        <v>95</v>
      </c>
      <c r="E541" s="2" t="s">
        <v>38</v>
      </c>
      <c r="F541" s="2" t="s">
        <v>39</v>
      </c>
      <c r="G541" s="2" t="s">
        <v>119</v>
      </c>
      <c r="H541" s="2" t="s">
        <v>18</v>
      </c>
      <c r="I541" s="2" t="s">
        <v>19</v>
      </c>
      <c r="J541" s="2">
        <v>12</v>
      </c>
      <c r="K541" s="2">
        <v>54000000</v>
      </c>
      <c r="L541" s="2">
        <v>274000000</v>
      </c>
      <c r="M541" s="2">
        <v>1</v>
      </c>
      <c r="N541" s="2">
        <v>1</v>
      </c>
    </row>
    <row r="542" spans="1:14" x14ac:dyDescent="0.3">
      <c r="A542" s="2">
        <v>388</v>
      </c>
      <c r="B542" s="2" t="s">
        <v>728</v>
      </c>
      <c r="C542" s="3">
        <v>35412</v>
      </c>
      <c r="D542" s="2">
        <v>139</v>
      </c>
      <c r="E542" s="2" t="s">
        <v>190</v>
      </c>
      <c r="F542" s="2" t="s">
        <v>729</v>
      </c>
      <c r="G542" s="2" t="s">
        <v>243</v>
      </c>
      <c r="H542" s="2" t="s">
        <v>18</v>
      </c>
      <c r="I542" s="2" t="s">
        <v>19</v>
      </c>
      <c r="J542" s="2">
        <v>15</v>
      </c>
      <c r="K542" s="2">
        <v>50000000</v>
      </c>
      <c r="L542" s="2">
        <v>273600000</v>
      </c>
      <c r="M542" s="2">
        <v>5</v>
      </c>
      <c r="N542" s="2">
        <v>1</v>
      </c>
    </row>
    <row r="543" spans="1:14" x14ac:dyDescent="0.3">
      <c r="A543" s="2">
        <v>389</v>
      </c>
      <c r="B543" s="2" t="s">
        <v>730</v>
      </c>
      <c r="C543" s="3">
        <v>35237</v>
      </c>
      <c r="D543" s="2">
        <v>114</v>
      </c>
      <c r="E543" s="2" t="s">
        <v>22</v>
      </c>
      <c r="F543" s="2" t="s">
        <v>731</v>
      </c>
      <c r="G543" s="2" t="s">
        <v>732</v>
      </c>
      <c r="H543" s="2" t="s">
        <v>18</v>
      </c>
      <c r="I543" s="2" t="s">
        <v>19</v>
      </c>
      <c r="J543" s="2">
        <v>15</v>
      </c>
      <c r="K543" s="2">
        <v>100000000</v>
      </c>
      <c r="L543" s="2">
        <v>242300000</v>
      </c>
      <c r="M543" s="2">
        <v>1</v>
      </c>
      <c r="N543" s="2">
        <v>0</v>
      </c>
    </row>
    <row r="544" spans="1:14" x14ac:dyDescent="0.3">
      <c r="A544" s="2">
        <v>390</v>
      </c>
      <c r="B544" s="2" t="s">
        <v>733</v>
      </c>
      <c r="C544" s="3">
        <v>35025</v>
      </c>
      <c r="D544" s="2">
        <v>81</v>
      </c>
      <c r="E544" s="2" t="s">
        <v>60</v>
      </c>
      <c r="F544" s="2" t="s">
        <v>599</v>
      </c>
      <c r="G544" s="2" t="s">
        <v>143</v>
      </c>
      <c r="H544" s="2" t="s">
        <v>18</v>
      </c>
      <c r="I544" s="2" t="s">
        <v>19</v>
      </c>
      <c r="J544" s="2" t="s">
        <v>20</v>
      </c>
      <c r="K544" s="2">
        <v>30000000</v>
      </c>
      <c r="L544" s="2">
        <v>373600000</v>
      </c>
      <c r="M544" s="2">
        <v>3</v>
      </c>
      <c r="N544" s="2">
        <v>0</v>
      </c>
    </row>
    <row r="545" spans="1:14" x14ac:dyDescent="0.3">
      <c r="A545" s="2">
        <v>391</v>
      </c>
      <c r="B545" s="2" t="s">
        <v>734</v>
      </c>
      <c r="C545" s="3">
        <v>34873</v>
      </c>
      <c r="D545" s="2">
        <v>82</v>
      </c>
      <c r="E545" s="2" t="s">
        <v>60</v>
      </c>
      <c r="F545" s="2" t="s">
        <v>735</v>
      </c>
      <c r="G545" s="2" t="s">
        <v>66</v>
      </c>
      <c r="H545" s="2" t="s">
        <v>18</v>
      </c>
      <c r="I545" s="2" t="s">
        <v>19</v>
      </c>
      <c r="J545" s="2" t="s">
        <v>63</v>
      </c>
      <c r="K545" s="2">
        <v>55000000</v>
      </c>
      <c r="L545" s="2">
        <v>346100000</v>
      </c>
      <c r="M545" s="2">
        <v>2</v>
      </c>
      <c r="N545" s="2">
        <v>2</v>
      </c>
    </row>
    <row r="546" spans="1:14" x14ac:dyDescent="0.3">
      <c r="A546" s="2">
        <v>392</v>
      </c>
      <c r="B546" s="2" t="s">
        <v>736</v>
      </c>
      <c r="C546" s="3">
        <v>34866</v>
      </c>
      <c r="D546" s="2">
        <v>122</v>
      </c>
      <c r="E546" s="2" t="s">
        <v>22</v>
      </c>
      <c r="F546" s="2" t="s">
        <v>737</v>
      </c>
      <c r="G546" s="2" t="s">
        <v>484</v>
      </c>
      <c r="H546" s="2" t="s">
        <v>18</v>
      </c>
      <c r="I546" s="2" t="s">
        <v>19</v>
      </c>
      <c r="J546" s="2">
        <v>12</v>
      </c>
      <c r="K546" s="2">
        <v>100000000</v>
      </c>
      <c r="L546" s="2">
        <v>336500000</v>
      </c>
      <c r="M546" s="2">
        <v>3</v>
      </c>
      <c r="N546" s="2">
        <v>0</v>
      </c>
    </row>
    <row r="547" spans="1:14" x14ac:dyDescent="0.3">
      <c r="A547" s="2">
        <v>393</v>
      </c>
      <c r="B547" s="2" t="s">
        <v>738</v>
      </c>
      <c r="C547" s="3">
        <v>34845</v>
      </c>
      <c r="D547" s="2">
        <v>101</v>
      </c>
      <c r="E547" s="2" t="s">
        <v>38</v>
      </c>
      <c r="F547" s="2" t="s">
        <v>739</v>
      </c>
      <c r="G547" s="2" t="s">
        <v>17</v>
      </c>
      <c r="H547" s="2" t="s">
        <v>18</v>
      </c>
      <c r="I547" s="2" t="s">
        <v>19</v>
      </c>
      <c r="J547" s="2" t="s">
        <v>20</v>
      </c>
      <c r="K547" s="2">
        <v>55000000</v>
      </c>
      <c r="L547" s="2">
        <v>287900000</v>
      </c>
      <c r="M547" s="2">
        <v>0</v>
      </c>
      <c r="N547" s="2">
        <v>0</v>
      </c>
    </row>
    <row r="548" spans="1:14" x14ac:dyDescent="0.3">
      <c r="A548" s="2">
        <v>394</v>
      </c>
      <c r="B548" s="2" t="s">
        <v>740</v>
      </c>
      <c r="C548" s="3">
        <v>35048</v>
      </c>
      <c r="D548" s="2">
        <v>104</v>
      </c>
      <c r="E548" s="2" t="s">
        <v>15</v>
      </c>
      <c r="F548" s="2" t="s">
        <v>683</v>
      </c>
      <c r="G548" s="2" t="s">
        <v>741</v>
      </c>
      <c r="H548" s="2" t="s">
        <v>18</v>
      </c>
      <c r="I548" s="2" t="s">
        <v>19</v>
      </c>
      <c r="J548" s="2" t="s">
        <v>20</v>
      </c>
      <c r="K548" s="2">
        <v>65000000</v>
      </c>
      <c r="L548" s="2">
        <v>262800000</v>
      </c>
      <c r="M548" s="2">
        <v>0</v>
      </c>
      <c r="N548" s="2">
        <v>0</v>
      </c>
    </row>
    <row r="549" spans="1:14" x14ac:dyDescent="0.3">
      <c r="A549" s="2">
        <v>395</v>
      </c>
      <c r="B549" s="2" t="s">
        <v>742</v>
      </c>
      <c r="C549" s="3">
        <v>34500</v>
      </c>
      <c r="D549" s="2">
        <v>88</v>
      </c>
      <c r="E549" s="2" t="s">
        <v>60</v>
      </c>
      <c r="F549" s="2" t="s">
        <v>743</v>
      </c>
      <c r="G549" s="2" t="s">
        <v>66</v>
      </c>
      <c r="H549" s="2" t="s">
        <v>18</v>
      </c>
      <c r="I549" s="2" t="s">
        <v>19</v>
      </c>
      <c r="J549" s="2" t="s">
        <v>63</v>
      </c>
      <c r="K549" s="2">
        <v>45000000</v>
      </c>
      <c r="L549" s="2">
        <v>968500000</v>
      </c>
      <c r="M549" s="2">
        <v>4</v>
      </c>
      <c r="N549" s="2">
        <v>2</v>
      </c>
    </row>
    <row r="550" spans="1:14" x14ac:dyDescent="0.3">
      <c r="A550" s="2">
        <v>396</v>
      </c>
      <c r="B550" s="2" t="s">
        <v>744</v>
      </c>
      <c r="C550" s="3">
        <v>34544</v>
      </c>
      <c r="D550" s="2">
        <v>101</v>
      </c>
      <c r="E550" s="2" t="s">
        <v>38</v>
      </c>
      <c r="F550" s="2" t="s">
        <v>731</v>
      </c>
      <c r="G550" s="2" t="s">
        <v>745</v>
      </c>
      <c r="H550" s="2" t="s">
        <v>18</v>
      </c>
      <c r="I550" s="2" t="s">
        <v>19</v>
      </c>
      <c r="J550" s="2" t="s">
        <v>20</v>
      </c>
      <c r="K550" s="2">
        <v>23000000</v>
      </c>
      <c r="L550" s="2">
        <v>351600000</v>
      </c>
      <c r="M550" s="2">
        <v>1</v>
      </c>
      <c r="N550" s="2">
        <v>0</v>
      </c>
    </row>
    <row r="551" spans="1:14" x14ac:dyDescent="0.3">
      <c r="A551" s="2">
        <v>397</v>
      </c>
      <c r="B551" s="2" t="s">
        <v>746</v>
      </c>
      <c r="C551" s="3">
        <v>34495</v>
      </c>
      <c r="D551" s="2">
        <v>115</v>
      </c>
      <c r="E551" s="2" t="s">
        <v>22</v>
      </c>
      <c r="F551" s="2" t="s">
        <v>720</v>
      </c>
      <c r="G551" s="2" t="s">
        <v>747</v>
      </c>
      <c r="H551" s="2" t="s">
        <v>18</v>
      </c>
      <c r="I551" s="2" t="s">
        <v>19</v>
      </c>
      <c r="J551" s="2">
        <v>15</v>
      </c>
      <c r="K551" s="2">
        <v>30000000</v>
      </c>
      <c r="L551" s="2">
        <v>350400000</v>
      </c>
      <c r="M551" s="2">
        <v>3</v>
      </c>
      <c r="N551" s="2">
        <v>2</v>
      </c>
    </row>
    <row r="552" spans="1:14" x14ac:dyDescent="0.3">
      <c r="A552" s="2">
        <v>398</v>
      </c>
      <c r="B552" s="2" t="s">
        <v>748</v>
      </c>
      <c r="C552" s="3">
        <v>34481</v>
      </c>
      <c r="D552" s="2">
        <v>91</v>
      </c>
      <c r="E552" s="2" t="s">
        <v>38</v>
      </c>
      <c r="F552" s="2" t="s">
        <v>749</v>
      </c>
      <c r="G552" s="2" t="s">
        <v>17</v>
      </c>
      <c r="H552" s="2" t="s">
        <v>18</v>
      </c>
      <c r="I552" s="2" t="s">
        <v>19</v>
      </c>
      <c r="J552" s="2" t="s">
        <v>63</v>
      </c>
      <c r="K552" s="2">
        <v>46000000</v>
      </c>
      <c r="L552" s="2">
        <v>341600000</v>
      </c>
      <c r="M552" s="2">
        <v>0</v>
      </c>
      <c r="N552" s="2">
        <v>0</v>
      </c>
    </row>
    <row r="553" spans="1:14" x14ac:dyDescent="0.3">
      <c r="A553" s="2">
        <v>399</v>
      </c>
      <c r="B553" s="2" t="s">
        <v>750</v>
      </c>
      <c r="C553" s="3">
        <v>34684</v>
      </c>
      <c r="D553" s="2">
        <v>107</v>
      </c>
      <c r="E553" s="2" t="s">
        <v>38</v>
      </c>
      <c r="F553" s="2" t="s">
        <v>703</v>
      </c>
      <c r="G553" s="2" t="s">
        <v>751</v>
      </c>
      <c r="H553" s="2" t="s">
        <v>18</v>
      </c>
      <c r="I553" s="2" t="s">
        <v>19</v>
      </c>
      <c r="J553" s="2">
        <v>12</v>
      </c>
      <c r="K553" s="2">
        <v>17000000</v>
      </c>
      <c r="L553" s="2">
        <v>247000000</v>
      </c>
      <c r="M553" s="2">
        <v>0</v>
      </c>
      <c r="N553" s="2">
        <v>0</v>
      </c>
    </row>
    <row r="554" spans="1:14" x14ac:dyDescent="0.3">
      <c r="A554" s="2">
        <v>400</v>
      </c>
      <c r="B554" s="2" t="s">
        <v>752</v>
      </c>
      <c r="C554" s="3">
        <v>35489</v>
      </c>
      <c r="D554" s="2">
        <v>126</v>
      </c>
      <c r="E554" s="2" t="s">
        <v>150</v>
      </c>
      <c r="F554" s="2" t="s">
        <v>77</v>
      </c>
      <c r="G554" s="2" t="s">
        <v>449</v>
      </c>
      <c r="H554" s="2" t="s">
        <v>18</v>
      </c>
      <c r="I554" s="2" t="s">
        <v>19</v>
      </c>
      <c r="J554" s="2">
        <v>18</v>
      </c>
      <c r="K554" s="2">
        <v>35000000</v>
      </c>
      <c r="L554" s="2">
        <v>124900000</v>
      </c>
      <c r="M554" s="2">
        <v>1</v>
      </c>
      <c r="N554" s="2">
        <v>0</v>
      </c>
    </row>
    <row r="555" spans="1:14" x14ac:dyDescent="0.3">
      <c r="A555" s="2">
        <v>401</v>
      </c>
      <c r="B555" s="2" t="s">
        <v>753</v>
      </c>
      <c r="C555" s="3">
        <v>34649</v>
      </c>
      <c r="D555" s="2">
        <v>122</v>
      </c>
      <c r="E555" s="2" t="s">
        <v>68</v>
      </c>
      <c r="F555" s="2" t="s">
        <v>754</v>
      </c>
      <c r="G555" s="2" t="s">
        <v>755</v>
      </c>
      <c r="H555" s="2" t="s">
        <v>18</v>
      </c>
      <c r="I555" s="2" t="s">
        <v>19</v>
      </c>
      <c r="J555" s="2">
        <v>18</v>
      </c>
      <c r="K555" s="2">
        <v>60000000</v>
      </c>
      <c r="L555" s="2">
        <v>223700000</v>
      </c>
      <c r="M555" s="2">
        <v>2</v>
      </c>
      <c r="N555" s="2">
        <v>0</v>
      </c>
    </row>
    <row r="556" spans="1:14" x14ac:dyDescent="0.3">
      <c r="A556" s="2">
        <v>403</v>
      </c>
      <c r="B556" s="2" t="s">
        <v>756</v>
      </c>
      <c r="C556" s="3">
        <v>34297</v>
      </c>
      <c r="D556" s="2">
        <v>125</v>
      </c>
      <c r="E556" s="2" t="s">
        <v>38</v>
      </c>
      <c r="F556" s="2" t="s">
        <v>121</v>
      </c>
      <c r="G556" s="2" t="s">
        <v>757</v>
      </c>
      <c r="H556" s="2" t="s">
        <v>18</v>
      </c>
      <c r="I556" s="2" t="s">
        <v>19</v>
      </c>
      <c r="J556" s="2">
        <v>12</v>
      </c>
      <c r="K556" s="2">
        <v>25000000</v>
      </c>
      <c r="L556" s="2">
        <v>441300000</v>
      </c>
      <c r="M556" s="2">
        <v>1</v>
      </c>
      <c r="N556" s="2">
        <v>1</v>
      </c>
    </row>
    <row r="557" spans="1:14" x14ac:dyDescent="0.3">
      <c r="A557" s="2">
        <v>404</v>
      </c>
      <c r="B557" s="2" t="s">
        <v>758</v>
      </c>
      <c r="C557" s="3">
        <v>34150</v>
      </c>
      <c r="D557" s="2">
        <v>154</v>
      </c>
      <c r="E557" s="2" t="s">
        <v>84</v>
      </c>
      <c r="F557" s="2" t="s">
        <v>759</v>
      </c>
      <c r="G557" s="2" t="s">
        <v>174</v>
      </c>
      <c r="H557" s="2" t="s">
        <v>18</v>
      </c>
      <c r="I557" s="2" t="s">
        <v>19</v>
      </c>
      <c r="J557" s="2">
        <v>15</v>
      </c>
      <c r="K557" s="2">
        <v>42000000</v>
      </c>
      <c r="L557" s="2">
        <v>270248367</v>
      </c>
      <c r="M557" s="2">
        <v>2</v>
      </c>
      <c r="N557" s="2">
        <v>0</v>
      </c>
    </row>
    <row r="558" spans="1:14" x14ac:dyDescent="0.3">
      <c r="A558" s="2">
        <v>405</v>
      </c>
      <c r="B558" s="2" t="s">
        <v>760</v>
      </c>
      <c r="C558" s="3">
        <v>34066</v>
      </c>
      <c r="D558" s="2">
        <v>118</v>
      </c>
      <c r="E558" s="2" t="s">
        <v>190</v>
      </c>
      <c r="F558" s="2" t="s">
        <v>761</v>
      </c>
      <c r="G558" s="2" t="s">
        <v>257</v>
      </c>
      <c r="H558" s="2" t="s">
        <v>18</v>
      </c>
      <c r="I558" s="2" t="s">
        <v>19</v>
      </c>
      <c r="J558" s="2">
        <v>15</v>
      </c>
      <c r="K558" s="2">
        <v>38000000</v>
      </c>
      <c r="L558" s="2">
        <v>266600000</v>
      </c>
      <c r="M558" s="2">
        <v>0</v>
      </c>
      <c r="N558" s="2">
        <v>0</v>
      </c>
    </row>
    <row r="559" spans="1:14" x14ac:dyDescent="0.3">
      <c r="A559" s="2">
        <v>406</v>
      </c>
      <c r="B559" s="2" t="s">
        <v>762</v>
      </c>
      <c r="C559" s="3">
        <v>34145</v>
      </c>
      <c r="D559" s="2">
        <v>105</v>
      </c>
      <c r="E559" s="2" t="s">
        <v>34</v>
      </c>
      <c r="F559" s="2" t="s">
        <v>763</v>
      </c>
      <c r="G559" s="2" t="s">
        <v>764</v>
      </c>
      <c r="H559" s="2" t="s">
        <v>18</v>
      </c>
      <c r="I559" s="2" t="s">
        <v>19</v>
      </c>
      <c r="J559" s="2" t="s">
        <v>20</v>
      </c>
      <c r="K559" s="2">
        <v>21000000</v>
      </c>
      <c r="L559" s="2">
        <v>227800000</v>
      </c>
      <c r="M559" s="2">
        <v>2</v>
      </c>
      <c r="N559" s="2">
        <v>0</v>
      </c>
    </row>
    <row r="560" spans="1:14" x14ac:dyDescent="0.3">
      <c r="A560" s="2">
        <v>407</v>
      </c>
      <c r="B560" s="2" t="s">
        <v>765</v>
      </c>
      <c r="C560" s="3">
        <v>34325</v>
      </c>
      <c r="D560" s="2">
        <v>126</v>
      </c>
      <c r="E560" s="2" t="s">
        <v>190</v>
      </c>
      <c r="F560" s="2" t="s">
        <v>766</v>
      </c>
      <c r="G560" s="2" t="s">
        <v>764</v>
      </c>
      <c r="H560" s="2" t="s">
        <v>18</v>
      </c>
      <c r="I560" s="2" t="s">
        <v>19</v>
      </c>
      <c r="J560" s="2">
        <v>12</v>
      </c>
      <c r="K560" s="2">
        <v>26000000</v>
      </c>
      <c r="L560" s="2">
        <v>206700000</v>
      </c>
      <c r="M560" s="2">
        <v>5</v>
      </c>
      <c r="N560" s="2">
        <v>2</v>
      </c>
    </row>
    <row r="561" spans="1:14" x14ac:dyDescent="0.3">
      <c r="A561" s="2">
        <v>408</v>
      </c>
      <c r="B561" s="2" t="s">
        <v>767</v>
      </c>
      <c r="C561" s="3">
        <v>34320</v>
      </c>
      <c r="D561" s="2">
        <v>141</v>
      </c>
      <c r="E561" s="2" t="s">
        <v>84</v>
      </c>
      <c r="F561" s="2" t="s">
        <v>768</v>
      </c>
      <c r="G561" s="2" t="s">
        <v>130</v>
      </c>
      <c r="H561" s="2" t="s">
        <v>18</v>
      </c>
      <c r="I561" s="2" t="s">
        <v>19</v>
      </c>
      <c r="J561" s="2">
        <v>12</v>
      </c>
      <c r="K561" s="2">
        <v>45000000</v>
      </c>
      <c r="L561" s="2">
        <v>195300000</v>
      </c>
      <c r="M561" s="2">
        <v>0</v>
      </c>
      <c r="N561" s="2">
        <v>0</v>
      </c>
    </row>
    <row r="562" spans="1:14" x14ac:dyDescent="0.3">
      <c r="A562" s="2">
        <v>409</v>
      </c>
      <c r="B562" s="2" t="s">
        <v>769</v>
      </c>
      <c r="C562" s="3">
        <v>33933</v>
      </c>
      <c r="D562" s="2">
        <v>90</v>
      </c>
      <c r="E562" s="2" t="s">
        <v>60</v>
      </c>
      <c r="F562" s="2" t="s">
        <v>770</v>
      </c>
      <c r="G562" s="2" t="s">
        <v>66</v>
      </c>
      <c r="H562" s="2" t="s">
        <v>18</v>
      </c>
      <c r="I562" s="2" t="s">
        <v>19</v>
      </c>
      <c r="J562" s="2" t="s">
        <v>63</v>
      </c>
      <c r="K562" s="2">
        <v>28000000</v>
      </c>
      <c r="L562" s="2">
        <v>504100000</v>
      </c>
      <c r="M562" s="2">
        <v>5</v>
      </c>
      <c r="N562" s="2">
        <v>2</v>
      </c>
    </row>
    <row r="563" spans="1:14" x14ac:dyDescent="0.3">
      <c r="A563" s="2">
        <v>410</v>
      </c>
      <c r="B563" s="2" t="s">
        <v>771</v>
      </c>
      <c r="C563" s="3">
        <v>33933</v>
      </c>
      <c r="D563" s="2">
        <v>129</v>
      </c>
      <c r="E563" s="2" t="s">
        <v>84</v>
      </c>
      <c r="F563" s="2" t="s">
        <v>772</v>
      </c>
      <c r="G563" s="2" t="s">
        <v>411</v>
      </c>
      <c r="H563" s="2" t="s">
        <v>18</v>
      </c>
      <c r="I563" s="2" t="s">
        <v>19</v>
      </c>
      <c r="J563" s="2">
        <v>15</v>
      </c>
      <c r="K563" s="2">
        <v>25000000</v>
      </c>
      <c r="L563" s="2">
        <v>411000000</v>
      </c>
      <c r="M563" s="2">
        <v>2</v>
      </c>
      <c r="N563" s="2">
        <v>0</v>
      </c>
    </row>
    <row r="564" spans="1:14" x14ac:dyDescent="0.3">
      <c r="A564" s="2">
        <v>411</v>
      </c>
      <c r="B564" s="2" t="s">
        <v>773</v>
      </c>
      <c r="C564" s="3">
        <v>33928</v>
      </c>
      <c r="D564" s="2">
        <v>120</v>
      </c>
      <c r="E564" s="2" t="s">
        <v>724</v>
      </c>
      <c r="F564" s="2" t="s">
        <v>121</v>
      </c>
      <c r="G564" s="2" t="s">
        <v>774</v>
      </c>
      <c r="H564" s="2" t="s">
        <v>18</v>
      </c>
      <c r="I564" s="2" t="s">
        <v>19</v>
      </c>
      <c r="J564" s="2" t="s">
        <v>20</v>
      </c>
      <c r="K564" s="2">
        <v>20000000</v>
      </c>
      <c r="L564" s="2">
        <v>359000000</v>
      </c>
      <c r="M564" s="2">
        <v>0</v>
      </c>
      <c r="N564" s="2">
        <v>0</v>
      </c>
    </row>
    <row r="565" spans="1:14" x14ac:dyDescent="0.3">
      <c r="A565" s="2">
        <v>412</v>
      </c>
      <c r="B565" s="2" t="s">
        <v>775</v>
      </c>
      <c r="C565" s="3">
        <v>33732</v>
      </c>
      <c r="D565" s="2">
        <v>128</v>
      </c>
      <c r="E565" s="2" t="s">
        <v>84</v>
      </c>
      <c r="F565" s="2" t="s">
        <v>272</v>
      </c>
      <c r="G565" s="2" t="s">
        <v>179</v>
      </c>
      <c r="H565" s="2" t="s">
        <v>18</v>
      </c>
      <c r="I565" s="2" t="s">
        <v>19</v>
      </c>
      <c r="J565" s="2">
        <v>18</v>
      </c>
      <c r="K565" s="2">
        <v>49000000</v>
      </c>
      <c r="L565" s="2">
        <v>352900000</v>
      </c>
      <c r="M565" s="2">
        <v>2</v>
      </c>
      <c r="N565" s="2">
        <v>0</v>
      </c>
    </row>
    <row r="566" spans="1:14" x14ac:dyDescent="0.3">
      <c r="A566" s="2">
        <v>413</v>
      </c>
      <c r="B566" s="2" t="s">
        <v>776</v>
      </c>
      <c r="C566" s="3">
        <v>33774</v>
      </c>
      <c r="D566" s="2">
        <v>126</v>
      </c>
      <c r="E566" s="2" t="s">
        <v>22</v>
      </c>
      <c r="F566" s="2" t="s">
        <v>81</v>
      </c>
      <c r="G566" s="2" t="s">
        <v>484</v>
      </c>
      <c r="H566" s="2" t="s">
        <v>18</v>
      </c>
      <c r="I566" s="2" t="s">
        <v>19</v>
      </c>
      <c r="J566" s="2" t="s">
        <v>20</v>
      </c>
      <c r="K566" s="2">
        <v>80000000</v>
      </c>
      <c r="L566" s="2">
        <v>266800000</v>
      </c>
      <c r="M566" s="2">
        <v>2</v>
      </c>
      <c r="N566" s="2">
        <v>0</v>
      </c>
    </row>
    <row r="567" spans="1:14" x14ac:dyDescent="0.3">
      <c r="A567" s="2">
        <v>414</v>
      </c>
      <c r="B567" s="2" t="s">
        <v>777</v>
      </c>
      <c r="C567" s="3">
        <v>33949</v>
      </c>
      <c r="D567" s="2">
        <v>138</v>
      </c>
      <c r="E567" s="2" t="s">
        <v>190</v>
      </c>
      <c r="F567" s="2" t="s">
        <v>778</v>
      </c>
      <c r="G567" s="2" t="s">
        <v>779</v>
      </c>
      <c r="H567" s="2" t="s">
        <v>18</v>
      </c>
      <c r="I567" s="2" t="s">
        <v>19</v>
      </c>
      <c r="J567" s="2">
        <v>15</v>
      </c>
      <c r="K567" s="2">
        <v>40000000</v>
      </c>
      <c r="L567" s="2">
        <v>243200000</v>
      </c>
      <c r="M567" s="2">
        <v>4</v>
      </c>
      <c r="N567" s="2">
        <v>0</v>
      </c>
    </row>
    <row r="568" spans="1:14" x14ac:dyDescent="0.3">
      <c r="A568" s="2">
        <v>415</v>
      </c>
      <c r="B568" s="2" t="s">
        <v>780</v>
      </c>
      <c r="C568" s="3">
        <v>33753</v>
      </c>
      <c r="D568" s="2">
        <v>100</v>
      </c>
      <c r="E568" s="2" t="s">
        <v>38</v>
      </c>
      <c r="F568" s="2" t="s">
        <v>781</v>
      </c>
      <c r="G568" s="2" t="s">
        <v>47</v>
      </c>
      <c r="H568" s="2" t="s">
        <v>18</v>
      </c>
      <c r="I568" s="2" t="s">
        <v>19</v>
      </c>
      <c r="J568" s="2" t="s">
        <v>20</v>
      </c>
      <c r="K568" s="2">
        <v>31000000</v>
      </c>
      <c r="L568" s="2">
        <v>231600000</v>
      </c>
      <c r="M568" s="2">
        <v>0</v>
      </c>
      <c r="N568" s="2">
        <v>0</v>
      </c>
    </row>
    <row r="569" spans="1:14" x14ac:dyDescent="0.3">
      <c r="A569" s="2">
        <v>416</v>
      </c>
      <c r="B569" s="2" t="s">
        <v>782</v>
      </c>
      <c r="C569" s="3">
        <v>33921</v>
      </c>
      <c r="D569" s="2">
        <v>128</v>
      </c>
      <c r="E569" s="2" t="s">
        <v>68</v>
      </c>
      <c r="F569" s="2" t="s">
        <v>783</v>
      </c>
      <c r="G569" s="2" t="s">
        <v>213</v>
      </c>
      <c r="H569" s="2" t="s">
        <v>18</v>
      </c>
      <c r="I569" s="2" t="s">
        <v>19</v>
      </c>
      <c r="J569" s="2">
        <v>18</v>
      </c>
      <c r="K569" s="2">
        <v>40000000</v>
      </c>
      <c r="L569" s="2">
        <v>215900000</v>
      </c>
      <c r="M569" s="2">
        <v>4</v>
      </c>
      <c r="N569" s="2">
        <v>3</v>
      </c>
    </row>
    <row r="570" spans="1:14" x14ac:dyDescent="0.3">
      <c r="A570" s="2">
        <v>417</v>
      </c>
      <c r="B570" s="2" t="s">
        <v>784</v>
      </c>
      <c r="C570" s="3">
        <v>33648</v>
      </c>
      <c r="D570" s="2">
        <v>95</v>
      </c>
      <c r="E570" s="2" t="s">
        <v>38</v>
      </c>
      <c r="F570" s="2" t="s">
        <v>785</v>
      </c>
      <c r="G570" s="2" t="s">
        <v>257</v>
      </c>
      <c r="H570" s="2" t="s">
        <v>18</v>
      </c>
      <c r="I570" s="2" t="s">
        <v>19</v>
      </c>
      <c r="J570" s="2" t="s">
        <v>20</v>
      </c>
      <c r="K570" s="2">
        <v>20000000</v>
      </c>
      <c r="L570" s="2">
        <v>183100000</v>
      </c>
      <c r="M570" s="2">
        <v>0</v>
      </c>
      <c r="N570" s="2">
        <v>0</v>
      </c>
    </row>
    <row r="571" spans="1:14" x14ac:dyDescent="0.3">
      <c r="A571" s="2">
        <v>418</v>
      </c>
      <c r="B571" s="2" t="s">
        <v>786</v>
      </c>
      <c r="C571" s="3">
        <v>33564</v>
      </c>
      <c r="D571" s="2">
        <v>84</v>
      </c>
      <c r="E571" s="2" t="s">
        <v>60</v>
      </c>
      <c r="F571" s="2" t="s">
        <v>722</v>
      </c>
      <c r="G571" s="2" t="s">
        <v>66</v>
      </c>
      <c r="H571" s="2" t="s">
        <v>18</v>
      </c>
      <c r="I571" s="2" t="s">
        <v>19</v>
      </c>
      <c r="J571" s="2" t="s">
        <v>63</v>
      </c>
      <c r="K571" s="2">
        <v>25000000</v>
      </c>
      <c r="L571" s="2">
        <v>425000000</v>
      </c>
      <c r="M571" s="2">
        <v>6</v>
      </c>
      <c r="N571" s="2">
        <v>2</v>
      </c>
    </row>
    <row r="572" spans="1:14" x14ac:dyDescent="0.3">
      <c r="A572" s="2">
        <v>419</v>
      </c>
      <c r="B572" s="2" t="s">
        <v>787</v>
      </c>
      <c r="C572" s="3">
        <v>33583</v>
      </c>
      <c r="D572" s="2">
        <v>144</v>
      </c>
      <c r="E572" s="2" t="s">
        <v>15</v>
      </c>
      <c r="F572" s="2" t="s">
        <v>16</v>
      </c>
      <c r="G572" s="2" t="s">
        <v>17</v>
      </c>
      <c r="H572" s="2" t="s">
        <v>18</v>
      </c>
      <c r="I572" s="2" t="s">
        <v>19</v>
      </c>
      <c r="J572" s="2" t="s">
        <v>63</v>
      </c>
      <c r="K572" s="2">
        <v>70000000</v>
      </c>
      <c r="L572" s="2">
        <v>300900000</v>
      </c>
      <c r="M572" s="2">
        <v>5</v>
      </c>
      <c r="N572" s="2">
        <v>0</v>
      </c>
    </row>
    <row r="573" spans="1:14" x14ac:dyDescent="0.3">
      <c r="A573" s="2">
        <v>420</v>
      </c>
      <c r="B573" s="2" t="s">
        <v>788</v>
      </c>
      <c r="C573" s="3">
        <v>33283</v>
      </c>
      <c r="D573" s="2">
        <v>118</v>
      </c>
      <c r="E573" s="2" t="s">
        <v>84</v>
      </c>
      <c r="F573" s="2" t="s">
        <v>766</v>
      </c>
      <c r="G573" s="2" t="s">
        <v>789</v>
      </c>
      <c r="H573" s="2" t="s">
        <v>18</v>
      </c>
      <c r="I573" s="2" t="s">
        <v>19</v>
      </c>
      <c r="J573" s="2">
        <v>18</v>
      </c>
      <c r="K573" s="2">
        <v>19000000</v>
      </c>
      <c r="L573" s="2">
        <v>272700000</v>
      </c>
      <c r="M573" s="2">
        <v>7</v>
      </c>
      <c r="N573" s="2">
        <v>5</v>
      </c>
    </row>
    <row r="574" spans="1:14" x14ac:dyDescent="0.3">
      <c r="A574" s="2">
        <v>421</v>
      </c>
      <c r="B574" s="2" t="s">
        <v>790</v>
      </c>
      <c r="C574" s="3">
        <v>33592</v>
      </c>
      <c r="D574" s="2">
        <v>188</v>
      </c>
      <c r="E574" s="2" t="s">
        <v>84</v>
      </c>
      <c r="F574" s="2" t="s">
        <v>791</v>
      </c>
      <c r="G574" s="2" t="s">
        <v>164</v>
      </c>
      <c r="H574" s="2" t="s">
        <v>18</v>
      </c>
      <c r="I574" s="2" t="s">
        <v>19</v>
      </c>
      <c r="J574" s="2">
        <v>15</v>
      </c>
      <c r="K574" s="2">
        <v>40000000</v>
      </c>
      <c r="L574" s="2">
        <v>205400000</v>
      </c>
      <c r="M574" s="2">
        <v>8</v>
      </c>
      <c r="N574" s="2">
        <v>2</v>
      </c>
    </row>
    <row r="575" spans="1:14" x14ac:dyDescent="0.3">
      <c r="A575" s="2">
        <v>422</v>
      </c>
      <c r="B575" s="2" t="s">
        <v>792</v>
      </c>
      <c r="C575" s="3">
        <v>33564</v>
      </c>
      <c r="D575" s="2">
        <v>99</v>
      </c>
      <c r="E575" s="2" t="s">
        <v>38</v>
      </c>
      <c r="F575" s="2" t="s">
        <v>92</v>
      </c>
      <c r="G575" s="2" t="s">
        <v>793</v>
      </c>
      <c r="H575" s="2" t="s">
        <v>18</v>
      </c>
      <c r="I575" s="2" t="s">
        <v>19</v>
      </c>
      <c r="J575" s="2" t="s">
        <v>20</v>
      </c>
      <c r="K575" s="2">
        <v>30000000</v>
      </c>
      <c r="L575" s="2">
        <v>191500000</v>
      </c>
      <c r="M575" s="2">
        <v>1</v>
      </c>
      <c r="N575" s="2">
        <v>0</v>
      </c>
    </row>
    <row r="576" spans="1:14" x14ac:dyDescent="0.3">
      <c r="A576" s="2">
        <v>423</v>
      </c>
      <c r="B576" s="2" t="s">
        <v>794</v>
      </c>
      <c r="C576" s="3">
        <v>33555</v>
      </c>
      <c r="D576" s="2">
        <v>128</v>
      </c>
      <c r="E576" s="2" t="s">
        <v>84</v>
      </c>
      <c r="F576" s="2" t="s">
        <v>167</v>
      </c>
      <c r="G576" s="2" t="s">
        <v>17</v>
      </c>
      <c r="H576" s="2" t="s">
        <v>18</v>
      </c>
      <c r="I576" s="2" t="s">
        <v>19</v>
      </c>
      <c r="J576" s="2">
        <v>18</v>
      </c>
      <c r="K576" s="2">
        <v>35000000</v>
      </c>
      <c r="L576" s="2">
        <v>182300000</v>
      </c>
      <c r="M576" s="2">
        <v>2</v>
      </c>
      <c r="N576" s="2">
        <v>0</v>
      </c>
    </row>
    <row r="577" spans="1:14" x14ac:dyDescent="0.3">
      <c r="A577" s="2">
        <v>424</v>
      </c>
      <c r="B577" s="2" t="s">
        <v>795</v>
      </c>
      <c r="C577" s="3">
        <v>33450</v>
      </c>
      <c r="D577" s="2">
        <v>84</v>
      </c>
      <c r="E577" s="2" t="s">
        <v>38</v>
      </c>
      <c r="F577" s="2" t="s">
        <v>796</v>
      </c>
      <c r="G577" s="2" t="s">
        <v>36</v>
      </c>
      <c r="H577" s="2" t="s">
        <v>18</v>
      </c>
      <c r="I577" s="2" t="s">
        <v>19</v>
      </c>
      <c r="J577" s="2">
        <v>12</v>
      </c>
      <c r="K577" s="2">
        <v>26000000</v>
      </c>
      <c r="L577" s="2">
        <v>181100000</v>
      </c>
      <c r="M577" s="2">
        <v>0</v>
      </c>
      <c r="N577" s="2">
        <v>0</v>
      </c>
    </row>
    <row r="578" spans="1:14" x14ac:dyDescent="0.3">
      <c r="A578" s="2">
        <v>425</v>
      </c>
      <c r="B578" s="2" t="s">
        <v>797</v>
      </c>
      <c r="C578" s="3">
        <v>33396</v>
      </c>
      <c r="D578" s="2">
        <v>112</v>
      </c>
      <c r="E578" s="2" t="s">
        <v>38</v>
      </c>
      <c r="F578" s="2" t="s">
        <v>798</v>
      </c>
      <c r="G578" s="2" t="s">
        <v>779</v>
      </c>
      <c r="H578" s="2" t="s">
        <v>18</v>
      </c>
      <c r="I578" s="2" t="s">
        <v>19</v>
      </c>
      <c r="J578" s="2">
        <v>12</v>
      </c>
      <c r="K578" s="2">
        <v>26000000</v>
      </c>
      <c r="L578" s="2">
        <v>179033791</v>
      </c>
      <c r="M578" s="2">
        <v>1</v>
      </c>
      <c r="N578" s="2">
        <v>1</v>
      </c>
    </row>
    <row r="579" spans="1:14" x14ac:dyDescent="0.3">
      <c r="A579" s="2">
        <v>426</v>
      </c>
      <c r="B579" s="2" t="s">
        <v>799</v>
      </c>
      <c r="C579" s="3">
        <v>33067</v>
      </c>
      <c r="D579" s="2">
        <v>127</v>
      </c>
      <c r="E579" s="2" t="s">
        <v>34</v>
      </c>
      <c r="F579" s="2" t="s">
        <v>800</v>
      </c>
      <c r="G579" s="2" t="s">
        <v>257</v>
      </c>
      <c r="H579" s="2" t="s">
        <v>18</v>
      </c>
      <c r="I579" s="2" t="s">
        <v>19</v>
      </c>
      <c r="J579" s="2">
        <v>12</v>
      </c>
      <c r="K579" s="2">
        <v>22000000</v>
      </c>
      <c r="L579" s="2">
        <v>505700000</v>
      </c>
      <c r="M579" s="2">
        <v>5</v>
      </c>
      <c r="N579" s="2">
        <v>2</v>
      </c>
    </row>
    <row r="580" spans="1:14" x14ac:dyDescent="0.3">
      <c r="A580" s="2">
        <v>427</v>
      </c>
      <c r="B580" s="2" t="s">
        <v>801</v>
      </c>
      <c r="C580" s="3">
        <v>33193</v>
      </c>
      <c r="D580" s="2">
        <v>102</v>
      </c>
      <c r="E580" s="2" t="s">
        <v>38</v>
      </c>
      <c r="F580" s="2" t="s">
        <v>121</v>
      </c>
      <c r="G580" s="2" t="s">
        <v>774</v>
      </c>
      <c r="H580" s="2" t="s">
        <v>18</v>
      </c>
      <c r="I580" s="2" t="s">
        <v>19</v>
      </c>
      <c r="J580" s="2" t="s">
        <v>20</v>
      </c>
      <c r="K580" s="2">
        <v>18000000</v>
      </c>
      <c r="L580" s="2">
        <v>476700000</v>
      </c>
      <c r="M580" s="2">
        <v>2</v>
      </c>
      <c r="N580" s="2">
        <v>0</v>
      </c>
    </row>
    <row r="581" spans="1:14" x14ac:dyDescent="0.3">
      <c r="A581" s="2">
        <v>428</v>
      </c>
      <c r="B581" s="2" t="s">
        <v>802</v>
      </c>
      <c r="C581" s="3">
        <v>32955</v>
      </c>
      <c r="D581" s="2">
        <v>119</v>
      </c>
      <c r="E581" s="2" t="s">
        <v>34</v>
      </c>
      <c r="F581" s="2" t="s">
        <v>803</v>
      </c>
      <c r="G581" s="2" t="s">
        <v>47</v>
      </c>
      <c r="H581" s="2" t="s">
        <v>18</v>
      </c>
      <c r="I581" s="2" t="s">
        <v>19</v>
      </c>
      <c r="J581" s="2">
        <v>15</v>
      </c>
      <c r="K581" s="2">
        <v>14000000</v>
      </c>
      <c r="L581" s="2">
        <v>463400000</v>
      </c>
      <c r="M581" s="2">
        <v>1</v>
      </c>
      <c r="N581" s="2">
        <v>0</v>
      </c>
    </row>
    <row r="582" spans="1:14" x14ac:dyDescent="0.3">
      <c r="A582" s="2">
        <v>430</v>
      </c>
      <c r="B582" s="2" t="s">
        <v>804</v>
      </c>
      <c r="C582" s="3">
        <v>32962</v>
      </c>
      <c r="D582" s="2">
        <v>93</v>
      </c>
      <c r="E582" s="2" t="s">
        <v>22</v>
      </c>
      <c r="F582" s="2" t="s">
        <v>805</v>
      </c>
      <c r="G582" s="2" t="s">
        <v>478</v>
      </c>
      <c r="H582" s="2" t="s">
        <v>18</v>
      </c>
      <c r="I582" s="2" t="s">
        <v>19</v>
      </c>
      <c r="J582" s="2" t="s">
        <v>20</v>
      </c>
      <c r="K582" s="2">
        <v>13500000</v>
      </c>
      <c r="L582" s="2">
        <v>201900000</v>
      </c>
      <c r="M582" s="2">
        <v>0</v>
      </c>
      <c r="N582" s="2">
        <v>0</v>
      </c>
    </row>
    <row r="583" spans="1:14" x14ac:dyDescent="0.3">
      <c r="A583" s="2">
        <v>431</v>
      </c>
      <c r="B583" s="2" t="s">
        <v>806</v>
      </c>
      <c r="C583" s="3">
        <v>32682</v>
      </c>
      <c r="D583" s="2">
        <v>126</v>
      </c>
      <c r="E583" s="2" t="s">
        <v>22</v>
      </c>
      <c r="F583" s="2" t="s">
        <v>81</v>
      </c>
      <c r="G583" s="2" t="s">
        <v>484</v>
      </c>
      <c r="H583" s="2" t="s">
        <v>18</v>
      </c>
      <c r="I583" s="2" t="s">
        <v>19</v>
      </c>
      <c r="J583" s="2">
        <v>12</v>
      </c>
      <c r="K583" s="2">
        <v>35000000</v>
      </c>
      <c r="L583" s="2">
        <v>411300000</v>
      </c>
      <c r="M583" s="2">
        <v>1</v>
      </c>
      <c r="N583" s="2">
        <v>1</v>
      </c>
    </row>
    <row r="584" spans="1:14" x14ac:dyDescent="0.3">
      <c r="A584" s="2">
        <v>432</v>
      </c>
      <c r="B584" s="2" t="s">
        <v>807</v>
      </c>
      <c r="C584" s="3">
        <v>32794</v>
      </c>
      <c r="D584" s="2">
        <v>96</v>
      </c>
      <c r="E584" s="2" t="s">
        <v>38</v>
      </c>
      <c r="F584" s="2" t="s">
        <v>808</v>
      </c>
      <c r="G584" s="2" t="s">
        <v>764</v>
      </c>
      <c r="H584" s="2" t="s">
        <v>18</v>
      </c>
      <c r="I584" s="2" t="s">
        <v>19</v>
      </c>
      <c r="J584" s="2">
        <v>12</v>
      </c>
      <c r="K584" s="2">
        <v>7500000</v>
      </c>
      <c r="L584" s="2">
        <v>297000000</v>
      </c>
      <c r="M584" s="2">
        <v>0</v>
      </c>
      <c r="N584" s="2">
        <v>0</v>
      </c>
    </row>
    <row r="585" spans="1:14" x14ac:dyDescent="0.3">
      <c r="A585" s="2">
        <v>433</v>
      </c>
      <c r="B585" s="2" t="s">
        <v>809</v>
      </c>
      <c r="C585" s="3">
        <v>32661</v>
      </c>
      <c r="D585" s="2">
        <v>128</v>
      </c>
      <c r="E585" s="2" t="s">
        <v>190</v>
      </c>
      <c r="F585" s="2" t="s">
        <v>107</v>
      </c>
      <c r="G585" s="2" t="s">
        <v>47</v>
      </c>
      <c r="H585" s="2" t="s">
        <v>18</v>
      </c>
      <c r="I585" s="2" t="s">
        <v>19</v>
      </c>
      <c r="J585" s="2" t="s">
        <v>20</v>
      </c>
      <c r="K585" s="2">
        <v>16400000</v>
      </c>
      <c r="L585" s="2">
        <v>235800000</v>
      </c>
      <c r="M585" s="2">
        <v>4</v>
      </c>
      <c r="N585" s="2">
        <v>1</v>
      </c>
    </row>
    <row r="586" spans="1:14" x14ac:dyDescent="0.3">
      <c r="A586" s="2">
        <v>434</v>
      </c>
      <c r="B586" s="2" t="s">
        <v>810</v>
      </c>
      <c r="C586" s="3">
        <v>32682</v>
      </c>
      <c r="D586" s="2">
        <v>94</v>
      </c>
      <c r="E586" s="2" t="s">
        <v>15</v>
      </c>
      <c r="F586" s="2" t="s">
        <v>683</v>
      </c>
      <c r="G586" s="2" t="s">
        <v>66</v>
      </c>
      <c r="H586" s="2" t="s">
        <v>18</v>
      </c>
      <c r="I586" s="2" t="s">
        <v>19</v>
      </c>
      <c r="J586" s="2" t="s">
        <v>63</v>
      </c>
      <c r="K586" s="2">
        <v>18000000</v>
      </c>
      <c r="L586" s="2">
        <v>222700000</v>
      </c>
      <c r="M586" s="2">
        <v>0</v>
      </c>
      <c r="N586" s="2">
        <v>0</v>
      </c>
    </row>
    <row r="587" spans="1:14" x14ac:dyDescent="0.3">
      <c r="A587" s="2">
        <v>435</v>
      </c>
      <c r="B587" s="2" t="s">
        <v>811</v>
      </c>
      <c r="C587" s="3">
        <v>32675</v>
      </c>
      <c r="D587" s="2">
        <v>108</v>
      </c>
      <c r="E587" s="2" t="s">
        <v>38</v>
      </c>
      <c r="F587" s="2" t="s">
        <v>370</v>
      </c>
      <c r="G587" s="2" t="s">
        <v>213</v>
      </c>
      <c r="H587" s="2" t="s">
        <v>18</v>
      </c>
      <c r="I587" s="2" t="s">
        <v>19</v>
      </c>
      <c r="J587" s="2" t="s">
        <v>20</v>
      </c>
      <c r="K587" s="2">
        <v>37000000</v>
      </c>
      <c r="L587" s="2">
        <v>215400000</v>
      </c>
      <c r="M587" s="2">
        <v>0</v>
      </c>
      <c r="N587" s="2">
        <v>0</v>
      </c>
    </row>
    <row r="588" spans="1:14" x14ac:dyDescent="0.3">
      <c r="A588" s="2">
        <v>436</v>
      </c>
      <c r="B588" s="2" t="s">
        <v>812</v>
      </c>
      <c r="C588" s="3">
        <v>32829</v>
      </c>
      <c r="D588" s="2">
        <v>82</v>
      </c>
      <c r="E588" s="2" t="s">
        <v>60</v>
      </c>
      <c r="F588" s="2" t="s">
        <v>770</v>
      </c>
      <c r="G588" s="2" t="s">
        <v>66</v>
      </c>
      <c r="H588" s="2" t="s">
        <v>18</v>
      </c>
      <c r="I588" s="2" t="s">
        <v>19</v>
      </c>
      <c r="J588" s="2" t="s">
        <v>63</v>
      </c>
      <c r="K588" s="2">
        <v>40000000</v>
      </c>
      <c r="L588" s="2">
        <v>211300000</v>
      </c>
      <c r="M588" s="2">
        <v>3</v>
      </c>
      <c r="N588" s="2">
        <v>2</v>
      </c>
    </row>
    <row r="589" spans="1:14" x14ac:dyDescent="0.3">
      <c r="A589" s="2">
        <v>437</v>
      </c>
      <c r="B589" s="2" t="s">
        <v>813</v>
      </c>
      <c r="C589" s="3">
        <v>32862</v>
      </c>
      <c r="D589" s="2">
        <v>145</v>
      </c>
      <c r="E589" s="2" t="s">
        <v>166</v>
      </c>
      <c r="F589" s="2" t="s">
        <v>791</v>
      </c>
      <c r="G589" s="2" t="s">
        <v>103</v>
      </c>
      <c r="H589" s="2" t="s">
        <v>18</v>
      </c>
      <c r="I589" s="2" t="s">
        <v>19</v>
      </c>
      <c r="J589" s="2">
        <v>18</v>
      </c>
      <c r="K589" s="2">
        <v>14000000</v>
      </c>
      <c r="L589" s="2">
        <v>161000000</v>
      </c>
      <c r="M589" s="2">
        <v>8</v>
      </c>
      <c r="N589" s="2">
        <v>2</v>
      </c>
    </row>
    <row r="590" spans="1:14" x14ac:dyDescent="0.3">
      <c r="A590" s="2">
        <v>438</v>
      </c>
      <c r="B590" s="2" t="s">
        <v>814</v>
      </c>
      <c r="C590" s="3">
        <v>32493</v>
      </c>
      <c r="D590" s="2">
        <v>133</v>
      </c>
      <c r="E590" s="2" t="s">
        <v>190</v>
      </c>
      <c r="F590" s="2" t="s">
        <v>815</v>
      </c>
      <c r="G590" s="2" t="s">
        <v>417</v>
      </c>
      <c r="H590" s="2" t="s">
        <v>18</v>
      </c>
      <c r="I590" s="2" t="s">
        <v>19</v>
      </c>
      <c r="J590" s="2">
        <v>15</v>
      </c>
      <c r="K590" s="2">
        <v>25000000</v>
      </c>
      <c r="L590" s="2">
        <v>354800000</v>
      </c>
      <c r="M590" s="2">
        <v>8</v>
      </c>
      <c r="N590" s="2">
        <v>4</v>
      </c>
    </row>
    <row r="591" spans="1:14" x14ac:dyDescent="0.3">
      <c r="A591" s="2">
        <v>439</v>
      </c>
      <c r="B591" s="2" t="s">
        <v>816</v>
      </c>
      <c r="C591" s="3">
        <v>32323</v>
      </c>
      <c r="D591" s="2">
        <v>117</v>
      </c>
      <c r="E591" s="2" t="s">
        <v>38</v>
      </c>
      <c r="F591" s="2" t="s">
        <v>817</v>
      </c>
      <c r="G591" s="2" t="s">
        <v>818</v>
      </c>
      <c r="H591" s="2" t="s">
        <v>18</v>
      </c>
      <c r="I591" s="2" t="s">
        <v>19</v>
      </c>
      <c r="J591" s="2">
        <v>15</v>
      </c>
      <c r="K591" s="2">
        <v>39000000</v>
      </c>
      <c r="L591" s="2">
        <v>288752301</v>
      </c>
      <c r="M591" s="2">
        <v>2</v>
      </c>
      <c r="N591" s="2">
        <v>0</v>
      </c>
    </row>
    <row r="592" spans="1:14" x14ac:dyDescent="0.3">
      <c r="A592" s="2">
        <v>440</v>
      </c>
      <c r="B592" s="2" t="s">
        <v>819</v>
      </c>
      <c r="C592" s="3">
        <v>32480</v>
      </c>
      <c r="D592" s="2">
        <v>104</v>
      </c>
      <c r="E592" s="2" t="s">
        <v>38</v>
      </c>
      <c r="F592" s="2" t="s">
        <v>820</v>
      </c>
      <c r="G592" s="2" t="s">
        <v>243</v>
      </c>
      <c r="H592" s="2" t="s">
        <v>18</v>
      </c>
      <c r="I592" s="2" t="s">
        <v>19</v>
      </c>
      <c r="J592" s="2">
        <v>12</v>
      </c>
      <c r="K592" s="2">
        <v>18000000</v>
      </c>
      <c r="L592" s="2">
        <v>151700000</v>
      </c>
      <c r="M592" s="2">
        <v>2</v>
      </c>
      <c r="N592" s="2">
        <v>0</v>
      </c>
    </row>
    <row r="593" spans="1:14" x14ac:dyDescent="0.3">
      <c r="A593" s="2">
        <v>442</v>
      </c>
      <c r="B593" s="2" t="s">
        <v>823</v>
      </c>
      <c r="C593" s="3">
        <v>32479</v>
      </c>
      <c r="D593" s="2">
        <v>85</v>
      </c>
      <c r="E593" s="2" t="s">
        <v>38</v>
      </c>
      <c r="F593" s="2" t="s">
        <v>824</v>
      </c>
      <c r="G593" s="2" t="s">
        <v>257</v>
      </c>
      <c r="H593" s="2" t="s">
        <v>18</v>
      </c>
      <c r="I593" s="2" t="s">
        <v>19</v>
      </c>
      <c r="J593" s="2">
        <v>15</v>
      </c>
      <c r="K593" s="2">
        <v>12000000</v>
      </c>
      <c r="L593" s="2">
        <v>78800000</v>
      </c>
      <c r="M593" s="2">
        <v>0</v>
      </c>
      <c r="N593" s="2">
        <v>0</v>
      </c>
    </row>
    <row r="594" spans="1:14" x14ac:dyDescent="0.3">
      <c r="A594" s="2">
        <v>443</v>
      </c>
      <c r="B594" s="2" t="s">
        <v>825</v>
      </c>
      <c r="C594" s="3">
        <v>32353</v>
      </c>
      <c r="D594" s="2">
        <v>103</v>
      </c>
      <c r="E594" s="2" t="s">
        <v>34</v>
      </c>
      <c r="F594" s="2" t="s">
        <v>826</v>
      </c>
      <c r="G594" s="2" t="s">
        <v>47</v>
      </c>
      <c r="H594" s="2" t="s">
        <v>18</v>
      </c>
      <c r="I594" s="2" t="s">
        <v>19</v>
      </c>
      <c r="J594" s="2">
        <v>15</v>
      </c>
      <c r="K594" s="2">
        <v>20000000</v>
      </c>
      <c r="L594" s="2">
        <v>171500000</v>
      </c>
      <c r="M594" s="2">
        <v>0</v>
      </c>
      <c r="N594" s="2">
        <v>0</v>
      </c>
    </row>
    <row r="595" spans="1:14" x14ac:dyDescent="0.3">
      <c r="A595" s="2">
        <v>444</v>
      </c>
      <c r="B595" s="2" t="s">
        <v>827</v>
      </c>
      <c r="C595" s="3">
        <v>32232</v>
      </c>
      <c r="D595" s="2">
        <v>92</v>
      </c>
      <c r="E595" s="2" t="s">
        <v>38</v>
      </c>
      <c r="F595" s="2" t="s">
        <v>81</v>
      </c>
      <c r="G595" s="2" t="s">
        <v>755</v>
      </c>
      <c r="H595" s="2" t="s">
        <v>18</v>
      </c>
      <c r="I595" s="2" t="s">
        <v>19</v>
      </c>
      <c r="J595" s="2">
        <v>15</v>
      </c>
      <c r="K595" s="2">
        <v>15000000</v>
      </c>
      <c r="L595" s="2">
        <v>73700000</v>
      </c>
      <c r="M595" s="2">
        <v>1</v>
      </c>
      <c r="N595" s="2">
        <v>1</v>
      </c>
    </row>
    <row r="596" spans="1:14" x14ac:dyDescent="0.3">
      <c r="A596" s="2">
        <v>445</v>
      </c>
      <c r="B596" s="2" t="s">
        <v>828</v>
      </c>
      <c r="C596" s="3">
        <v>32106</v>
      </c>
      <c r="D596" s="2">
        <v>104</v>
      </c>
      <c r="E596" s="2" t="s">
        <v>38</v>
      </c>
      <c r="F596" s="2" t="s">
        <v>397</v>
      </c>
      <c r="G596" s="2" t="s">
        <v>47</v>
      </c>
      <c r="H596" s="2" t="s">
        <v>18</v>
      </c>
      <c r="I596" s="2" t="s">
        <v>19</v>
      </c>
      <c r="J596" s="2" t="s">
        <v>20</v>
      </c>
      <c r="K596" s="2">
        <v>16000000</v>
      </c>
      <c r="L596" s="2">
        <v>168800000</v>
      </c>
      <c r="M596" s="2">
        <v>0</v>
      </c>
      <c r="N596" s="2">
        <v>0</v>
      </c>
    </row>
    <row r="597" spans="1:14" x14ac:dyDescent="0.3">
      <c r="A597" s="2">
        <v>446</v>
      </c>
      <c r="B597" s="2" t="s">
        <v>829</v>
      </c>
      <c r="C597" s="3">
        <v>32038</v>
      </c>
      <c r="D597" s="2">
        <v>119</v>
      </c>
      <c r="E597" s="2" t="s">
        <v>84</v>
      </c>
      <c r="F597" s="2" t="s">
        <v>761</v>
      </c>
      <c r="G597" s="2" t="s">
        <v>257</v>
      </c>
      <c r="H597" s="2" t="s">
        <v>18</v>
      </c>
      <c r="I597" s="2" t="s">
        <v>19</v>
      </c>
      <c r="J597" s="2">
        <v>18</v>
      </c>
      <c r="K597" s="2">
        <v>14000000</v>
      </c>
      <c r="L597" s="2">
        <v>320100000</v>
      </c>
      <c r="M597" s="2">
        <v>6</v>
      </c>
      <c r="N597" s="2">
        <v>0</v>
      </c>
    </row>
    <row r="598" spans="1:14" x14ac:dyDescent="0.3">
      <c r="A598" s="2">
        <v>447</v>
      </c>
      <c r="B598" s="2" t="s">
        <v>830</v>
      </c>
      <c r="C598" s="3">
        <v>31917</v>
      </c>
      <c r="D598" s="2">
        <v>103</v>
      </c>
      <c r="E598" s="2" t="s">
        <v>22</v>
      </c>
      <c r="F598" s="2" t="s">
        <v>297</v>
      </c>
      <c r="G598" s="2" t="s">
        <v>257</v>
      </c>
      <c r="H598" s="2" t="s">
        <v>18</v>
      </c>
      <c r="I598" s="2" t="s">
        <v>19</v>
      </c>
      <c r="J598" s="2">
        <v>15</v>
      </c>
      <c r="K598" s="2">
        <v>20000000</v>
      </c>
      <c r="L598" s="2">
        <v>300000000</v>
      </c>
      <c r="M598" s="2">
        <v>1</v>
      </c>
      <c r="N598" s="2">
        <v>0</v>
      </c>
    </row>
    <row r="599" spans="1:14" x14ac:dyDescent="0.3">
      <c r="A599" s="2">
        <v>448</v>
      </c>
      <c r="B599" s="2" t="s">
        <v>831</v>
      </c>
      <c r="C599" s="3">
        <v>32134</v>
      </c>
      <c r="D599" s="2">
        <v>120</v>
      </c>
      <c r="E599" s="2" t="s">
        <v>38</v>
      </c>
      <c r="F599" s="2" t="s">
        <v>815</v>
      </c>
      <c r="G599" s="2" t="s">
        <v>47</v>
      </c>
      <c r="H599" s="2" t="s">
        <v>18</v>
      </c>
      <c r="I599" s="2" t="s">
        <v>19</v>
      </c>
      <c r="J599" s="2">
        <v>15</v>
      </c>
      <c r="K599" s="2">
        <v>13000000</v>
      </c>
      <c r="L599" s="2">
        <v>123900000</v>
      </c>
      <c r="M599" s="2">
        <v>1</v>
      </c>
      <c r="N599" s="2">
        <v>0</v>
      </c>
    </row>
    <row r="600" spans="1:14" x14ac:dyDescent="0.3">
      <c r="A600" s="2">
        <v>449</v>
      </c>
      <c r="B600" s="2" t="s">
        <v>832</v>
      </c>
      <c r="C600" s="3">
        <v>32129</v>
      </c>
      <c r="D600" s="2">
        <v>102</v>
      </c>
      <c r="E600" s="2" t="s">
        <v>34</v>
      </c>
      <c r="F600" s="2" t="s">
        <v>833</v>
      </c>
      <c r="G600" s="2" t="s">
        <v>834</v>
      </c>
      <c r="H600" s="2" t="s">
        <v>18</v>
      </c>
      <c r="I600" s="2" t="s">
        <v>19</v>
      </c>
      <c r="J600" s="2" t="s">
        <v>20</v>
      </c>
      <c r="K600" s="2">
        <v>15000000</v>
      </c>
      <c r="L600" s="2">
        <v>91640528</v>
      </c>
      <c r="M600" s="2">
        <v>6</v>
      </c>
      <c r="N600" s="2">
        <v>3</v>
      </c>
    </row>
    <row r="601" spans="1:14" x14ac:dyDescent="0.3">
      <c r="A601" s="2">
        <v>450</v>
      </c>
      <c r="B601" s="2" t="s">
        <v>835</v>
      </c>
      <c r="C601" s="3">
        <v>31877</v>
      </c>
      <c r="D601" s="2">
        <v>111</v>
      </c>
      <c r="E601" s="2" t="s">
        <v>38</v>
      </c>
      <c r="F601" s="2" t="s">
        <v>836</v>
      </c>
      <c r="G601" s="2" t="s">
        <v>837</v>
      </c>
      <c r="H601" s="2" t="s">
        <v>18</v>
      </c>
      <c r="I601" s="2" t="s">
        <v>19</v>
      </c>
      <c r="J601" s="2" t="s">
        <v>20</v>
      </c>
      <c r="K601" s="2">
        <v>18000000</v>
      </c>
      <c r="L601" s="2">
        <v>110996879</v>
      </c>
      <c r="M601" s="2">
        <v>0</v>
      </c>
      <c r="N601" s="2">
        <v>0</v>
      </c>
    </row>
    <row r="602" spans="1:14" x14ac:dyDescent="0.3">
      <c r="A602" s="2">
        <v>451</v>
      </c>
      <c r="B602" s="2" t="s">
        <v>838</v>
      </c>
      <c r="C602" s="3">
        <v>31994</v>
      </c>
      <c r="D602" s="2">
        <v>117</v>
      </c>
      <c r="E602" s="2" t="s">
        <v>38</v>
      </c>
      <c r="F602" s="2" t="s">
        <v>839</v>
      </c>
      <c r="G602" s="2" t="s">
        <v>47</v>
      </c>
      <c r="H602" s="2" t="s">
        <v>18</v>
      </c>
      <c r="I602" s="2" t="s">
        <v>19</v>
      </c>
      <c r="J602" s="2">
        <v>15</v>
      </c>
      <c r="K602" s="2">
        <v>14500000</v>
      </c>
      <c r="L602" s="2">
        <v>65673233</v>
      </c>
      <c r="M602" s="2">
        <v>0</v>
      </c>
      <c r="N602" s="2">
        <v>0</v>
      </c>
    </row>
    <row r="603" spans="1:14" x14ac:dyDescent="0.3">
      <c r="A603" s="2">
        <v>452</v>
      </c>
      <c r="B603" s="2" t="s">
        <v>840</v>
      </c>
      <c r="C603" s="3">
        <v>31940</v>
      </c>
      <c r="D603" s="2">
        <v>118</v>
      </c>
      <c r="E603" s="2" t="s">
        <v>38</v>
      </c>
      <c r="F603" s="2" t="s">
        <v>655</v>
      </c>
      <c r="G603" s="2" t="s">
        <v>841</v>
      </c>
      <c r="H603" s="2" t="s">
        <v>18</v>
      </c>
      <c r="I603" s="2" t="s">
        <v>19</v>
      </c>
      <c r="J603" s="2">
        <v>18</v>
      </c>
      <c r="K603" s="2">
        <v>22000000</v>
      </c>
      <c r="L603" s="2">
        <v>63800000</v>
      </c>
      <c r="M603" s="2">
        <v>2</v>
      </c>
      <c r="N603" s="2">
        <v>0</v>
      </c>
    </row>
    <row r="604" spans="1:14" x14ac:dyDescent="0.3">
      <c r="A604" s="2">
        <v>453</v>
      </c>
      <c r="B604" s="2" t="s">
        <v>842</v>
      </c>
      <c r="C604" s="3">
        <v>31548</v>
      </c>
      <c r="D604" s="2">
        <v>110</v>
      </c>
      <c r="E604" s="2" t="s">
        <v>22</v>
      </c>
      <c r="F604" s="2" t="s">
        <v>297</v>
      </c>
      <c r="G604" s="2" t="s">
        <v>257</v>
      </c>
      <c r="H604" s="2" t="s">
        <v>18</v>
      </c>
      <c r="I604" s="2" t="s">
        <v>19</v>
      </c>
      <c r="J604" s="2">
        <v>15</v>
      </c>
      <c r="K604" s="2">
        <v>15000000</v>
      </c>
      <c r="L604" s="2">
        <v>356800000</v>
      </c>
      <c r="M604" s="2">
        <v>4</v>
      </c>
      <c r="N604" s="2">
        <v>1</v>
      </c>
    </row>
    <row r="605" spans="1:14" x14ac:dyDescent="0.3">
      <c r="A605" s="2">
        <v>455</v>
      </c>
      <c r="B605" s="2" t="s">
        <v>846</v>
      </c>
      <c r="C605" s="3">
        <v>31765</v>
      </c>
      <c r="D605" s="2">
        <v>120</v>
      </c>
      <c r="E605" s="2" t="s">
        <v>45</v>
      </c>
      <c r="F605" s="2" t="s">
        <v>791</v>
      </c>
      <c r="G605" s="2" t="s">
        <v>492</v>
      </c>
      <c r="H605" s="2" t="s">
        <v>18</v>
      </c>
      <c r="I605" s="2" t="s">
        <v>19</v>
      </c>
      <c r="J605" s="2">
        <v>15</v>
      </c>
      <c r="K605" s="2">
        <v>6000000</v>
      </c>
      <c r="L605" s="2">
        <v>138500000</v>
      </c>
      <c r="M605" s="2">
        <v>8</v>
      </c>
      <c r="N605" s="2">
        <v>4</v>
      </c>
    </row>
    <row r="606" spans="1:14" x14ac:dyDescent="0.3">
      <c r="A606" s="2">
        <v>456</v>
      </c>
      <c r="B606" s="2" t="s">
        <v>847</v>
      </c>
      <c r="C606" s="3">
        <v>31583</v>
      </c>
      <c r="D606" s="2">
        <v>113</v>
      </c>
      <c r="E606" s="2" t="s">
        <v>190</v>
      </c>
      <c r="F606" s="2" t="s">
        <v>848</v>
      </c>
      <c r="G606" s="2" t="s">
        <v>213</v>
      </c>
      <c r="H606" s="2" t="s">
        <v>18</v>
      </c>
      <c r="I606" s="2" t="s">
        <v>19</v>
      </c>
      <c r="J606" s="2" t="s">
        <v>20</v>
      </c>
      <c r="K606" s="2">
        <v>13000000</v>
      </c>
      <c r="L606" s="2">
        <v>115100000</v>
      </c>
      <c r="M606" s="2">
        <v>1</v>
      </c>
      <c r="N606" s="2">
        <v>0</v>
      </c>
    </row>
    <row r="607" spans="1:14" x14ac:dyDescent="0.3">
      <c r="A607" s="2">
        <v>458</v>
      </c>
      <c r="B607" s="2" t="s">
        <v>849</v>
      </c>
      <c r="C607" s="3">
        <v>31758</v>
      </c>
      <c r="D607" s="2">
        <v>94</v>
      </c>
      <c r="E607" s="2" t="s">
        <v>15</v>
      </c>
      <c r="F607" s="2" t="s">
        <v>850</v>
      </c>
      <c r="G607" s="2" t="s">
        <v>818</v>
      </c>
      <c r="H607" s="2" t="s">
        <v>18</v>
      </c>
      <c r="I607" s="2" t="s">
        <v>19</v>
      </c>
      <c r="J607" s="2" t="s">
        <v>20</v>
      </c>
      <c r="K607" s="2">
        <v>25000000</v>
      </c>
      <c r="L607" s="2">
        <v>79800000</v>
      </c>
      <c r="M607" s="2">
        <v>0</v>
      </c>
      <c r="N607" s="2">
        <v>0</v>
      </c>
    </row>
    <row r="608" spans="1:14" x14ac:dyDescent="0.3">
      <c r="A608" s="2">
        <v>460</v>
      </c>
      <c r="B608" s="2" t="s">
        <v>851</v>
      </c>
      <c r="C608" s="3">
        <v>31574</v>
      </c>
      <c r="D608" s="2">
        <v>103</v>
      </c>
      <c r="E608" s="2" t="s">
        <v>38</v>
      </c>
      <c r="F608" s="2" t="s">
        <v>852</v>
      </c>
      <c r="G608" s="2" t="s">
        <v>257</v>
      </c>
      <c r="H608" s="2" t="s">
        <v>18</v>
      </c>
      <c r="I608" s="2" t="s">
        <v>19</v>
      </c>
      <c r="J608" s="2">
        <v>15</v>
      </c>
      <c r="K608" s="2">
        <v>5800000</v>
      </c>
      <c r="L608" s="2">
        <v>70100000</v>
      </c>
      <c r="M608" s="2">
        <v>0</v>
      </c>
      <c r="N608" s="2">
        <v>0</v>
      </c>
    </row>
    <row r="609" spans="1:14" x14ac:dyDescent="0.3">
      <c r="A609" s="2">
        <v>461</v>
      </c>
      <c r="B609" s="2" t="s">
        <v>853</v>
      </c>
      <c r="C609" s="3">
        <v>31189</v>
      </c>
      <c r="D609" s="2">
        <v>96</v>
      </c>
      <c r="E609" s="2" t="s">
        <v>22</v>
      </c>
      <c r="F609" s="2" t="s">
        <v>854</v>
      </c>
      <c r="G609" s="2" t="s">
        <v>179</v>
      </c>
      <c r="H609" s="2" t="s">
        <v>18</v>
      </c>
      <c r="I609" s="2" t="s">
        <v>19</v>
      </c>
      <c r="J609" s="2">
        <v>15</v>
      </c>
      <c r="K609" s="2">
        <v>25500000</v>
      </c>
      <c r="L609" s="2">
        <v>300400000</v>
      </c>
      <c r="M609" s="2">
        <v>1</v>
      </c>
      <c r="N609" s="2">
        <v>0</v>
      </c>
    </row>
    <row r="610" spans="1:14" x14ac:dyDescent="0.3">
      <c r="A610" s="2">
        <v>462</v>
      </c>
      <c r="B610" s="2" t="s">
        <v>855</v>
      </c>
      <c r="C610" s="3">
        <v>31378</v>
      </c>
      <c r="D610" s="2">
        <v>91</v>
      </c>
      <c r="E610" s="2" t="s">
        <v>364</v>
      </c>
      <c r="F610" s="2" t="s">
        <v>856</v>
      </c>
      <c r="G610" s="2" t="s">
        <v>417</v>
      </c>
      <c r="H610" s="2" t="s">
        <v>18</v>
      </c>
      <c r="I610" s="2" t="s">
        <v>19</v>
      </c>
      <c r="J610" s="2" t="s">
        <v>20</v>
      </c>
      <c r="K610" s="2">
        <v>28000000</v>
      </c>
      <c r="L610" s="2">
        <v>300400000</v>
      </c>
      <c r="M610" s="2">
        <v>0</v>
      </c>
      <c r="N610" s="2">
        <v>0</v>
      </c>
    </row>
    <row r="611" spans="1:14" x14ac:dyDescent="0.3">
      <c r="A611" s="2">
        <v>463</v>
      </c>
      <c r="B611" s="2" t="s">
        <v>857</v>
      </c>
      <c r="C611" s="3">
        <v>31399</v>
      </c>
      <c r="D611" s="2">
        <v>153</v>
      </c>
      <c r="E611" s="2" t="s">
        <v>190</v>
      </c>
      <c r="F611" s="2" t="s">
        <v>16</v>
      </c>
      <c r="G611" s="2" t="s">
        <v>17</v>
      </c>
      <c r="H611" s="2" t="s">
        <v>18</v>
      </c>
      <c r="I611" s="2" t="s">
        <v>19</v>
      </c>
      <c r="J611" s="2">
        <v>15</v>
      </c>
      <c r="K611" s="2">
        <v>15000000</v>
      </c>
      <c r="L611" s="2">
        <v>142000000</v>
      </c>
      <c r="M611" s="2">
        <v>11</v>
      </c>
      <c r="N611" s="2">
        <v>0</v>
      </c>
    </row>
    <row r="612" spans="1:14" x14ac:dyDescent="0.3">
      <c r="A612" s="2">
        <v>464</v>
      </c>
      <c r="B612" s="2" t="s">
        <v>858</v>
      </c>
      <c r="C612" s="3">
        <v>31399</v>
      </c>
      <c r="D612" s="2">
        <v>161</v>
      </c>
      <c r="E612" s="2" t="s">
        <v>34</v>
      </c>
      <c r="F612" s="2" t="s">
        <v>759</v>
      </c>
      <c r="G612" s="2" t="s">
        <v>859</v>
      </c>
      <c r="H612" s="2" t="s">
        <v>18</v>
      </c>
      <c r="I612" s="2" t="s">
        <v>19</v>
      </c>
      <c r="J612" s="2" t="s">
        <v>20</v>
      </c>
      <c r="K612" s="2">
        <v>28000000</v>
      </c>
      <c r="L612" s="2">
        <v>128500000</v>
      </c>
      <c r="M612" s="2">
        <v>11</v>
      </c>
      <c r="N612" s="2">
        <v>7</v>
      </c>
    </row>
    <row r="613" spans="1:14" x14ac:dyDescent="0.3">
      <c r="A613" s="2">
        <v>465</v>
      </c>
      <c r="B613" s="2" t="s">
        <v>860</v>
      </c>
      <c r="C613" s="3">
        <v>31219</v>
      </c>
      <c r="D613" s="2">
        <v>117</v>
      </c>
      <c r="E613" s="2" t="s">
        <v>49</v>
      </c>
      <c r="F613" s="2" t="s">
        <v>118</v>
      </c>
      <c r="G613" s="2" t="s">
        <v>36</v>
      </c>
      <c r="H613" s="2" t="s">
        <v>18</v>
      </c>
      <c r="I613" s="2" t="s">
        <v>19</v>
      </c>
      <c r="J613" s="2" t="s">
        <v>20</v>
      </c>
      <c r="K613" s="2">
        <v>17500000</v>
      </c>
      <c r="L613" s="2">
        <v>85300000</v>
      </c>
      <c r="M613" s="2">
        <v>2</v>
      </c>
      <c r="N613" s="2">
        <v>2</v>
      </c>
    </row>
    <row r="614" spans="1:14" x14ac:dyDescent="0.3">
      <c r="A614" s="2">
        <v>466</v>
      </c>
      <c r="B614" s="2" t="s">
        <v>861</v>
      </c>
      <c r="C614" s="3">
        <v>31392</v>
      </c>
      <c r="D614" s="2">
        <v>107</v>
      </c>
      <c r="E614" s="2" t="s">
        <v>15</v>
      </c>
      <c r="F614" s="2" t="s">
        <v>862</v>
      </c>
      <c r="G614" s="2" t="s">
        <v>36</v>
      </c>
      <c r="H614" s="2" t="s">
        <v>18</v>
      </c>
      <c r="I614" s="2" t="s">
        <v>19</v>
      </c>
      <c r="J614" s="2" t="s">
        <v>20</v>
      </c>
      <c r="K614" s="2">
        <v>25000000</v>
      </c>
      <c r="L614" s="2">
        <v>96700000</v>
      </c>
      <c r="M614" s="2">
        <v>0</v>
      </c>
      <c r="N614" s="2">
        <v>0</v>
      </c>
    </row>
    <row r="615" spans="1:14" x14ac:dyDescent="0.3">
      <c r="A615" s="2">
        <v>468</v>
      </c>
      <c r="B615" s="2" t="s">
        <v>863</v>
      </c>
      <c r="C615" s="3">
        <v>31205</v>
      </c>
      <c r="D615" s="2">
        <v>114</v>
      </c>
      <c r="E615" s="2" t="s">
        <v>15</v>
      </c>
      <c r="F615" s="2" t="s">
        <v>88</v>
      </c>
      <c r="G615" s="2" t="s">
        <v>17</v>
      </c>
      <c r="H615" s="2" t="s">
        <v>18</v>
      </c>
      <c r="I615" s="2" t="s">
        <v>19</v>
      </c>
      <c r="J615" s="2" t="s">
        <v>20</v>
      </c>
      <c r="K615" s="2">
        <v>19000000</v>
      </c>
      <c r="L615" s="2">
        <v>61500000</v>
      </c>
      <c r="M615" s="2">
        <v>0</v>
      </c>
      <c r="N615" s="2">
        <v>0</v>
      </c>
    </row>
    <row r="616" spans="1:14" x14ac:dyDescent="0.3">
      <c r="A616" s="2">
        <v>469</v>
      </c>
      <c r="B616" s="2" t="s">
        <v>864</v>
      </c>
      <c r="C616" s="3">
        <v>31387</v>
      </c>
      <c r="D616" s="2">
        <v>102</v>
      </c>
      <c r="E616" s="2" t="s">
        <v>38</v>
      </c>
      <c r="F616" s="2" t="s">
        <v>817</v>
      </c>
      <c r="G616" s="2" t="s">
        <v>130</v>
      </c>
      <c r="H616" s="2" t="s">
        <v>18</v>
      </c>
      <c r="I616" s="2" t="s">
        <v>19</v>
      </c>
      <c r="J616" s="2" t="s">
        <v>20</v>
      </c>
      <c r="K616" s="2">
        <v>22000000</v>
      </c>
      <c r="L616" s="2">
        <v>60000000</v>
      </c>
      <c r="M616" s="2">
        <v>0</v>
      </c>
      <c r="N616" s="2">
        <v>0</v>
      </c>
    </row>
    <row r="617" spans="1:14" x14ac:dyDescent="0.3">
      <c r="A617" s="2">
        <v>470</v>
      </c>
      <c r="B617" s="2" t="s">
        <v>865</v>
      </c>
      <c r="C617" s="3">
        <v>31021</v>
      </c>
      <c r="D617" s="2">
        <v>105</v>
      </c>
      <c r="E617" s="2" t="s">
        <v>22</v>
      </c>
      <c r="F617" s="2" t="s">
        <v>866</v>
      </c>
      <c r="G617" s="2" t="s">
        <v>818</v>
      </c>
      <c r="H617" s="2" t="s">
        <v>18</v>
      </c>
      <c r="I617" s="2" t="s">
        <v>19</v>
      </c>
      <c r="J617" s="2">
        <v>15</v>
      </c>
      <c r="K617" s="2">
        <v>15000000</v>
      </c>
      <c r="L617" s="2">
        <v>316400000</v>
      </c>
      <c r="M617" s="2">
        <v>1</v>
      </c>
      <c r="N617" s="2">
        <v>0</v>
      </c>
    </row>
    <row r="618" spans="1:14" x14ac:dyDescent="0.3">
      <c r="A618" s="2">
        <v>472</v>
      </c>
      <c r="B618" s="2" t="s">
        <v>867</v>
      </c>
      <c r="C618" s="3">
        <v>30841</v>
      </c>
      <c r="D618" s="2">
        <v>106</v>
      </c>
      <c r="E618" s="2" t="s">
        <v>38</v>
      </c>
      <c r="F618" s="2" t="s">
        <v>868</v>
      </c>
      <c r="G618" s="2" t="s">
        <v>17</v>
      </c>
      <c r="H618" s="2" t="s">
        <v>18</v>
      </c>
      <c r="I618" s="2" t="s">
        <v>19</v>
      </c>
      <c r="J618" s="2">
        <v>15</v>
      </c>
      <c r="K618" s="2">
        <v>11000000</v>
      </c>
      <c r="L618" s="2">
        <v>153100000</v>
      </c>
      <c r="M618" s="2">
        <v>0</v>
      </c>
      <c r="N618" s="2">
        <v>0</v>
      </c>
    </row>
    <row r="619" spans="1:14" x14ac:dyDescent="0.3">
      <c r="A619" s="2">
        <v>473</v>
      </c>
      <c r="B619" s="2" t="s">
        <v>869</v>
      </c>
      <c r="C619" s="3">
        <v>30855</v>
      </c>
      <c r="D619" s="2">
        <v>127</v>
      </c>
      <c r="E619" s="2" t="s">
        <v>190</v>
      </c>
      <c r="F619" s="2" t="s">
        <v>848</v>
      </c>
      <c r="G619" s="2" t="s">
        <v>213</v>
      </c>
      <c r="H619" s="2" t="s">
        <v>18</v>
      </c>
      <c r="I619" s="2" t="s">
        <v>19</v>
      </c>
      <c r="J619" s="2" t="s">
        <v>20</v>
      </c>
      <c r="K619" s="2">
        <v>8000000</v>
      </c>
      <c r="L619" s="2">
        <v>90800000</v>
      </c>
      <c r="M619" s="2">
        <v>1</v>
      </c>
      <c r="N619" s="2">
        <v>0</v>
      </c>
    </row>
    <row r="620" spans="1:14" x14ac:dyDescent="0.3">
      <c r="A620" s="2">
        <v>474</v>
      </c>
      <c r="B620" s="2" t="s">
        <v>870</v>
      </c>
      <c r="C620" s="3">
        <v>30764</v>
      </c>
      <c r="D620" s="2">
        <v>96</v>
      </c>
      <c r="E620" s="2" t="s">
        <v>38</v>
      </c>
      <c r="F620" s="2" t="s">
        <v>871</v>
      </c>
      <c r="G620" s="2" t="s">
        <v>376</v>
      </c>
      <c r="H620" s="2" t="s">
        <v>18</v>
      </c>
      <c r="I620" s="2" t="s">
        <v>19</v>
      </c>
      <c r="J620" s="2">
        <v>15</v>
      </c>
      <c r="K620" s="2">
        <v>4500000</v>
      </c>
      <c r="L620" s="2">
        <v>146000000</v>
      </c>
      <c r="M620" s="2">
        <v>0</v>
      </c>
      <c r="N620" s="2">
        <v>0</v>
      </c>
    </row>
    <row r="621" spans="1:14" x14ac:dyDescent="0.3">
      <c r="A621" s="2">
        <v>475</v>
      </c>
      <c r="B621" s="2" t="s">
        <v>872</v>
      </c>
      <c r="C621" s="3">
        <v>30729</v>
      </c>
      <c r="D621" s="2">
        <v>110</v>
      </c>
      <c r="E621" s="2" t="s">
        <v>190</v>
      </c>
      <c r="F621" s="2" t="s">
        <v>836</v>
      </c>
      <c r="G621" s="2" t="s">
        <v>257</v>
      </c>
      <c r="H621" s="2" t="s">
        <v>18</v>
      </c>
      <c r="I621" s="2" t="s">
        <v>19</v>
      </c>
      <c r="J621" s="2">
        <v>15</v>
      </c>
      <c r="K621" s="2">
        <v>8200000</v>
      </c>
      <c r="L621" s="2">
        <v>80000000</v>
      </c>
      <c r="M621" s="2">
        <v>2</v>
      </c>
      <c r="N621" s="2">
        <v>0</v>
      </c>
    </row>
    <row r="622" spans="1:14" x14ac:dyDescent="0.3">
      <c r="A622" s="2">
        <v>476</v>
      </c>
      <c r="B622" s="2" t="s">
        <v>873</v>
      </c>
      <c r="C622" s="3">
        <v>30771</v>
      </c>
      <c r="D622" s="2">
        <v>106</v>
      </c>
      <c r="E622" s="2" t="s">
        <v>15</v>
      </c>
      <c r="F622" s="2" t="s">
        <v>57</v>
      </c>
      <c r="G622" s="2" t="s">
        <v>36</v>
      </c>
      <c r="H622" s="2" t="s">
        <v>18</v>
      </c>
      <c r="I622" s="2" t="s">
        <v>19</v>
      </c>
      <c r="J622" s="2">
        <v>12</v>
      </c>
      <c r="K622" s="2">
        <v>10000000</v>
      </c>
      <c r="L622" s="2">
        <v>86500000</v>
      </c>
      <c r="M622" s="2">
        <v>1</v>
      </c>
      <c r="N622" s="2">
        <v>0</v>
      </c>
    </row>
    <row r="623" spans="1:14" x14ac:dyDescent="0.3">
      <c r="A623" s="2">
        <v>477</v>
      </c>
      <c r="B623" s="2" t="s">
        <v>874</v>
      </c>
      <c r="C623" s="3">
        <v>30659</v>
      </c>
      <c r="D623" s="2">
        <v>132</v>
      </c>
      <c r="E623" s="2" t="s">
        <v>190</v>
      </c>
      <c r="F623" s="2" t="s">
        <v>875</v>
      </c>
      <c r="G623" s="2" t="s">
        <v>257</v>
      </c>
      <c r="H623" s="2" t="s">
        <v>18</v>
      </c>
      <c r="I623" s="2" t="s">
        <v>19</v>
      </c>
      <c r="J623" s="2">
        <v>15</v>
      </c>
      <c r="K623" s="2">
        <v>8000000</v>
      </c>
      <c r="L623" s="2">
        <v>108400000</v>
      </c>
      <c r="M623" s="2">
        <v>11</v>
      </c>
      <c r="N623" s="2">
        <v>5</v>
      </c>
    </row>
    <row r="624" spans="1:14" x14ac:dyDescent="0.3">
      <c r="A624" s="2">
        <v>478</v>
      </c>
      <c r="B624" s="2" t="s">
        <v>876</v>
      </c>
      <c r="C624" s="3">
        <v>30421</v>
      </c>
      <c r="D624" s="2">
        <v>98</v>
      </c>
      <c r="E624" s="2" t="s">
        <v>190</v>
      </c>
      <c r="F624" s="2" t="s">
        <v>761</v>
      </c>
      <c r="G624" s="2" t="s">
        <v>484</v>
      </c>
      <c r="H624" s="2" t="s">
        <v>18</v>
      </c>
      <c r="I624" s="2" t="s">
        <v>19</v>
      </c>
      <c r="J624" s="2">
        <v>15</v>
      </c>
      <c r="K624" s="2">
        <v>7000000</v>
      </c>
      <c r="L624" s="2">
        <v>201500000</v>
      </c>
      <c r="M624" s="2">
        <v>4</v>
      </c>
      <c r="N624" s="2">
        <v>1</v>
      </c>
    </row>
    <row r="625" spans="1:14" x14ac:dyDescent="0.3">
      <c r="A625" s="2">
        <v>479</v>
      </c>
      <c r="B625" s="2" t="s">
        <v>877</v>
      </c>
      <c r="C625" s="3">
        <v>30477</v>
      </c>
      <c r="D625" s="2">
        <v>116</v>
      </c>
      <c r="E625" s="2" t="s">
        <v>38</v>
      </c>
      <c r="F625" s="2" t="s">
        <v>817</v>
      </c>
      <c r="G625" s="2" t="s">
        <v>818</v>
      </c>
      <c r="H625" s="2" t="s">
        <v>18</v>
      </c>
      <c r="I625" s="2" t="s">
        <v>19</v>
      </c>
      <c r="J625" s="2">
        <v>15</v>
      </c>
      <c r="K625" s="2">
        <v>15000000</v>
      </c>
      <c r="L625" s="2">
        <v>90400000</v>
      </c>
      <c r="M625" s="2">
        <v>1</v>
      </c>
      <c r="N625" s="2">
        <v>0</v>
      </c>
    </row>
    <row r="626" spans="1:14" x14ac:dyDescent="0.3">
      <c r="A626" s="2">
        <v>480</v>
      </c>
      <c r="B626" s="2" t="s">
        <v>878</v>
      </c>
      <c r="C626" s="3">
        <v>30470</v>
      </c>
      <c r="D626" s="2">
        <v>114</v>
      </c>
      <c r="E626" s="2" t="s">
        <v>84</v>
      </c>
      <c r="F626" s="2" t="s">
        <v>839</v>
      </c>
      <c r="G626" s="2" t="s">
        <v>417</v>
      </c>
      <c r="H626" s="2" t="s">
        <v>18</v>
      </c>
      <c r="I626" s="2" t="s">
        <v>19</v>
      </c>
      <c r="J626" s="2" t="s">
        <v>20</v>
      </c>
      <c r="K626" s="2">
        <v>12000000</v>
      </c>
      <c r="L626" s="2">
        <v>79600000</v>
      </c>
      <c r="M626" s="2">
        <v>3</v>
      </c>
      <c r="N626" s="2">
        <v>0</v>
      </c>
    </row>
    <row r="627" spans="1:14" x14ac:dyDescent="0.3">
      <c r="A627" s="2">
        <v>481</v>
      </c>
      <c r="B627" s="2" t="s">
        <v>879</v>
      </c>
      <c r="C627" s="3">
        <v>30659</v>
      </c>
      <c r="D627" s="2">
        <v>117</v>
      </c>
      <c r="E627" s="2" t="s">
        <v>84</v>
      </c>
      <c r="F627" s="2" t="s">
        <v>311</v>
      </c>
      <c r="G627" s="2" t="s">
        <v>130</v>
      </c>
      <c r="H627" s="2" t="s">
        <v>18</v>
      </c>
      <c r="I627" s="2" t="s">
        <v>19</v>
      </c>
      <c r="J627" s="2">
        <v>18</v>
      </c>
      <c r="K627" s="2">
        <v>22000000</v>
      </c>
      <c r="L627" s="2">
        <v>67642693</v>
      </c>
      <c r="M627" s="2">
        <v>0</v>
      </c>
      <c r="N627" s="2">
        <v>0</v>
      </c>
    </row>
    <row r="628" spans="1:14" x14ac:dyDescent="0.3">
      <c r="A628" s="2">
        <v>482</v>
      </c>
      <c r="B628" s="2" t="s">
        <v>880</v>
      </c>
      <c r="C628" s="3">
        <v>30512</v>
      </c>
      <c r="D628" s="2">
        <v>93</v>
      </c>
      <c r="E628" s="2" t="s">
        <v>190</v>
      </c>
      <c r="F628" s="2" t="s">
        <v>856</v>
      </c>
      <c r="G628" s="2" t="s">
        <v>257</v>
      </c>
      <c r="H628" s="2" t="s">
        <v>18</v>
      </c>
      <c r="I628" s="2" t="s">
        <v>19</v>
      </c>
      <c r="J628" s="2" t="s">
        <v>20</v>
      </c>
      <c r="K628" s="2">
        <v>22000000</v>
      </c>
      <c r="L628" s="2">
        <v>64800000</v>
      </c>
      <c r="M628" s="2">
        <v>0</v>
      </c>
      <c r="N628" s="2">
        <v>0</v>
      </c>
    </row>
    <row r="629" spans="1:14" x14ac:dyDescent="0.3">
      <c r="A629" s="2">
        <v>485</v>
      </c>
      <c r="B629" s="2" t="s">
        <v>881</v>
      </c>
      <c r="C629" s="3">
        <v>30302</v>
      </c>
      <c r="D629" s="2">
        <v>116</v>
      </c>
      <c r="E629" s="2" t="s">
        <v>38</v>
      </c>
      <c r="F629" s="2" t="s">
        <v>759</v>
      </c>
      <c r="G629" s="2" t="s">
        <v>859</v>
      </c>
      <c r="H629" s="2" t="s">
        <v>18</v>
      </c>
      <c r="I629" s="2" t="s">
        <v>19</v>
      </c>
      <c r="J629" s="2">
        <v>15</v>
      </c>
      <c r="K629" s="2">
        <v>21000000</v>
      </c>
      <c r="L629" s="2">
        <v>177200000</v>
      </c>
      <c r="M629" s="2">
        <v>10</v>
      </c>
      <c r="N629" s="2">
        <v>1</v>
      </c>
    </row>
    <row r="630" spans="1:14" x14ac:dyDescent="0.3">
      <c r="A630" s="2">
        <v>486</v>
      </c>
      <c r="B630" s="2" t="s">
        <v>882</v>
      </c>
      <c r="C630" s="3">
        <v>30176</v>
      </c>
      <c r="D630" s="2">
        <v>122</v>
      </c>
      <c r="E630" s="2" t="s">
        <v>190</v>
      </c>
      <c r="F630" s="2" t="s">
        <v>883</v>
      </c>
      <c r="G630" s="2" t="s">
        <v>884</v>
      </c>
      <c r="H630" s="2" t="s">
        <v>18</v>
      </c>
      <c r="I630" s="2" t="s">
        <v>19</v>
      </c>
      <c r="J630" s="2">
        <v>15</v>
      </c>
      <c r="K630" s="2">
        <v>6000000</v>
      </c>
      <c r="L630" s="2">
        <v>129800000</v>
      </c>
      <c r="M630" s="2">
        <v>6</v>
      </c>
      <c r="N630" s="2">
        <v>2</v>
      </c>
    </row>
    <row r="631" spans="1:14" x14ac:dyDescent="0.3">
      <c r="A631" s="2">
        <v>487</v>
      </c>
      <c r="B631" s="2" t="s">
        <v>885</v>
      </c>
      <c r="C631" s="3">
        <v>30099</v>
      </c>
      <c r="D631" s="2">
        <v>100</v>
      </c>
      <c r="E631" s="2" t="s">
        <v>364</v>
      </c>
      <c r="F631" s="2" t="s">
        <v>856</v>
      </c>
      <c r="G631" s="2" t="s">
        <v>417</v>
      </c>
      <c r="H631" s="2" t="s">
        <v>18</v>
      </c>
      <c r="I631" s="2" t="s">
        <v>19</v>
      </c>
      <c r="J631" s="2" t="s">
        <v>20</v>
      </c>
      <c r="K631" s="2">
        <v>17000000</v>
      </c>
      <c r="L631" s="2">
        <v>270000000</v>
      </c>
      <c r="M631" s="2">
        <v>1</v>
      </c>
      <c r="N631" s="2">
        <v>0</v>
      </c>
    </row>
    <row r="632" spans="1:14" x14ac:dyDescent="0.3">
      <c r="A632" s="2">
        <v>489</v>
      </c>
      <c r="B632" s="2" t="s">
        <v>889</v>
      </c>
      <c r="C632" s="3">
        <v>30293</v>
      </c>
      <c r="D632" s="2">
        <v>96</v>
      </c>
      <c r="E632" s="2" t="s">
        <v>22</v>
      </c>
      <c r="F632" s="2" t="s">
        <v>890</v>
      </c>
      <c r="G632" s="2" t="s">
        <v>257</v>
      </c>
      <c r="H632" s="2" t="s">
        <v>18</v>
      </c>
      <c r="I632" s="2" t="s">
        <v>19</v>
      </c>
      <c r="J632" s="2">
        <v>18</v>
      </c>
      <c r="K632" s="2">
        <v>12000000</v>
      </c>
      <c r="L632" s="2">
        <v>78900000</v>
      </c>
      <c r="M632" s="2">
        <v>0</v>
      </c>
      <c r="N632" s="2">
        <v>0</v>
      </c>
    </row>
    <row r="633" spans="1:14" x14ac:dyDescent="0.3">
      <c r="A633" s="2">
        <v>490</v>
      </c>
      <c r="B633" s="2" t="s">
        <v>891</v>
      </c>
      <c r="C633" s="3">
        <v>30106</v>
      </c>
      <c r="D633" s="2">
        <v>114</v>
      </c>
      <c r="E633" s="2" t="s">
        <v>68</v>
      </c>
      <c r="F633" s="2" t="s">
        <v>892</v>
      </c>
      <c r="G633" s="2" t="s">
        <v>834</v>
      </c>
      <c r="H633" s="2" t="s">
        <v>18</v>
      </c>
      <c r="I633" s="2" t="s">
        <v>19</v>
      </c>
      <c r="J633" s="2">
        <v>15</v>
      </c>
      <c r="K633" s="2">
        <v>10700000</v>
      </c>
      <c r="L633" s="2">
        <v>121700000</v>
      </c>
      <c r="M633" s="2">
        <v>3</v>
      </c>
      <c r="N633" s="2">
        <v>0</v>
      </c>
    </row>
    <row r="634" spans="1:14" x14ac:dyDescent="0.3">
      <c r="A634" s="2">
        <v>492</v>
      </c>
      <c r="B634" s="2" t="s">
        <v>893</v>
      </c>
      <c r="C634" s="3">
        <v>30120</v>
      </c>
      <c r="D634" s="2">
        <v>128</v>
      </c>
      <c r="E634" s="2" t="s">
        <v>636</v>
      </c>
      <c r="F634" s="2" t="s">
        <v>894</v>
      </c>
      <c r="G634" s="2" t="s">
        <v>837</v>
      </c>
      <c r="H634" s="2" t="s">
        <v>18</v>
      </c>
      <c r="I634" s="2" t="s">
        <v>19</v>
      </c>
      <c r="J634" s="2" t="s">
        <v>63</v>
      </c>
      <c r="K634" s="2">
        <v>50000000</v>
      </c>
      <c r="L634" s="2">
        <v>57000000</v>
      </c>
      <c r="M634" s="2">
        <v>2</v>
      </c>
      <c r="N634" s="2">
        <v>0</v>
      </c>
    </row>
    <row r="635" spans="1:14" x14ac:dyDescent="0.3">
      <c r="A635" s="2">
        <v>495</v>
      </c>
      <c r="B635" s="2" t="s">
        <v>897</v>
      </c>
      <c r="C635" s="3">
        <v>29784</v>
      </c>
      <c r="D635" s="2">
        <v>97</v>
      </c>
      <c r="E635" s="2" t="s">
        <v>38</v>
      </c>
      <c r="F635" s="2" t="s">
        <v>898</v>
      </c>
      <c r="G635" s="2" t="s">
        <v>793</v>
      </c>
      <c r="H635" s="2" t="s">
        <v>18</v>
      </c>
      <c r="I635" s="2" t="s">
        <v>19</v>
      </c>
      <c r="J635" s="2">
        <v>15</v>
      </c>
      <c r="K635" s="2">
        <v>7000000</v>
      </c>
      <c r="L635" s="2">
        <v>95461682</v>
      </c>
      <c r="M635" s="2">
        <v>4</v>
      </c>
      <c r="N635" s="2">
        <v>2</v>
      </c>
    </row>
    <row r="636" spans="1:14" x14ac:dyDescent="0.3">
      <c r="A636" s="2">
        <v>497</v>
      </c>
      <c r="B636" s="2" t="s">
        <v>899</v>
      </c>
      <c r="C636" s="3">
        <v>29756</v>
      </c>
      <c r="D636" s="2">
        <v>95</v>
      </c>
      <c r="E636" s="2" t="s">
        <v>38</v>
      </c>
      <c r="F636" s="2" t="s">
        <v>900</v>
      </c>
      <c r="G636" s="2" t="s">
        <v>478</v>
      </c>
      <c r="H636" s="2" t="s">
        <v>18</v>
      </c>
      <c r="I636" s="2" t="s">
        <v>19</v>
      </c>
      <c r="J636" s="2" t="s">
        <v>20</v>
      </c>
      <c r="K636" s="2">
        <v>18000000</v>
      </c>
      <c r="L636" s="2">
        <v>72179579</v>
      </c>
      <c r="M636" s="2">
        <v>0</v>
      </c>
      <c r="N636" s="2">
        <v>0</v>
      </c>
    </row>
    <row r="637" spans="1:14" x14ac:dyDescent="0.3">
      <c r="A637" s="2">
        <v>501</v>
      </c>
      <c r="B637" s="2" t="s">
        <v>906</v>
      </c>
      <c r="C637" s="3">
        <v>29574</v>
      </c>
      <c r="D637" s="2">
        <v>110</v>
      </c>
      <c r="E637" s="2" t="s">
        <v>38</v>
      </c>
      <c r="F637" s="2" t="s">
        <v>907</v>
      </c>
      <c r="G637" s="2" t="s">
        <v>36</v>
      </c>
      <c r="H637" s="2" t="s">
        <v>18</v>
      </c>
      <c r="I637" s="2" t="s">
        <v>19</v>
      </c>
      <c r="J637" s="2" t="s">
        <v>63</v>
      </c>
      <c r="K637" s="2">
        <v>10000000</v>
      </c>
      <c r="L637" s="2">
        <v>103290500</v>
      </c>
      <c r="M637" s="2">
        <v>1</v>
      </c>
      <c r="N637" s="2">
        <v>0</v>
      </c>
    </row>
    <row r="638" spans="1:14" x14ac:dyDescent="0.3">
      <c r="A638" s="2">
        <v>502</v>
      </c>
      <c r="B638" s="2" t="s">
        <v>908</v>
      </c>
      <c r="C638" s="3">
        <v>29567</v>
      </c>
      <c r="D638" s="2">
        <v>111</v>
      </c>
      <c r="E638" s="2" t="s">
        <v>38</v>
      </c>
      <c r="F638" s="2" t="s">
        <v>909</v>
      </c>
      <c r="G638" s="2" t="s">
        <v>213</v>
      </c>
      <c r="H638" s="2" t="s">
        <v>18</v>
      </c>
      <c r="I638" s="2" t="s">
        <v>19</v>
      </c>
      <c r="J638" s="2">
        <v>15</v>
      </c>
      <c r="K638" s="2">
        <v>10000000</v>
      </c>
      <c r="L638" s="2">
        <v>101300000</v>
      </c>
      <c r="M638" s="2">
        <v>0</v>
      </c>
      <c r="N638" s="2">
        <v>0</v>
      </c>
    </row>
    <row r="639" spans="1:14" x14ac:dyDescent="0.3">
      <c r="A639" s="2">
        <v>503</v>
      </c>
      <c r="B639" s="2" t="s">
        <v>910</v>
      </c>
      <c r="C639" s="3">
        <v>29404</v>
      </c>
      <c r="D639" s="2">
        <v>87</v>
      </c>
      <c r="E639" s="2" t="s">
        <v>38</v>
      </c>
      <c r="F639" s="2" t="s">
        <v>796</v>
      </c>
      <c r="G639" s="2" t="s">
        <v>257</v>
      </c>
      <c r="H639" s="2" t="s">
        <v>18</v>
      </c>
      <c r="I639" s="2" t="s">
        <v>19</v>
      </c>
      <c r="J639" s="2">
        <v>15</v>
      </c>
      <c r="K639" s="2">
        <v>3500000</v>
      </c>
      <c r="L639" s="2">
        <v>130000000</v>
      </c>
      <c r="M639" s="2">
        <v>0</v>
      </c>
      <c r="N639" s="2">
        <v>0</v>
      </c>
    </row>
    <row r="640" spans="1:14" x14ac:dyDescent="0.3">
      <c r="A640" s="2">
        <v>504</v>
      </c>
      <c r="B640" s="2" t="s">
        <v>911</v>
      </c>
      <c r="C640" s="3">
        <v>29572</v>
      </c>
      <c r="D640" s="2">
        <v>116</v>
      </c>
      <c r="E640" s="2" t="s">
        <v>22</v>
      </c>
      <c r="F640" s="2" t="s">
        <v>912</v>
      </c>
      <c r="G640" s="2" t="s">
        <v>429</v>
      </c>
      <c r="H640" s="2" t="s">
        <v>18</v>
      </c>
      <c r="I640" s="2" t="s">
        <v>19</v>
      </c>
      <c r="J640" s="2" t="s">
        <v>20</v>
      </c>
      <c r="K640" s="2">
        <v>15000000</v>
      </c>
      <c r="L640" s="2">
        <v>70700000</v>
      </c>
      <c r="M640" s="2">
        <v>0</v>
      </c>
      <c r="N640" s="2">
        <v>0</v>
      </c>
    </row>
    <row r="641" spans="1:14" x14ac:dyDescent="0.3">
      <c r="A641" s="2">
        <v>505</v>
      </c>
      <c r="B641" s="2" t="s">
        <v>913</v>
      </c>
      <c r="C641" s="3">
        <v>29504</v>
      </c>
      <c r="D641" s="2">
        <v>109</v>
      </c>
      <c r="E641" s="2" t="s">
        <v>38</v>
      </c>
      <c r="F641" s="2" t="s">
        <v>914</v>
      </c>
      <c r="G641" s="2" t="s">
        <v>130</v>
      </c>
      <c r="H641" s="2" t="s">
        <v>18</v>
      </c>
      <c r="I641" s="2" t="s">
        <v>19</v>
      </c>
      <c r="J641" s="2">
        <v>15</v>
      </c>
      <c r="K641" s="2">
        <v>15000000</v>
      </c>
      <c r="L641" s="2">
        <v>69847348</v>
      </c>
      <c r="M641" s="2">
        <v>3</v>
      </c>
      <c r="N641" s="2">
        <v>0</v>
      </c>
    </row>
    <row r="642" spans="1:14" x14ac:dyDescent="0.3">
      <c r="A642" s="2">
        <v>507</v>
      </c>
      <c r="B642" s="2" t="s">
        <v>915</v>
      </c>
      <c r="C642" s="3">
        <v>29448</v>
      </c>
      <c r="D642" s="2">
        <v>100</v>
      </c>
      <c r="E642" s="2" t="s">
        <v>38</v>
      </c>
      <c r="F642" s="2" t="s">
        <v>900</v>
      </c>
      <c r="G642" s="2" t="s">
        <v>837</v>
      </c>
      <c r="H642" s="2" t="s">
        <v>18</v>
      </c>
      <c r="I642" s="2" t="s">
        <v>19</v>
      </c>
      <c r="J642" s="2" t="s">
        <v>20</v>
      </c>
      <c r="K642" s="2">
        <v>17000000</v>
      </c>
      <c r="L642" s="2">
        <v>66100000</v>
      </c>
      <c r="M642" s="2">
        <v>0</v>
      </c>
      <c r="N642" s="2">
        <v>0</v>
      </c>
    </row>
    <row r="643" spans="1:14" x14ac:dyDescent="0.3">
      <c r="A643" s="2">
        <v>509</v>
      </c>
      <c r="B643" s="2" t="s">
        <v>916</v>
      </c>
      <c r="C643" s="3">
        <v>29392</v>
      </c>
      <c r="D643" s="2">
        <v>132</v>
      </c>
      <c r="E643" s="2" t="s">
        <v>38</v>
      </c>
      <c r="F643" s="2" t="s">
        <v>817</v>
      </c>
      <c r="G643" s="2" t="s">
        <v>103</v>
      </c>
      <c r="H643" s="2" t="s">
        <v>18</v>
      </c>
      <c r="I643" s="2" t="s">
        <v>19</v>
      </c>
      <c r="J643" s="2">
        <v>15</v>
      </c>
      <c r="K643" s="2">
        <v>30000000</v>
      </c>
      <c r="L643" s="2">
        <v>115200000</v>
      </c>
      <c r="M643" s="2">
        <v>0</v>
      </c>
      <c r="N643" s="2">
        <v>0</v>
      </c>
    </row>
    <row r="644" spans="1:14" x14ac:dyDescent="0.3">
      <c r="A644" s="2">
        <v>510</v>
      </c>
      <c r="B644" s="2" t="s">
        <v>917</v>
      </c>
      <c r="C644" s="3">
        <v>29208</v>
      </c>
      <c r="D644" s="2">
        <v>105</v>
      </c>
      <c r="E644" s="2" t="s">
        <v>190</v>
      </c>
      <c r="F644" s="2" t="s">
        <v>918</v>
      </c>
      <c r="G644" s="2" t="s">
        <v>213</v>
      </c>
      <c r="H644" s="2" t="s">
        <v>18</v>
      </c>
      <c r="I644" s="2" t="s">
        <v>19</v>
      </c>
      <c r="J644" s="2" t="s">
        <v>20</v>
      </c>
      <c r="K644" s="2">
        <v>8000000</v>
      </c>
      <c r="L644" s="2">
        <v>106260000</v>
      </c>
      <c r="M644" s="2">
        <v>9</v>
      </c>
      <c r="N644" s="2">
        <v>5</v>
      </c>
    </row>
    <row r="645" spans="1:14" x14ac:dyDescent="0.3">
      <c r="A645" s="2">
        <v>511</v>
      </c>
      <c r="B645" s="2" t="s">
        <v>919</v>
      </c>
      <c r="C645" s="3">
        <v>29063</v>
      </c>
      <c r="D645" s="2">
        <v>118</v>
      </c>
      <c r="E645" s="2" t="s">
        <v>68</v>
      </c>
      <c r="F645" s="2" t="s">
        <v>920</v>
      </c>
      <c r="G645" s="2" t="s">
        <v>399</v>
      </c>
      <c r="H645" s="2" t="s">
        <v>18</v>
      </c>
      <c r="I645" s="2" t="s">
        <v>19</v>
      </c>
      <c r="J645" s="2">
        <v>15</v>
      </c>
      <c r="K645" s="2">
        <v>4700000</v>
      </c>
      <c r="L645" s="2">
        <v>86400000</v>
      </c>
      <c r="M645" s="2">
        <v>1</v>
      </c>
      <c r="N645" s="2">
        <v>0</v>
      </c>
    </row>
    <row r="646" spans="1:14" x14ac:dyDescent="0.3">
      <c r="A646" s="2">
        <v>512</v>
      </c>
      <c r="B646" s="2" t="s">
        <v>921</v>
      </c>
      <c r="C646" s="3">
        <v>29021</v>
      </c>
      <c r="D646" s="2">
        <v>119</v>
      </c>
      <c r="E646" s="2" t="s">
        <v>190</v>
      </c>
      <c r="F646" s="2" t="s">
        <v>856</v>
      </c>
      <c r="G646" s="2" t="s">
        <v>417</v>
      </c>
      <c r="H646" s="2" t="s">
        <v>18</v>
      </c>
      <c r="I646" s="2" t="s">
        <v>19</v>
      </c>
      <c r="J646" s="2" t="s">
        <v>20</v>
      </c>
      <c r="K646" s="2">
        <v>7000000</v>
      </c>
      <c r="L646" s="2">
        <v>200100000</v>
      </c>
      <c r="M646" s="2">
        <v>0</v>
      </c>
      <c r="N646" s="2">
        <v>0</v>
      </c>
    </row>
    <row r="647" spans="1:14" x14ac:dyDescent="0.3">
      <c r="A647" s="2">
        <v>513</v>
      </c>
      <c r="B647" s="2" t="s">
        <v>922</v>
      </c>
      <c r="C647" s="3">
        <v>29082</v>
      </c>
      <c r="D647" s="2">
        <v>153</v>
      </c>
      <c r="E647" s="2" t="s">
        <v>45</v>
      </c>
      <c r="F647" s="2" t="s">
        <v>783</v>
      </c>
      <c r="G647" s="2" t="s">
        <v>923</v>
      </c>
      <c r="H647" s="2" t="s">
        <v>18</v>
      </c>
      <c r="I647" s="2" t="s">
        <v>19</v>
      </c>
      <c r="J647" s="2">
        <v>18</v>
      </c>
      <c r="K647" s="2">
        <v>31500000</v>
      </c>
      <c r="L647" s="2">
        <v>150000000</v>
      </c>
      <c r="M647" s="2">
        <v>8</v>
      </c>
      <c r="N647" s="2">
        <v>2</v>
      </c>
    </row>
    <row r="648" spans="1:14" x14ac:dyDescent="0.3">
      <c r="A648" s="2">
        <v>514</v>
      </c>
      <c r="B648" s="2">
        <v>10</v>
      </c>
      <c r="C648" s="3">
        <v>29133</v>
      </c>
      <c r="D648" s="2">
        <v>122</v>
      </c>
      <c r="E648" s="2" t="s">
        <v>697</v>
      </c>
      <c r="F648" s="2" t="s">
        <v>924</v>
      </c>
      <c r="G648" s="2" t="s">
        <v>793</v>
      </c>
      <c r="H648" s="2" t="s">
        <v>18</v>
      </c>
      <c r="I648" s="2" t="s">
        <v>19</v>
      </c>
      <c r="J648" s="2">
        <v>18</v>
      </c>
      <c r="K648" s="2">
        <v>7000000</v>
      </c>
      <c r="L648" s="2">
        <v>74800000</v>
      </c>
      <c r="M648" s="2">
        <v>2</v>
      </c>
      <c r="N648" s="2">
        <v>0</v>
      </c>
    </row>
    <row r="649" spans="1:14" x14ac:dyDescent="0.3">
      <c r="A649" s="2">
        <v>515</v>
      </c>
      <c r="B649" s="2" t="s">
        <v>925</v>
      </c>
      <c r="C649" s="3">
        <v>29203</v>
      </c>
      <c r="D649" s="2">
        <v>94</v>
      </c>
      <c r="E649" s="2" t="s">
        <v>38</v>
      </c>
      <c r="F649" s="2" t="s">
        <v>926</v>
      </c>
      <c r="G649" s="2" t="s">
        <v>103</v>
      </c>
      <c r="H649" s="2" t="s">
        <v>18</v>
      </c>
      <c r="I649" s="2" t="s">
        <v>19</v>
      </c>
      <c r="J649" s="2">
        <v>15</v>
      </c>
      <c r="K649" s="2">
        <v>4000000</v>
      </c>
      <c r="L649" s="2">
        <v>73700000</v>
      </c>
      <c r="M649" s="2">
        <v>0</v>
      </c>
      <c r="N649" s="2">
        <v>0</v>
      </c>
    </row>
    <row r="650" spans="1:14" x14ac:dyDescent="0.3">
      <c r="A650" s="2">
        <v>516</v>
      </c>
      <c r="B650" s="2" t="s">
        <v>927</v>
      </c>
      <c r="C650" s="3">
        <v>29006</v>
      </c>
      <c r="D650" s="2">
        <v>97</v>
      </c>
      <c r="E650" s="2" t="s">
        <v>724</v>
      </c>
      <c r="F650" s="2" t="s">
        <v>928</v>
      </c>
      <c r="G650" s="2" t="s">
        <v>929</v>
      </c>
      <c r="H650" s="2" t="s">
        <v>18</v>
      </c>
      <c r="I650" s="2" t="s">
        <v>19</v>
      </c>
      <c r="J650" s="2" t="s">
        <v>63</v>
      </c>
      <c r="K650" s="2">
        <v>8000000</v>
      </c>
      <c r="L650" s="2">
        <v>76600000</v>
      </c>
      <c r="M650" s="2">
        <v>2</v>
      </c>
      <c r="N650" s="2">
        <v>0</v>
      </c>
    </row>
    <row r="651" spans="1:14" x14ac:dyDescent="0.3">
      <c r="A651" s="2">
        <v>517</v>
      </c>
      <c r="B651" s="2" t="s">
        <v>930</v>
      </c>
      <c r="C651" s="3">
        <v>28657</v>
      </c>
      <c r="D651" s="2">
        <v>110</v>
      </c>
      <c r="E651" s="2" t="s">
        <v>636</v>
      </c>
      <c r="F651" s="2" t="s">
        <v>931</v>
      </c>
      <c r="G651" s="2" t="s">
        <v>257</v>
      </c>
      <c r="H651" s="2" t="s">
        <v>18</v>
      </c>
      <c r="I651" s="2" t="s">
        <v>19</v>
      </c>
      <c r="J651" s="2" t="s">
        <v>20</v>
      </c>
      <c r="K651" s="2">
        <v>6000000</v>
      </c>
      <c r="L651" s="2">
        <v>395000000</v>
      </c>
      <c r="M651" s="2">
        <v>1</v>
      </c>
      <c r="N651" s="2">
        <v>0</v>
      </c>
    </row>
    <row r="652" spans="1:14" x14ac:dyDescent="0.3">
      <c r="A652" s="2">
        <v>518</v>
      </c>
      <c r="B652" s="2" t="s">
        <v>932</v>
      </c>
      <c r="C652" s="3">
        <v>28699</v>
      </c>
      <c r="D652" s="2">
        <v>109</v>
      </c>
      <c r="E652" s="2" t="s">
        <v>38</v>
      </c>
      <c r="F652" s="2" t="s">
        <v>817</v>
      </c>
      <c r="G652" s="2" t="s">
        <v>103</v>
      </c>
      <c r="H652" s="2" t="s">
        <v>18</v>
      </c>
      <c r="I652" s="2" t="s">
        <v>19</v>
      </c>
      <c r="J652" s="2">
        <v>15</v>
      </c>
      <c r="K652" s="2">
        <v>3000000</v>
      </c>
      <c r="L652" s="2">
        <v>141600000</v>
      </c>
      <c r="M652" s="2">
        <v>0</v>
      </c>
      <c r="N652" s="2">
        <v>0</v>
      </c>
    </row>
    <row r="653" spans="1:14" x14ac:dyDescent="0.3">
      <c r="A653" s="2">
        <v>519</v>
      </c>
      <c r="B653" s="2" t="s">
        <v>933</v>
      </c>
      <c r="C653" s="3">
        <v>28844</v>
      </c>
      <c r="D653" s="2">
        <v>114</v>
      </c>
      <c r="E653" s="2" t="s">
        <v>22</v>
      </c>
      <c r="F653" s="2" t="s">
        <v>934</v>
      </c>
      <c r="G653" s="2" t="s">
        <v>429</v>
      </c>
      <c r="H653" s="2" t="s">
        <v>18</v>
      </c>
      <c r="I653" s="2" t="s">
        <v>19</v>
      </c>
      <c r="J653" s="2">
        <v>15</v>
      </c>
      <c r="K653" s="2">
        <v>5000000</v>
      </c>
      <c r="L653" s="2">
        <v>85000000</v>
      </c>
      <c r="M653" s="2">
        <v>0</v>
      </c>
      <c r="N653" s="2">
        <v>0</v>
      </c>
    </row>
    <row r="654" spans="1:14" x14ac:dyDescent="0.3">
      <c r="A654" s="2">
        <v>522</v>
      </c>
      <c r="B654" s="2" t="s">
        <v>935</v>
      </c>
      <c r="C654" s="3">
        <v>28657</v>
      </c>
      <c r="D654" s="2">
        <v>116</v>
      </c>
      <c r="E654" s="2" t="s">
        <v>84</v>
      </c>
      <c r="F654" s="2" t="s">
        <v>936</v>
      </c>
      <c r="G654" s="2" t="s">
        <v>103</v>
      </c>
      <c r="H654" s="2" t="s">
        <v>18</v>
      </c>
      <c r="I654" s="2" t="s">
        <v>19</v>
      </c>
      <c r="J654" s="2" t="s">
        <v>20</v>
      </c>
      <c r="K654" s="2">
        <v>20000000</v>
      </c>
      <c r="L654" s="2">
        <v>208900000</v>
      </c>
      <c r="M654" s="2">
        <v>0</v>
      </c>
      <c r="N654" s="2">
        <v>0</v>
      </c>
    </row>
    <row r="655" spans="1:14" x14ac:dyDescent="0.3">
      <c r="A655" s="2">
        <v>523</v>
      </c>
      <c r="B655" s="2" t="s">
        <v>937</v>
      </c>
      <c r="C655" s="3">
        <v>28734</v>
      </c>
      <c r="D655" s="2">
        <v>127</v>
      </c>
      <c r="E655" s="2" t="s">
        <v>68</v>
      </c>
      <c r="F655" s="2" t="s">
        <v>938</v>
      </c>
      <c r="G655" s="2" t="s">
        <v>939</v>
      </c>
      <c r="H655" s="2" t="s">
        <v>18</v>
      </c>
      <c r="I655" s="2" t="s">
        <v>19</v>
      </c>
      <c r="J655" s="2">
        <v>18</v>
      </c>
      <c r="K655" s="2">
        <v>1500000</v>
      </c>
      <c r="L655" s="2">
        <v>55000000</v>
      </c>
      <c r="M655" s="2">
        <v>0</v>
      </c>
      <c r="N655" s="2">
        <v>0</v>
      </c>
    </row>
    <row r="656" spans="1:14" x14ac:dyDescent="0.3">
      <c r="A656" s="2">
        <v>525</v>
      </c>
      <c r="B656" s="2" t="s">
        <v>942</v>
      </c>
      <c r="C656" s="3">
        <v>28832</v>
      </c>
      <c r="D656" s="2">
        <v>183</v>
      </c>
      <c r="E656" s="2" t="s">
        <v>190</v>
      </c>
      <c r="F656" s="2" t="s">
        <v>943</v>
      </c>
      <c r="G656" s="2" t="s">
        <v>944</v>
      </c>
      <c r="H656" s="2" t="s">
        <v>18</v>
      </c>
      <c r="I656" s="2" t="s">
        <v>19</v>
      </c>
      <c r="J656" s="2">
        <v>18</v>
      </c>
      <c r="K656" s="2">
        <v>15000000</v>
      </c>
      <c r="L656" s="2">
        <v>49000000</v>
      </c>
      <c r="M656" s="2">
        <v>9</v>
      </c>
      <c r="N656" s="2">
        <v>5</v>
      </c>
    </row>
    <row r="657" spans="1:14" x14ac:dyDescent="0.3">
      <c r="A657" s="2">
        <v>526</v>
      </c>
      <c r="B657" s="2" t="s">
        <v>945</v>
      </c>
      <c r="C657" s="3">
        <v>28272</v>
      </c>
      <c r="D657" s="2">
        <v>96</v>
      </c>
      <c r="E657" s="2" t="s">
        <v>38</v>
      </c>
      <c r="F657" s="2" t="s">
        <v>900</v>
      </c>
      <c r="G657" s="2" t="s">
        <v>837</v>
      </c>
      <c r="H657" s="2" t="s">
        <v>18</v>
      </c>
      <c r="I657" s="2" t="s">
        <v>19</v>
      </c>
      <c r="J657" s="2" t="s">
        <v>20</v>
      </c>
      <c r="K657" s="2">
        <v>4300000</v>
      </c>
      <c r="L657" s="2">
        <v>300000000</v>
      </c>
      <c r="M657" s="2">
        <v>1</v>
      </c>
      <c r="N657" s="2">
        <v>0</v>
      </c>
    </row>
    <row r="658" spans="1:14" x14ac:dyDescent="0.3">
      <c r="A658" s="2">
        <v>527</v>
      </c>
      <c r="B658" s="2" t="s">
        <v>946</v>
      </c>
      <c r="C658" s="3">
        <v>28445</v>
      </c>
      <c r="D658" s="2">
        <v>135</v>
      </c>
      <c r="E658" s="2" t="s">
        <v>49</v>
      </c>
      <c r="F658" s="2" t="s">
        <v>16</v>
      </c>
      <c r="G658" s="2" t="s">
        <v>944</v>
      </c>
      <c r="H658" s="2" t="s">
        <v>18</v>
      </c>
      <c r="I658" s="2" t="s">
        <v>19</v>
      </c>
      <c r="J658" s="2" t="s">
        <v>20</v>
      </c>
      <c r="K658" s="2">
        <v>20000000</v>
      </c>
      <c r="L658" s="2">
        <v>303800000</v>
      </c>
      <c r="M658" s="2">
        <v>8</v>
      </c>
      <c r="N658" s="2">
        <v>1</v>
      </c>
    </row>
    <row r="659" spans="1:14" x14ac:dyDescent="0.3">
      <c r="A659" s="2">
        <v>529</v>
      </c>
      <c r="B659" s="2" t="s">
        <v>947</v>
      </c>
      <c r="C659" s="3">
        <v>28473</v>
      </c>
      <c r="D659" s="2">
        <v>118</v>
      </c>
      <c r="E659" s="2" t="s">
        <v>190</v>
      </c>
      <c r="F659" s="2" t="s">
        <v>839</v>
      </c>
      <c r="G659" s="2" t="s">
        <v>257</v>
      </c>
      <c r="H659" s="2" t="s">
        <v>18</v>
      </c>
      <c r="I659" s="2" t="s">
        <v>19</v>
      </c>
      <c r="J659" s="2">
        <v>18</v>
      </c>
      <c r="K659" s="2">
        <v>3500000</v>
      </c>
      <c r="L659" s="2">
        <v>237100000</v>
      </c>
      <c r="M659" s="2">
        <v>1</v>
      </c>
      <c r="N659" s="2">
        <v>0</v>
      </c>
    </row>
    <row r="660" spans="1:14" x14ac:dyDescent="0.3">
      <c r="A660" s="2">
        <v>532</v>
      </c>
      <c r="B660" s="2" t="s">
        <v>950</v>
      </c>
      <c r="C660" s="3">
        <v>28293</v>
      </c>
      <c r="D660" s="2">
        <v>124</v>
      </c>
      <c r="E660" s="2" t="s">
        <v>15</v>
      </c>
      <c r="F660" s="2" t="s">
        <v>951</v>
      </c>
      <c r="G660" s="2" t="s">
        <v>944</v>
      </c>
      <c r="H660" s="2" t="s">
        <v>18</v>
      </c>
      <c r="I660" s="2" t="s">
        <v>19</v>
      </c>
      <c r="J660" s="2">
        <v>15</v>
      </c>
      <c r="K660" s="2">
        <v>9000000</v>
      </c>
      <c r="L660" s="2">
        <v>47300000</v>
      </c>
      <c r="M660" s="2">
        <v>1</v>
      </c>
      <c r="N660" s="2">
        <v>0</v>
      </c>
    </row>
    <row r="661" spans="1:14" x14ac:dyDescent="0.3">
      <c r="A661" s="2">
        <v>533</v>
      </c>
      <c r="B661" s="2" t="s">
        <v>952</v>
      </c>
      <c r="C661" s="3">
        <v>28235</v>
      </c>
      <c r="D661" s="2">
        <v>93</v>
      </c>
      <c r="E661" s="2" t="s">
        <v>697</v>
      </c>
      <c r="F661" s="2" t="s">
        <v>953</v>
      </c>
      <c r="G661" s="2" t="s">
        <v>417</v>
      </c>
      <c r="H661" s="2" t="s">
        <v>18</v>
      </c>
      <c r="I661" s="2" t="s">
        <v>19</v>
      </c>
      <c r="J661" s="2">
        <v>15</v>
      </c>
      <c r="K661" s="2">
        <v>4000000</v>
      </c>
      <c r="L661" s="2">
        <v>38300000</v>
      </c>
      <c r="M661" s="2">
        <v>5</v>
      </c>
      <c r="N661" s="2">
        <v>4</v>
      </c>
    </row>
    <row r="662" spans="1:14" x14ac:dyDescent="0.3">
      <c r="A662" s="2">
        <v>534</v>
      </c>
      <c r="B662" s="2" t="s">
        <v>954</v>
      </c>
      <c r="C662" s="3">
        <v>28085</v>
      </c>
      <c r="D662" s="2">
        <v>119</v>
      </c>
      <c r="E662" s="2" t="s">
        <v>190</v>
      </c>
      <c r="F662" s="2" t="s">
        <v>848</v>
      </c>
      <c r="G662" s="2" t="s">
        <v>417</v>
      </c>
      <c r="H662" s="2" t="s">
        <v>18</v>
      </c>
      <c r="I662" s="2" t="s">
        <v>19</v>
      </c>
      <c r="J662" s="2" t="s">
        <v>20</v>
      </c>
      <c r="K662" s="2">
        <v>1100000</v>
      </c>
      <c r="L662" s="2">
        <v>225000000</v>
      </c>
      <c r="M662" s="2">
        <v>10</v>
      </c>
      <c r="N662" s="2">
        <v>3</v>
      </c>
    </row>
    <row r="663" spans="1:14" x14ac:dyDescent="0.3">
      <c r="A663" s="2">
        <v>537</v>
      </c>
      <c r="B663" s="2" t="s">
        <v>955</v>
      </c>
      <c r="C663" s="3">
        <v>27859</v>
      </c>
      <c r="D663" s="2">
        <v>138</v>
      </c>
      <c r="E663" s="2" t="s">
        <v>84</v>
      </c>
      <c r="F663" s="2" t="s">
        <v>768</v>
      </c>
      <c r="G663" s="2" t="s">
        <v>130</v>
      </c>
      <c r="H663" s="2" t="s">
        <v>18</v>
      </c>
      <c r="I663" s="2" t="s">
        <v>19</v>
      </c>
      <c r="J663" s="2">
        <v>15</v>
      </c>
      <c r="K663" s="2">
        <v>8500000</v>
      </c>
      <c r="L663" s="2">
        <v>70600000</v>
      </c>
      <c r="M663" s="2">
        <v>8</v>
      </c>
      <c r="N663" s="2">
        <v>4</v>
      </c>
    </row>
    <row r="664" spans="1:14" x14ac:dyDescent="0.3">
      <c r="A664" s="2">
        <v>538</v>
      </c>
      <c r="B664" s="2" t="s">
        <v>956</v>
      </c>
      <c r="C664" s="3">
        <v>27917</v>
      </c>
      <c r="D664" s="2">
        <v>111</v>
      </c>
      <c r="E664" s="2" t="s">
        <v>68</v>
      </c>
      <c r="F664" s="2" t="s">
        <v>88</v>
      </c>
      <c r="G664" s="2" t="s">
        <v>36</v>
      </c>
      <c r="H664" s="2" t="s">
        <v>18</v>
      </c>
      <c r="I664" s="2" t="s">
        <v>19</v>
      </c>
      <c r="J664" s="2">
        <v>18</v>
      </c>
      <c r="K664" s="2">
        <v>2800000</v>
      </c>
      <c r="L664" s="2">
        <v>60900000</v>
      </c>
      <c r="M664" s="2">
        <v>2</v>
      </c>
      <c r="N664" s="2">
        <v>1</v>
      </c>
    </row>
    <row r="665" spans="1:14" x14ac:dyDescent="0.3">
      <c r="A665" s="2">
        <v>540</v>
      </c>
      <c r="B665" s="2" t="s">
        <v>957</v>
      </c>
      <c r="C665" s="3">
        <v>28102</v>
      </c>
      <c r="D665" s="2">
        <v>114</v>
      </c>
      <c r="E665" s="2" t="s">
        <v>38</v>
      </c>
      <c r="F665" s="2" t="s">
        <v>958</v>
      </c>
      <c r="G665" s="2" t="s">
        <v>36</v>
      </c>
      <c r="H665" s="2" t="s">
        <v>18</v>
      </c>
      <c r="I665" s="2" t="s">
        <v>19</v>
      </c>
      <c r="J665" s="2" t="s">
        <v>20</v>
      </c>
      <c r="K665" s="2">
        <v>6500000</v>
      </c>
      <c r="L665" s="2">
        <v>51100000</v>
      </c>
      <c r="M665" s="2">
        <v>1</v>
      </c>
      <c r="N665" s="2">
        <v>0</v>
      </c>
    </row>
    <row r="666" spans="1:14" x14ac:dyDescent="0.3">
      <c r="A666" s="2">
        <v>541</v>
      </c>
      <c r="B666" s="2" t="s">
        <v>959</v>
      </c>
      <c r="C666" s="3">
        <v>28116</v>
      </c>
      <c r="D666" s="2">
        <v>96</v>
      </c>
      <c r="E666" s="2" t="s">
        <v>22</v>
      </c>
      <c r="F666" s="2" t="s">
        <v>934</v>
      </c>
      <c r="G666" s="2" t="s">
        <v>130</v>
      </c>
      <c r="H666" s="2" t="s">
        <v>18</v>
      </c>
      <c r="I666" s="2" t="s">
        <v>19</v>
      </c>
      <c r="J666" s="2">
        <v>18</v>
      </c>
      <c r="K666" s="2">
        <v>9000000</v>
      </c>
      <c r="L666" s="2">
        <v>46236000</v>
      </c>
      <c r="M666" s="2">
        <v>0</v>
      </c>
      <c r="N666" s="2">
        <v>0</v>
      </c>
    </row>
    <row r="667" spans="1:14" x14ac:dyDescent="0.3">
      <c r="A667" s="2">
        <v>542</v>
      </c>
      <c r="B667" s="2" t="s">
        <v>960</v>
      </c>
      <c r="C667" s="3">
        <v>27929</v>
      </c>
      <c r="D667" s="2">
        <v>131</v>
      </c>
      <c r="E667" s="2" t="s">
        <v>45</v>
      </c>
      <c r="F667" s="2" t="s">
        <v>961</v>
      </c>
      <c r="G667" s="2" t="s">
        <v>103</v>
      </c>
      <c r="H667" s="2" t="s">
        <v>18</v>
      </c>
      <c r="I667" s="2" t="s">
        <v>19</v>
      </c>
      <c r="J667" s="2" t="s">
        <v>20</v>
      </c>
      <c r="K667" s="2">
        <v>3000000</v>
      </c>
      <c r="L667" s="2">
        <v>43200000</v>
      </c>
      <c r="M667" s="2">
        <v>0</v>
      </c>
      <c r="N667" s="2">
        <v>0</v>
      </c>
    </row>
    <row r="668" spans="1:14" x14ac:dyDescent="0.3">
      <c r="A668" s="2">
        <v>543</v>
      </c>
      <c r="B668" s="2" t="s">
        <v>962</v>
      </c>
      <c r="C668" s="3">
        <v>27565</v>
      </c>
      <c r="D668" s="2">
        <v>124</v>
      </c>
      <c r="E668" s="2" t="s">
        <v>84</v>
      </c>
      <c r="F668" s="2" t="s">
        <v>16</v>
      </c>
      <c r="G668" s="2" t="s">
        <v>103</v>
      </c>
      <c r="H668" s="2" t="s">
        <v>18</v>
      </c>
      <c r="I668" s="2" t="s">
        <v>19</v>
      </c>
      <c r="J668" s="2" t="s">
        <v>20</v>
      </c>
      <c r="K668" s="2">
        <v>9000000</v>
      </c>
      <c r="L668" s="2">
        <v>470700000</v>
      </c>
      <c r="M668" s="2">
        <v>4</v>
      </c>
      <c r="N668" s="2">
        <v>3</v>
      </c>
    </row>
    <row r="669" spans="1:14" x14ac:dyDescent="0.3">
      <c r="A669" s="2">
        <v>545</v>
      </c>
      <c r="B669" s="2" t="s">
        <v>965</v>
      </c>
      <c r="C669" s="3">
        <v>27717</v>
      </c>
      <c r="D669" s="2">
        <v>133</v>
      </c>
      <c r="E669" s="2" t="s">
        <v>190</v>
      </c>
      <c r="F669" s="2" t="s">
        <v>966</v>
      </c>
      <c r="G669" s="2" t="s">
        <v>417</v>
      </c>
      <c r="H669" s="2" t="s">
        <v>18</v>
      </c>
      <c r="I669" s="2" t="s">
        <v>19</v>
      </c>
      <c r="J669" s="2">
        <v>18</v>
      </c>
      <c r="K669" s="2">
        <v>3000000</v>
      </c>
      <c r="L669" s="2">
        <v>109000000</v>
      </c>
      <c r="M669" s="2">
        <v>9</v>
      </c>
      <c r="N669" s="2">
        <v>5</v>
      </c>
    </row>
    <row r="670" spans="1:14" x14ac:dyDescent="0.3">
      <c r="A670" s="2">
        <v>546</v>
      </c>
      <c r="B670" s="2" t="s">
        <v>967</v>
      </c>
      <c r="C670" s="3">
        <v>27658</v>
      </c>
      <c r="D670" s="2">
        <v>125</v>
      </c>
      <c r="E670" s="2" t="s">
        <v>150</v>
      </c>
      <c r="F670" s="2" t="s">
        <v>968</v>
      </c>
      <c r="G670" s="2" t="s">
        <v>130</v>
      </c>
      <c r="H670" s="2" t="s">
        <v>18</v>
      </c>
      <c r="I670" s="2" t="s">
        <v>19</v>
      </c>
      <c r="J670" s="2">
        <v>15</v>
      </c>
      <c r="K670" s="2">
        <v>1800000</v>
      </c>
      <c r="L670" s="2">
        <v>50000000</v>
      </c>
      <c r="M670" s="2">
        <v>6</v>
      </c>
      <c r="N670" s="2">
        <v>1</v>
      </c>
    </row>
    <row r="671" spans="1:14" x14ac:dyDescent="0.3">
      <c r="A671" s="2">
        <v>547</v>
      </c>
      <c r="B671" s="2" t="s">
        <v>969</v>
      </c>
      <c r="C671" s="3">
        <v>27436</v>
      </c>
      <c r="D671" s="2">
        <v>110</v>
      </c>
      <c r="E671" s="2" t="s">
        <v>190</v>
      </c>
      <c r="F671" s="2" t="s">
        <v>970</v>
      </c>
      <c r="G671" s="2" t="s">
        <v>213</v>
      </c>
      <c r="H671" s="2" t="s">
        <v>18</v>
      </c>
      <c r="I671" s="2" t="s">
        <v>19</v>
      </c>
      <c r="J671" s="2">
        <v>18</v>
      </c>
      <c r="K671" s="2">
        <v>4000000</v>
      </c>
      <c r="L671" s="2">
        <v>60000000</v>
      </c>
      <c r="M671" s="2">
        <v>4</v>
      </c>
      <c r="N671" s="2">
        <v>1</v>
      </c>
    </row>
    <row r="672" spans="1:14" x14ac:dyDescent="0.3">
      <c r="A672" s="2">
        <v>553</v>
      </c>
      <c r="B672" s="2" t="s">
        <v>972</v>
      </c>
      <c r="C672" s="3">
        <v>27067</v>
      </c>
      <c r="D672" s="2">
        <v>92</v>
      </c>
      <c r="E672" s="2" t="s">
        <v>38</v>
      </c>
      <c r="F672" s="2" t="s">
        <v>973</v>
      </c>
      <c r="G672" s="2" t="s">
        <v>130</v>
      </c>
      <c r="H672" s="2" t="s">
        <v>18</v>
      </c>
      <c r="I672" s="2" t="s">
        <v>19</v>
      </c>
      <c r="J672" s="2">
        <v>15</v>
      </c>
      <c r="K672" s="2">
        <v>2600000</v>
      </c>
      <c r="L672" s="2">
        <v>119600000</v>
      </c>
      <c r="M672" s="2">
        <v>3</v>
      </c>
      <c r="N672" s="2">
        <v>0</v>
      </c>
    </row>
    <row r="673" spans="1:14" x14ac:dyDescent="0.3">
      <c r="A673" s="2">
        <v>554</v>
      </c>
      <c r="B673" s="2" t="s">
        <v>974</v>
      </c>
      <c r="C673" s="3">
        <v>27377</v>
      </c>
      <c r="D673" s="2">
        <v>165</v>
      </c>
      <c r="E673" s="2" t="s">
        <v>621</v>
      </c>
      <c r="F673" s="2" t="s">
        <v>398</v>
      </c>
      <c r="G673" s="2" t="s">
        <v>36</v>
      </c>
      <c r="H673" s="2" t="s">
        <v>18</v>
      </c>
      <c r="I673" s="2" t="s">
        <v>19</v>
      </c>
      <c r="J673" s="2">
        <v>15</v>
      </c>
      <c r="K673" s="2">
        <v>14300000</v>
      </c>
      <c r="L673" s="2">
        <v>139700000</v>
      </c>
      <c r="M673" s="2">
        <v>8</v>
      </c>
      <c r="N673" s="2">
        <v>3</v>
      </c>
    </row>
    <row r="674" spans="1:14" x14ac:dyDescent="0.3">
      <c r="A674" s="2">
        <v>556</v>
      </c>
      <c r="B674" s="2" t="s">
        <v>975</v>
      </c>
      <c r="C674" s="3">
        <v>27378</v>
      </c>
      <c r="D674" s="2">
        <v>105</v>
      </c>
      <c r="E674" s="2" t="s">
        <v>38</v>
      </c>
      <c r="F674" s="2" t="s">
        <v>973</v>
      </c>
      <c r="G674" s="2" t="s">
        <v>36</v>
      </c>
      <c r="H674" s="2" t="s">
        <v>18</v>
      </c>
      <c r="I674" s="2" t="s">
        <v>19</v>
      </c>
      <c r="J674" s="2">
        <v>15</v>
      </c>
      <c r="K674" s="2">
        <v>2780000</v>
      </c>
      <c r="L674" s="2">
        <v>86200000</v>
      </c>
      <c r="M674" s="2">
        <v>2</v>
      </c>
      <c r="N674" s="2">
        <v>0</v>
      </c>
    </row>
    <row r="675" spans="1:14" x14ac:dyDescent="0.3">
      <c r="A675" s="2">
        <v>557</v>
      </c>
      <c r="B675" s="2" t="s">
        <v>976</v>
      </c>
      <c r="C675" s="3">
        <v>27348</v>
      </c>
      <c r="D675" s="2">
        <v>121</v>
      </c>
      <c r="E675" s="2" t="s">
        <v>621</v>
      </c>
      <c r="F675" s="2" t="s">
        <v>977</v>
      </c>
      <c r="G675" s="2" t="s">
        <v>103</v>
      </c>
      <c r="H675" s="2" t="s">
        <v>18</v>
      </c>
      <c r="I675" s="2" t="s">
        <v>19</v>
      </c>
      <c r="J675" s="2" t="s">
        <v>20</v>
      </c>
      <c r="K675" s="2">
        <v>7000000</v>
      </c>
      <c r="L675" s="2">
        <v>79666653</v>
      </c>
      <c r="M675" s="2">
        <v>4</v>
      </c>
      <c r="N675" s="2">
        <v>1</v>
      </c>
    </row>
    <row r="676" spans="1:14" x14ac:dyDescent="0.3">
      <c r="A676" s="2">
        <v>558</v>
      </c>
      <c r="B676" s="2" t="s">
        <v>978</v>
      </c>
      <c r="C676" s="3">
        <v>27375</v>
      </c>
      <c r="D676" s="2">
        <v>202</v>
      </c>
      <c r="E676" s="2" t="s">
        <v>150</v>
      </c>
      <c r="F676" s="2" t="s">
        <v>783</v>
      </c>
      <c r="G676" s="2" t="s">
        <v>257</v>
      </c>
      <c r="H676" s="2" t="s">
        <v>18</v>
      </c>
      <c r="I676" s="2" t="s">
        <v>19</v>
      </c>
      <c r="J676" s="2">
        <v>18</v>
      </c>
      <c r="K676" s="2">
        <v>13000000</v>
      </c>
      <c r="L676" s="2">
        <v>57300000</v>
      </c>
      <c r="M676" s="2">
        <v>11</v>
      </c>
      <c r="N676" s="2">
        <v>6</v>
      </c>
    </row>
    <row r="677" spans="1:14" x14ac:dyDescent="0.3">
      <c r="A677" s="2">
        <v>559</v>
      </c>
      <c r="B677" s="2" t="s">
        <v>979</v>
      </c>
      <c r="C677" s="3">
        <v>27320</v>
      </c>
      <c r="D677" s="2">
        <v>106</v>
      </c>
      <c r="E677" s="2" t="s">
        <v>621</v>
      </c>
      <c r="F677" s="2" t="s">
        <v>961</v>
      </c>
      <c r="G677" s="2" t="s">
        <v>103</v>
      </c>
      <c r="H677" s="2" t="s">
        <v>18</v>
      </c>
      <c r="I677" s="2" t="s">
        <v>19</v>
      </c>
      <c r="J677" s="2" t="s">
        <v>20</v>
      </c>
      <c r="K677" s="2">
        <v>3000000</v>
      </c>
      <c r="L677" s="2">
        <v>47285152</v>
      </c>
      <c r="M677" s="2">
        <v>0</v>
      </c>
      <c r="N677" s="2">
        <v>0</v>
      </c>
    </row>
    <row r="678" spans="1:14" x14ac:dyDescent="0.3">
      <c r="A678" s="2">
        <v>561</v>
      </c>
      <c r="B678" s="2" t="s">
        <v>980</v>
      </c>
      <c r="C678" s="3">
        <v>27262</v>
      </c>
      <c r="D678" s="2">
        <v>121</v>
      </c>
      <c r="E678" s="2" t="s">
        <v>38</v>
      </c>
      <c r="F678" s="2" t="s">
        <v>981</v>
      </c>
      <c r="G678" s="2" t="s">
        <v>257</v>
      </c>
      <c r="H678" s="2" t="s">
        <v>18</v>
      </c>
      <c r="I678" s="2" t="s">
        <v>19</v>
      </c>
      <c r="J678" s="2">
        <v>15</v>
      </c>
      <c r="K678" s="2">
        <v>2900000</v>
      </c>
      <c r="L678" s="2">
        <v>43008075</v>
      </c>
      <c r="M678" s="2">
        <v>1</v>
      </c>
      <c r="N678" s="2">
        <v>0</v>
      </c>
    </row>
    <row r="679" spans="1:14" x14ac:dyDescent="0.3">
      <c r="A679" s="2">
        <v>563</v>
      </c>
      <c r="B679" s="2" t="s">
        <v>982</v>
      </c>
      <c r="C679" s="3">
        <v>27024</v>
      </c>
      <c r="D679" s="2">
        <v>129</v>
      </c>
      <c r="E679" s="2" t="s">
        <v>150</v>
      </c>
      <c r="F679" s="2" t="s">
        <v>983</v>
      </c>
      <c r="G679" s="2" t="s">
        <v>103</v>
      </c>
      <c r="H679" s="2" t="s">
        <v>18</v>
      </c>
      <c r="I679" s="2" t="s">
        <v>19</v>
      </c>
      <c r="J679" s="2" t="s">
        <v>20</v>
      </c>
      <c r="K679" s="2">
        <v>5500000</v>
      </c>
      <c r="L679" s="2">
        <v>159600000</v>
      </c>
      <c r="M679" s="2">
        <v>10</v>
      </c>
      <c r="N679" s="2">
        <v>7</v>
      </c>
    </row>
    <row r="680" spans="1:14" x14ac:dyDescent="0.3">
      <c r="A680" s="2">
        <v>564</v>
      </c>
      <c r="B680" s="2" t="s">
        <v>984</v>
      </c>
      <c r="C680" s="3">
        <v>27024</v>
      </c>
      <c r="D680" s="2">
        <v>121</v>
      </c>
      <c r="E680" s="2" t="s">
        <v>68</v>
      </c>
      <c r="F680" s="2" t="s">
        <v>985</v>
      </c>
      <c r="G680" s="2" t="s">
        <v>130</v>
      </c>
      <c r="H680" s="2" t="s">
        <v>18</v>
      </c>
      <c r="I680" s="2" t="s">
        <v>19</v>
      </c>
      <c r="J680" s="2">
        <v>18</v>
      </c>
      <c r="K680" s="2">
        <v>12000000</v>
      </c>
      <c r="L680" s="2">
        <v>441300000</v>
      </c>
      <c r="M680" s="2">
        <v>10</v>
      </c>
      <c r="N680" s="2">
        <v>2</v>
      </c>
    </row>
    <row r="681" spans="1:14" x14ac:dyDescent="0.3">
      <c r="A681" s="2">
        <v>565</v>
      </c>
      <c r="B681" s="2" t="s">
        <v>986</v>
      </c>
      <c r="C681" s="3">
        <v>26878</v>
      </c>
      <c r="D681" s="2">
        <v>112</v>
      </c>
      <c r="E681" s="2" t="s">
        <v>190</v>
      </c>
      <c r="F681" s="2" t="s">
        <v>139</v>
      </c>
      <c r="G681" s="2" t="s">
        <v>140</v>
      </c>
      <c r="H681" s="2" t="s">
        <v>18</v>
      </c>
      <c r="I681" s="2" t="s">
        <v>19</v>
      </c>
      <c r="J681" s="2" t="s">
        <v>20</v>
      </c>
      <c r="K681" s="2">
        <v>777000</v>
      </c>
      <c r="L681" s="2">
        <v>140000000</v>
      </c>
      <c r="M681" s="2">
        <v>5</v>
      </c>
      <c r="N681" s="2">
        <v>0</v>
      </c>
    </row>
    <row r="682" spans="1:14" x14ac:dyDescent="0.3">
      <c r="A682" s="2">
        <v>566</v>
      </c>
      <c r="B682" s="2" t="s">
        <v>987</v>
      </c>
      <c r="C682" s="3">
        <v>27014</v>
      </c>
      <c r="D682" s="2">
        <v>150</v>
      </c>
      <c r="E682" s="2" t="s">
        <v>150</v>
      </c>
      <c r="F682" s="2" t="s">
        <v>988</v>
      </c>
      <c r="G682" s="2" t="s">
        <v>213</v>
      </c>
      <c r="H682" s="2" t="s">
        <v>18</v>
      </c>
      <c r="I682" s="2" t="s">
        <v>19</v>
      </c>
      <c r="J682" s="2">
        <v>15</v>
      </c>
      <c r="K682" s="2">
        <v>13500000</v>
      </c>
      <c r="L682" s="2">
        <v>53267000</v>
      </c>
      <c r="M682" s="2">
        <v>1</v>
      </c>
      <c r="N682" s="2">
        <v>0</v>
      </c>
    </row>
    <row r="683" spans="1:14" x14ac:dyDescent="0.3">
      <c r="A683" s="2">
        <v>570</v>
      </c>
      <c r="B683" s="2" t="s">
        <v>991</v>
      </c>
      <c r="C683" s="3">
        <v>26976</v>
      </c>
      <c r="D683" s="2">
        <v>83</v>
      </c>
      <c r="E683" s="2" t="s">
        <v>60</v>
      </c>
      <c r="F683" s="2" t="s">
        <v>992</v>
      </c>
      <c r="G683" s="2" t="s">
        <v>66</v>
      </c>
      <c r="H683" s="2" t="s">
        <v>18</v>
      </c>
      <c r="I683" s="2" t="s">
        <v>19</v>
      </c>
      <c r="J683" s="2" t="s">
        <v>63</v>
      </c>
      <c r="K683" s="2">
        <v>5000000</v>
      </c>
      <c r="L683" s="2">
        <v>32000000</v>
      </c>
      <c r="M683" s="2">
        <v>1</v>
      </c>
      <c r="N683" s="2">
        <v>0</v>
      </c>
    </row>
    <row r="684" spans="1:14" x14ac:dyDescent="0.3">
      <c r="A684" s="2">
        <v>572</v>
      </c>
      <c r="B684" s="2" t="s">
        <v>993</v>
      </c>
      <c r="C684" s="3">
        <v>26382</v>
      </c>
      <c r="D684" s="2">
        <v>177</v>
      </c>
      <c r="E684" s="2" t="s">
        <v>150</v>
      </c>
      <c r="F684" s="2" t="s">
        <v>783</v>
      </c>
      <c r="G684" s="2" t="s">
        <v>257</v>
      </c>
      <c r="H684" s="2" t="s">
        <v>18</v>
      </c>
      <c r="I684" s="2" t="s">
        <v>19</v>
      </c>
      <c r="J684" s="2">
        <v>18</v>
      </c>
      <c r="K684" s="2">
        <v>7000000</v>
      </c>
      <c r="L684" s="2">
        <v>245100000</v>
      </c>
      <c r="M684" s="2">
        <v>11</v>
      </c>
      <c r="N684" s="2">
        <v>3</v>
      </c>
    </row>
    <row r="685" spans="1:14" x14ac:dyDescent="0.3">
      <c r="A685" s="2">
        <v>573</v>
      </c>
      <c r="B685" s="2" t="s">
        <v>994</v>
      </c>
      <c r="C685" s="3">
        <v>26645</v>
      </c>
      <c r="D685" s="2">
        <v>117</v>
      </c>
      <c r="E685" s="2" t="s">
        <v>621</v>
      </c>
      <c r="F685" s="2" t="s">
        <v>995</v>
      </c>
      <c r="G685" s="2" t="s">
        <v>36</v>
      </c>
      <c r="H685" s="2" t="s">
        <v>18</v>
      </c>
      <c r="I685" s="2" t="s">
        <v>19</v>
      </c>
      <c r="J685" s="2" t="s">
        <v>20</v>
      </c>
      <c r="K685" s="2">
        <v>4700000</v>
      </c>
      <c r="L685" s="2">
        <v>127300000</v>
      </c>
      <c r="M685" s="2">
        <v>8</v>
      </c>
      <c r="N685" s="2">
        <v>1</v>
      </c>
    </row>
    <row r="686" spans="1:14" x14ac:dyDescent="0.3">
      <c r="A686" s="2">
        <v>576</v>
      </c>
      <c r="B686" s="2" t="s">
        <v>996</v>
      </c>
      <c r="C686" s="3">
        <v>26510</v>
      </c>
      <c r="D686" s="2">
        <v>110</v>
      </c>
      <c r="E686" s="2" t="s">
        <v>84</v>
      </c>
      <c r="F686" s="2" t="s">
        <v>997</v>
      </c>
      <c r="G686" s="2" t="s">
        <v>130</v>
      </c>
      <c r="H686" s="2" t="s">
        <v>18</v>
      </c>
      <c r="I686" s="2" t="s">
        <v>19</v>
      </c>
      <c r="J686" s="2">
        <v>18</v>
      </c>
      <c r="K686" s="2">
        <v>2000000</v>
      </c>
      <c r="L686" s="2">
        <v>4610000</v>
      </c>
      <c r="M686" s="2">
        <v>3</v>
      </c>
      <c r="N686" s="2">
        <v>0</v>
      </c>
    </row>
    <row r="687" spans="1:14" x14ac:dyDescent="0.3">
      <c r="A687" s="2">
        <v>578</v>
      </c>
      <c r="B687" s="2" t="s">
        <v>998</v>
      </c>
      <c r="C687" s="3">
        <v>26342</v>
      </c>
      <c r="D687" s="2">
        <v>124</v>
      </c>
      <c r="E687" s="2" t="s">
        <v>636</v>
      </c>
      <c r="F687" s="2" t="s">
        <v>999</v>
      </c>
      <c r="G687" s="2" t="s">
        <v>1000</v>
      </c>
      <c r="H687" s="2" t="s">
        <v>18</v>
      </c>
      <c r="I687" s="2" t="s">
        <v>19</v>
      </c>
      <c r="J687" s="2">
        <v>15</v>
      </c>
      <c r="K687" s="2">
        <v>2285000</v>
      </c>
      <c r="L687" s="2">
        <v>42765000</v>
      </c>
      <c r="M687" s="2">
        <v>10</v>
      </c>
      <c r="N687" s="2">
        <v>8</v>
      </c>
    </row>
    <row r="688" spans="1:14" x14ac:dyDescent="0.3">
      <c r="A688" s="2">
        <v>582</v>
      </c>
      <c r="B688" s="2" t="s">
        <v>1001</v>
      </c>
      <c r="C688" s="3">
        <v>26240</v>
      </c>
      <c r="D688" s="2">
        <v>179</v>
      </c>
      <c r="E688" s="2" t="s">
        <v>636</v>
      </c>
      <c r="F688" s="2" t="s">
        <v>833</v>
      </c>
      <c r="G688" s="2" t="s">
        <v>1002</v>
      </c>
      <c r="H688" s="2" t="s">
        <v>18</v>
      </c>
      <c r="I688" s="2" t="s">
        <v>19</v>
      </c>
      <c r="J688" s="2" t="s">
        <v>63</v>
      </c>
      <c r="K688" s="2">
        <v>9000000</v>
      </c>
      <c r="L688" s="2">
        <v>83300000</v>
      </c>
      <c r="M688" s="2">
        <v>8</v>
      </c>
      <c r="N688" s="2">
        <v>3</v>
      </c>
    </row>
    <row r="689" spans="1:14" x14ac:dyDescent="0.3">
      <c r="A689" s="2">
        <v>583</v>
      </c>
      <c r="B689" s="2" t="s">
        <v>1003</v>
      </c>
      <c r="C689" s="3">
        <v>26215</v>
      </c>
      <c r="D689" s="2">
        <v>104</v>
      </c>
      <c r="E689" s="2" t="s">
        <v>150</v>
      </c>
      <c r="F689" s="2" t="s">
        <v>985</v>
      </c>
      <c r="G689" s="2" t="s">
        <v>36</v>
      </c>
      <c r="H689" s="2" t="s">
        <v>18</v>
      </c>
      <c r="I689" s="2" t="s">
        <v>19</v>
      </c>
      <c r="J689" s="2">
        <v>18</v>
      </c>
      <c r="K689" s="2">
        <v>1800000</v>
      </c>
      <c r="L689" s="2">
        <v>51700000</v>
      </c>
      <c r="M689" s="2">
        <v>8</v>
      </c>
      <c r="N689" s="2">
        <v>5</v>
      </c>
    </row>
    <row r="690" spans="1:14" x14ac:dyDescent="0.3">
      <c r="A690" s="2">
        <v>584</v>
      </c>
      <c r="B690" s="2" t="s">
        <v>1004</v>
      </c>
      <c r="C690" s="3">
        <v>26290</v>
      </c>
      <c r="D690" s="2">
        <v>102</v>
      </c>
      <c r="E690" s="2" t="s">
        <v>84</v>
      </c>
      <c r="F690" s="2" t="s">
        <v>1005</v>
      </c>
      <c r="G690" s="2" t="s">
        <v>429</v>
      </c>
      <c r="H690" s="2" t="s">
        <v>18</v>
      </c>
      <c r="I690" s="2" t="s">
        <v>19</v>
      </c>
      <c r="J690" s="2">
        <v>18</v>
      </c>
      <c r="K690" s="2">
        <v>4000000</v>
      </c>
      <c r="L690" s="2">
        <v>36000000</v>
      </c>
      <c r="M690" s="2">
        <v>0</v>
      </c>
      <c r="N690" s="2">
        <v>0</v>
      </c>
    </row>
    <row r="691" spans="1:14" x14ac:dyDescent="0.3">
      <c r="A691" s="2">
        <v>590</v>
      </c>
      <c r="B691" s="2" t="s">
        <v>1011</v>
      </c>
      <c r="C691" s="3">
        <v>25918</v>
      </c>
      <c r="D691" s="2">
        <v>100</v>
      </c>
      <c r="E691" s="2" t="s">
        <v>34</v>
      </c>
      <c r="F691" s="2" t="s">
        <v>958</v>
      </c>
      <c r="G691" s="2" t="s">
        <v>257</v>
      </c>
      <c r="H691" s="2" t="s">
        <v>18</v>
      </c>
      <c r="I691" s="2" t="s">
        <v>19</v>
      </c>
      <c r="J691" s="2" t="s">
        <v>20</v>
      </c>
      <c r="K691" s="2">
        <v>2200000</v>
      </c>
      <c r="L691" s="2">
        <v>136400000</v>
      </c>
      <c r="M691" s="2">
        <v>7</v>
      </c>
      <c r="N691" s="2">
        <v>1</v>
      </c>
    </row>
    <row r="692" spans="1:14" x14ac:dyDescent="0.3">
      <c r="A692" s="2">
        <v>591</v>
      </c>
      <c r="B692" s="2" t="s">
        <v>1012</v>
      </c>
      <c r="C692" s="3">
        <v>25632</v>
      </c>
      <c r="D692" s="2">
        <v>137</v>
      </c>
      <c r="E692" s="2" t="s">
        <v>621</v>
      </c>
      <c r="F692" s="2" t="s">
        <v>1013</v>
      </c>
      <c r="G692" s="2" t="s">
        <v>103</v>
      </c>
      <c r="H692" s="2" t="s">
        <v>18</v>
      </c>
      <c r="I692" s="2" t="s">
        <v>19</v>
      </c>
      <c r="J692" s="2" t="s">
        <v>20</v>
      </c>
      <c r="K692" s="2">
        <v>10200000</v>
      </c>
      <c r="L692" s="2">
        <v>100500000</v>
      </c>
      <c r="M692" s="2">
        <v>10</v>
      </c>
      <c r="N692" s="2">
        <v>1</v>
      </c>
    </row>
    <row r="693" spans="1:14" x14ac:dyDescent="0.3">
      <c r="A693" s="2">
        <v>593</v>
      </c>
      <c r="B693" s="2" t="s">
        <v>1014</v>
      </c>
      <c r="C693" s="3">
        <v>25660</v>
      </c>
      <c r="D693" s="2">
        <v>170</v>
      </c>
      <c r="E693" s="2" t="s">
        <v>166</v>
      </c>
      <c r="F693" s="2" t="s">
        <v>988</v>
      </c>
      <c r="G693" s="2" t="s">
        <v>36</v>
      </c>
      <c r="H693" s="2" t="s">
        <v>18</v>
      </c>
      <c r="I693" s="2" t="s">
        <v>19</v>
      </c>
      <c r="J693" s="2" t="s">
        <v>20</v>
      </c>
      <c r="K693" s="2">
        <v>12600000</v>
      </c>
      <c r="L693" s="2">
        <v>61800000</v>
      </c>
      <c r="M693" s="2">
        <v>10</v>
      </c>
      <c r="N693" s="2">
        <v>7</v>
      </c>
    </row>
    <row r="694" spans="1:14" x14ac:dyDescent="0.3">
      <c r="A694" s="2">
        <v>600</v>
      </c>
      <c r="B694" s="2" t="s">
        <v>1017</v>
      </c>
      <c r="C694" s="3">
        <v>25500</v>
      </c>
      <c r="D694" s="2">
        <v>110</v>
      </c>
      <c r="E694" s="2" t="s">
        <v>360</v>
      </c>
      <c r="F694" s="2" t="s">
        <v>983</v>
      </c>
      <c r="G694" s="2" t="s">
        <v>36</v>
      </c>
      <c r="H694" s="2" t="s">
        <v>18</v>
      </c>
      <c r="I694" s="2" t="s">
        <v>19</v>
      </c>
      <c r="J694" s="2" t="s">
        <v>20</v>
      </c>
      <c r="K694" s="2">
        <v>6000000</v>
      </c>
      <c r="L694" s="2">
        <v>102300000</v>
      </c>
      <c r="M694" s="2">
        <v>7</v>
      </c>
      <c r="N694" s="2">
        <v>4</v>
      </c>
    </row>
    <row r="695" spans="1:14" x14ac:dyDescent="0.3">
      <c r="A695" s="2">
        <v>601</v>
      </c>
      <c r="B695" s="2" t="s">
        <v>1018</v>
      </c>
      <c r="C695" s="3">
        <v>25348</v>
      </c>
      <c r="D695" s="2">
        <v>113</v>
      </c>
      <c r="E695" s="2" t="s">
        <v>190</v>
      </c>
      <c r="F695" s="2" t="s">
        <v>1019</v>
      </c>
      <c r="G695" s="2" t="s">
        <v>417</v>
      </c>
      <c r="H695" s="2" t="s">
        <v>18</v>
      </c>
      <c r="I695" s="2" t="s">
        <v>19</v>
      </c>
      <c r="J695" s="2">
        <v>18</v>
      </c>
      <c r="K695" s="2">
        <v>3200000</v>
      </c>
      <c r="L695" s="2">
        <v>44800000</v>
      </c>
      <c r="M695" s="2">
        <v>7</v>
      </c>
      <c r="N695" s="2">
        <v>3</v>
      </c>
    </row>
    <row r="696" spans="1:14" x14ac:dyDescent="0.3">
      <c r="A696" s="2">
        <v>602</v>
      </c>
      <c r="B696" s="2" t="s">
        <v>1020</v>
      </c>
      <c r="C696" s="3">
        <v>25398</v>
      </c>
      <c r="D696" s="2">
        <v>95</v>
      </c>
      <c r="E696" s="2" t="s">
        <v>190</v>
      </c>
      <c r="F696" s="2" t="s">
        <v>1021</v>
      </c>
      <c r="G696" s="2" t="s">
        <v>213</v>
      </c>
      <c r="H696" s="2" t="s">
        <v>18</v>
      </c>
      <c r="I696" s="2" t="s">
        <v>19</v>
      </c>
      <c r="J696" s="2">
        <v>18</v>
      </c>
      <c r="K696" s="2">
        <v>360000</v>
      </c>
      <c r="L696" s="2">
        <v>60000000</v>
      </c>
      <c r="M696" s="2">
        <v>2</v>
      </c>
      <c r="N696" s="2">
        <v>0</v>
      </c>
    </row>
    <row r="697" spans="1:14" x14ac:dyDescent="0.3">
      <c r="A697" s="2">
        <v>605</v>
      </c>
      <c r="B697" s="2" t="s">
        <v>1022</v>
      </c>
      <c r="C697" s="3">
        <v>25491</v>
      </c>
      <c r="D697" s="2">
        <v>154</v>
      </c>
      <c r="E697" s="2" t="s">
        <v>636</v>
      </c>
      <c r="F697" s="2" t="s">
        <v>1023</v>
      </c>
      <c r="G697" s="2" t="s">
        <v>429</v>
      </c>
      <c r="H697" s="2" t="s">
        <v>18</v>
      </c>
      <c r="I697" s="2" t="s">
        <v>19</v>
      </c>
      <c r="J697" s="2" t="s">
        <v>20</v>
      </c>
      <c r="K697" s="2">
        <v>20000000</v>
      </c>
      <c r="L697" s="2">
        <v>31678778</v>
      </c>
      <c r="M697" s="2">
        <v>1</v>
      </c>
      <c r="N697" s="2">
        <v>0</v>
      </c>
    </row>
    <row r="698" spans="1:14" x14ac:dyDescent="0.3">
      <c r="A698" s="2">
        <v>611</v>
      </c>
      <c r="B698" s="2" t="s">
        <v>1027</v>
      </c>
      <c r="C698" s="3">
        <v>25196</v>
      </c>
      <c r="D698" s="2">
        <v>108</v>
      </c>
      <c r="E698" s="2" t="s">
        <v>38</v>
      </c>
      <c r="F698" s="2" t="s">
        <v>1010</v>
      </c>
      <c r="G698" s="2" t="s">
        <v>66</v>
      </c>
      <c r="H698" s="2" t="s">
        <v>18</v>
      </c>
      <c r="I698" s="2" t="s">
        <v>19</v>
      </c>
      <c r="J698" s="2" t="s">
        <v>63</v>
      </c>
      <c r="K698" s="2">
        <v>5000000</v>
      </c>
      <c r="L698" s="2">
        <v>51264000</v>
      </c>
      <c r="M698" s="2">
        <v>0</v>
      </c>
      <c r="N698" s="2">
        <v>0</v>
      </c>
    </row>
    <row r="699" spans="1:14" x14ac:dyDescent="0.3">
      <c r="A699" s="2">
        <v>612</v>
      </c>
      <c r="B699" s="2" t="s">
        <v>1028</v>
      </c>
      <c r="C699" s="3">
        <v>24960</v>
      </c>
      <c r="D699" s="2">
        <v>105</v>
      </c>
      <c r="E699" s="2" t="s">
        <v>38</v>
      </c>
      <c r="F699" s="2" t="s">
        <v>1029</v>
      </c>
      <c r="G699" s="2" t="s">
        <v>257</v>
      </c>
      <c r="H699" s="2" t="s">
        <v>18</v>
      </c>
      <c r="I699" s="2" t="s">
        <v>19</v>
      </c>
      <c r="J699" s="2" t="s">
        <v>20</v>
      </c>
      <c r="K699" s="2">
        <v>1200000</v>
      </c>
      <c r="L699" s="2">
        <v>44527234</v>
      </c>
      <c r="M699" s="2">
        <v>2</v>
      </c>
      <c r="N699" s="2">
        <v>0</v>
      </c>
    </row>
    <row r="700" spans="1:14" x14ac:dyDescent="0.3">
      <c r="A700" s="2">
        <v>613</v>
      </c>
      <c r="B700" s="2" t="s">
        <v>1030</v>
      </c>
      <c r="C700" s="3">
        <v>25128</v>
      </c>
      <c r="D700" s="2">
        <v>113</v>
      </c>
      <c r="E700" s="2" t="s">
        <v>150</v>
      </c>
      <c r="F700" s="2" t="s">
        <v>951</v>
      </c>
      <c r="G700" s="2" t="s">
        <v>130</v>
      </c>
      <c r="H700" s="2" t="s">
        <v>18</v>
      </c>
      <c r="I700" s="2" t="s">
        <v>19</v>
      </c>
      <c r="J700" s="2">
        <v>15</v>
      </c>
      <c r="K700" s="2">
        <v>5500000</v>
      </c>
      <c r="L700" s="2">
        <v>42300000</v>
      </c>
      <c r="M700" s="2">
        <v>2</v>
      </c>
      <c r="N700" s="2">
        <v>1</v>
      </c>
    </row>
    <row r="701" spans="1:14" x14ac:dyDescent="0.3">
      <c r="A701" s="2">
        <v>617</v>
      </c>
      <c r="B701" s="2" t="s">
        <v>1035</v>
      </c>
      <c r="C701" s="3">
        <v>24931</v>
      </c>
      <c r="D701" s="2">
        <v>112</v>
      </c>
      <c r="E701" s="2" t="s">
        <v>49</v>
      </c>
      <c r="F701" s="2" t="s">
        <v>988</v>
      </c>
      <c r="G701" s="2" t="s">
        <v>36</v>
      </c>
      <c r="H701" s="2" t="s">
        <v>18</v>
      </c>
      <c r="I701" s="2" t="s">
        <v>19</v>
      </c>
      <c r="J701" s="2" t="s">
        <v>20</v>
      </c>
      <c r="K701" s="2">
        <v>5800000</v>
      </c>
      <c r="L701" s="2">
        <v>33400000</v>
      </c>
      <c r="M701" s="2">
        <v>2</v>
      </c>
      <c r="N701" s="2">
        <v>0</v>
      </c>
    </row>
    <row r="702" spans="1:14" x14ac:dyDescent="0.3">
      <c r="A702" s="2">
        <v>618</v>
      </c>
      <c r="B702" s="2" t="s">
        <v>1036</v>
      </c>
      <c r="C702" s="3">
        <v>24827</v>
      </c>
      <c r="D702" s="2">
        <v>105</v>
      </c>
      <c r="E702" s="2" t="s">
        <v>38</v>
      </c>
      <c r="F702" s="2" t="s">
        <v>1037</v>
      </c>
      <c r="G702" s="2" t="s">
        <v>417</v>
      </c>
      <c r="H702" s="2" t="s">
        <v>18</v>
      </c>
      <c r="I702" s="2" t="s">
        <v>19</v>
      </c>
      <c r="J702" s="2">
        <v>15</v>
      </c>
      <c r="K702" s="2">
        <v>3000000</v>
      </c>
      <c r="L702" s="2">
        <v>104900000</v>
      </c>
      <c r="M702" s="2">
        <v>7</v>
      </c>
      <c r="N702" s="2">
        <v>1</v>
      </c>
    </row>
    <row r="703" spans="1:14" x14ac:dyDescent="0.3">
      <c r="A703" s="2">
        <v>619</v>
      </c>
      <c r="B703" s="2" t="s">
        <v>1038</v>
      </c>
      <c r="C703" s="3">
        <v>24763</v>
      </c>
      <c r="D703" s="2">
        <v>78</v>
      </c>
      <c r="E703" s="2" t="s">
        <v>60</v>
      </c>
      <c r="F703" s="2" t="s">
        <v>992</v>
      </c>
      <c r="G703" s="2" t="s">
        <v>66</v>
      </c>
      <c r="H703" s="2" t="s">
        <v>18</v>
      </c>
      <c r="I703" s="2" t="s">
        <v>19</v>
      </c>
      <c r="J703" s="2" t="s">
        <v>63</v>
      </c>
      <c r="K703" s="2">
        <v>4000000</v>
      </c>
      <c r="L703" s="2">
        <v>205800000</v>
      </c>
      <c r="M703" s="2">
        <v>1</v>
      </c>
      <c r="N703" s="2">
        <v>0</v>
      </c>
    </row>
    <row r="704" spans="1:14" x14ac:dyDescent="0.3">
      <c r="A704" s="2">
        <v>621</v>
      </c>
      <c r="B704" s="2" t="s">
        <v>1039</v>
      </c>
      <c r="C704" s="3">
        <v>24697</v>
      </c>
      <c r="D704" s="2">
        <v>111</v>
      </c>
      <c r="E704" s="2" t="s">
        <v>150</v>
      </c>
      <c r="F704" s="2" t="s">
        <v>1040</v>
      </c>
      <c r="G704" s="2" t="s">
        <v>130</v>
      </c>
      <c r="H704" s="2" t="s">
        <v>18</v>
      </c>
      <c r="I704" s="2" t="s">
        <v>19</v>
      </c>
      <c r="J704" s="2">
        <v>18</v>
      </c>
      <c r="K704" s="2">
        <v>2500000</v>
      </c>
      <c r="L704" s="2">
        <v>70000000</v>
      </c>
      <c r="M704" s="2">
        <v>10</v>
      </c>
      <c r="N704" s="2">
        <v>2</v>
      </c>
    </row>
    <row r="705" spans="1:14" x14ac:dyDescent="0.3">
      <c r="A705" s="2">
        <v>622</v>
      </c>
      <c r="B705" s="2" t="s">
        <v>1041</v>
      </c>
      <c r="C705" s="3">
        <v>24638</v>
      </c>
      <c r="D705" s="2">
        <v>150</v>
      </c>
      <c r="E705" s="2" t="s">
        <v>45</v>
      </c>
      <c r="F705" s="2" t="s">
        <v>981</v>
      </c>
      <c r="G705" s="2" t="s">
        <v>834</v>
      </c>
      <c r="H705" s="2" t="s">
        <v>18</v>
      </c>
      <c r="I705" s="2" t="s">
        <v>19</v>
      </c>
      <c r="J705" s="2">
        <v>15</v>
      </c>
      <c r="K705" s="2">
        <v>5400000</v>
      </c>
      <c r="L705" s="2">
        <v>45300000</v>
      </c>
      <c r="M705" s="2">
        <v>4</v>
      </c>
      <c r="N705" s="2">
        <v>1</v>
      </c>
    </row>
    <row r="706" spans="1:14" x14ac:dyDescent="0.3">
      <c r="A706" s="2">
        <v>627</v>
      </c>
      <c r="B706" s="2" t="s">
        <v>1042</v>
      </c>
      <c r="C706" s="3">
        <v>25112</v>
      </c>
      <c r="D706" s="2">
        <v>96</v>
      </c>
      <c r="E706" s="2" t="s">
        <v>68</v>
      </c>
      <c r="F706" s="2" t="s">
        <v>938</v>
      </c>
      <c r="G706" s="2" t="s">
        <v>939</v>
      </c>
      <c r="H706" s="2" t="s">
        <v>18</v>
      </c>
      <c r="I706" s="2" t="s">
        <v>19</v>
      </c>
      <c r="J706" s="2">
        <v>15</v>
      </c>
      <c r="K706" s="2">
        <v>114000</v>
      </c>
      <c r="L706" s="2">
        <v>30000000</v>
      </c>
      <c r="M706" s="2">
        <v>0</v>
      </c>
      <c r="N706" s="2">
        <v>0</v>
      </c>
    </row>
    <row r="707" spans="1:14" x14ac:dyDescent="0.3">
      <c r="A707" s="2">
        <v>636</v>
      </c>
      <c r="B707" s="2" t="s">
        <v>1048</v>
      </c>
      <c r="C707" s="3">
        <v>24462</v>
      </c>
      <c r="D707" s="2">
        <v>179</v>
      </c>
      <c r="E707" s="2" t="s">
        <v>364</v>
      </c>
      <c r="F707" s="2" t="s">
        <v>1049</v>
      </c>
      <c r="G707" s="2" t="s">
        <v>834</v>
      </c>
      <c r="H707" s="2" t="s">
        <v>18</v>
      </c>
      <c r="I707" s="2" t="s">
        <v>19</v>
      </c>
      <c r="J707" s="2" t="s">
        <v>20</v>
      </c>
      <c r="K707" s="2">
        <v>9000000</v>
      </c>
      <c r="L707" s="2">
        <v>20800000</v>
      </c>
      <c r="M707" s="2">
        <v>3</v>
      </c>
      <c r="N707" s="2">
        <v>3</v>
      </c>
    </row>
    <row r="708" spans="1:14" x14ac:dyDescent="0.3">
      <c r="A708" s="2">
        <v>638</v>
      </c>
      <c r="B708" s="2" t="s">
        <v>1050</v>
      </c>
      <c r="C708" s="3">
        <v>23803</v>
      </c>
      <c r="D708" s="2">
        <v>174</v>
      </c>
      <c r="E708" s="2" t="s">
        <v>636</v>
      </c>
      <c r="F708" s="2" t="s">
        <v>348</v>
      </c>
      <c r="G708" s="2" t="s">
        <v>36</v>
      </c>
      <c r="H708" s="2" t="s">
        <v>18</v>
      </c>
      <c r="I708" s="2" t="s">
        <v>19</v>
      </c>
      <c r="J708" s="2" t="s">
        <v>63</v>
      </c>
      <c r="K708" s="2">
        <v>8200000</v>
      </c>
      <c r="L708" s="2">
        <v>286200000</v>
      </c>
      <c r="M708" s="2">
        <v>10</v>
      </c>
      <c r="N708" s="2">
        <v>5</v>
      </c>
    </row>
    <row r="709" spans="1:14" x14ac:dyDescent="0.3">
      <c r="A709" s="2">
        <v>646</v>
      </c>
      <c r="B709" s="2" t="s">
        <v>1053</v>
      </c>
      <c r="C709" s="3">
        <v>23916</v>
      </c>
      <c r="D709" s="2">
        <v>117</v>
      </c>
      <c r="E709" s="2" t="s">
        <v>45</v>
      </c>
      <c r="F709" s="2" t="s">
        <v>977</v>
      </c>
      <c r="G709" s="2" t="s">
        <v>36</v>
      </c>
      <c r="H709" s="2" t="s">
        <v>18</v>
      </c>
      <c r="I709" s="2" t="s">
        <v>19</v>
      </c>
      <c r="J709" s="2" t="s">
        <v>20</v>
      </c>
      <c r="K709" s="2">
        <v>5760000</v>
      </c>
      <c r="L709" s="2">
        <v>17111111</v>
      </c>
      <c r="M709" s="2">
        <v>1</v>
      </c>
      <c r="N709" s="2">
        <v>0</v>
      </c>
    </row>
    <row r="710" spans="1:14" x14ac:dyDescent="0.3">
      <c r="A710" s="2">
        <v>648</v>
      </c>
      <c r="B710" s="2" t="s">
        <v>1054</v>
      </c>
      <c r="C710" s="3">
        <v>23690</v>
      </c>
      <c r="D710" s="2">
        <v>170</v>
      </c>
      <c r="E710" s="2" t="s">
        <v>636</v>
      </c>
      <c r="F710" s="2" t="s">
        <v>1055</v>
      </c>
      <c r="G710" s="2" t="s">
        <v>130</v>
      </c>
      <c r="H710" s="2" t="s">
        <v>18</v>
      </c>
      <c r="I710" s="2" t="s">
        <v>19</v>
      </c>
      <c r="J710" s="2" t="s">
        <v>63</v>
      </c>
      <c r="K710" s="2">
        <v>17000000</v>
      </c>
      <c r="L710" s="2">
        <v>72000000</v>
      </c>
      <c r="M710" s="2">
        <v>12</v>
      </c>
      <c r="N710" s="2">
        <v>8</v>
      </c>
    </row>
    <row r="711" spans="1:14" x14ac:dyDescent="0.3">
      <c r="A711" s="2">
        <v>655</v>
      </c>
      <c r="B711" s="2" t="s">
        <v>1058</v>
      </c>
      <c r="C711" s="3">
        <v>23174</v>
      </c>
      <c r="D711" s="2">
        <v>248</v>
      </c>
      <c r="E711" s="2" t="s">
        <v>245</v>
      </c>
      <c r="F711" s="2" t="s">
        <v>1059</v>
      </c>
      <c r="G711" s="2" t="s">
        <v>36</v>
      </c>
      <c r="H711" s="2" t="s">
        <v>18</v>
      </c>
      <c r="I711" s="2" t="s">
        <v>19</v>
      </c>
      <c r="J711" s="2" t="s">
        <v>20</v>
      </c>
      <c r="K711" s="2">
        <v>31100000</v>
      </c>
      <c r="L711" s="2">
        <v>57800000</v>
      </c>
      <c r="M711" s="2">
        <v>9</v>
      </c>
      <c r="N711" s="2">
        <v>4</v>
      </c>
    </row>
    <row r="712" spans="1:14" x14ac:dyDescent="0.3">
      <c r="A712" s="2">
        <v>656</v>
      </c>
      <c r="B712" s="2" t="s">
        <v>1060</v>
      </c>
      <c r="C712" s="3">
        <v>23062</v>
      </c>
      <c r="D712" s="2">
        <v>164</v>
      </c>
      <c r="E712" s="2" t="s">
        <v>360</v>
      </c>
      <c r="F712" s="2" t="s">
        <v>1061</v>
      </c>
      <c r="G712" s="2" t="s">
        <v>834</v>
      </c>
      <c r="H712" s="2" t="s">
        <v>18</v>
      </c>
      <c r="I712" s="2" t="s">
        <v>19</v>
      </c>
      <c r="J712" s="2" t="s">
        <v>63</v>
      </c>
      <c r="K712" s="2">
        <v>14483000</v>
      </c>
      <c r="L712" s="2">
        <v>50000000</v>
      </c>
      <c r="M712" s="2">
        <v>8</v>
      </c>
      <c r="N712" s="2">
        <v>3</v>
      </c>
    </row>
    <row r="713" spans="1:14" x14ac:dyDescent="0.3">
      <c r="A713" s="2">
        <v>657</v>
      </c>
      <c r="B713" s="2" t="s">
        <v>1062</v>
      </c>
      <c r="C713" s="3">
        <v>23322</v>
      </c>
      <c r="D713" s="2">
        <v>210</v>
      </c>
      <c r="E713" s="2" t="s">
        <v>38</v>
      </c>
      <c r="F713" s="2" t="s">
        <v>1063</v>
      </c>
      <c r="G713" s="2" t="s">
        <v>417</v>
      </c>
      <c r="H713" s="2" t="s">
        <v>18</v>
      </c>
      <c r="I713" s="2" t="s">
        <v>19</v>
      </c>
      <c r="J713" s="2" t="s">
        <v>63</v>
      </c>
      <c r="K713" s="2">
        <v>9400000</v>
      </c>
      <c r="L713" s="2">
        <v>60000000</v>
      </c>
      <c r="M713" s="2">
        <v>6</v>
      </c>
      <c r="N713" s="2">
        <v>1</v>
      </c>
    </row>
    <row r="714" spans="1:14" x14ac:dyDescent="0.3">
      <c r="A714" s="2">
        <v>660</v>
      </c>
      <c r="B714" s="2" t="s">
        <v>1064</v>
      </c>
      <c r="C714" s="3">
        <v>23370</v>
      </c>
      <c r="D714" s="2">
        <v>79</v>
      </c>
      <c r="E714" s="2" t="s">
        <v>60</v>
      </c>
      <c r="F714" s="2" t="s">
        <v>992</v>
      </c>
      <c r="G714" s="2" t="s">
        <v>66</v>
      </c>
      <c r="H714" s="2" t="s">
        <v>18</v>
      </c>
      <c r="I714" s="2" t="s">
        <v>19</v>
      </c>
      <c r="J714" s="2" t="s">
        <v>63</v>
      </c>
      <c r="K714" s="2">
        <v>3000000</v>
      </c>
      <c r="L714" s="2">
        <v>22200000</v>
      </c>
      <c r="M714" s="2">
        <v>1</v>
      </c>
      <c r="N714" s="2">
        <v>0</v>
      </c>
    </row>
    <row r="715" spans="1:14" x14ac:dyDescent="0.3">
      <c r="A715" s="2">
        <v>662</v>
      </c>
      <c r="B715" s="2" t="s">
        <v>1065</v>
      </c>
      <c r="C715" s="3">
        <v>23098</v>
      </c>
      <c r="D715" s="2">
        <v>119</v>
      </c>
      <c r="E715" s="2" t="s">
        <v>68</v>
      </c>
      <c r="F715" s="2" t="s">
        <v>1066</v>
      </c>
      <c r="G715" s="2" t="s">
        <v>1067</v>
      </c>
      <c r="H715" s="2" t="s">
        <v>18</v>
      </c>
      <c r="I715" s="2" t="s">
        <v>19</v>
      </c>
      <c r="J715" s="2">
        <v>15</v>
      </c>
      <c r="K715" s="2">
        <v>3300000</v>
      </c>
      <c r="L715" s="2">
        <v>11400000</v>
      </c>
      <c r="M715" s="2">
        <v>1</v>
      </c>
      <c r="N715" s="2">
        <v>0</v>
      </c>
    </row>
    <row r="716" spans="1:14" x14ac:dyDescent="0.3">
      <c r="A716" s="2">
        <v>665</v>
      </c>
      <c r="B716" s="2" t="s">
        <v>1070</v>
      </c>
      <c r="C716" s="3">
        <v>22914</v>
      </c>
      <c r="D716" s="2">
        <v>178</v>
      </c>
      <c r="E716" s="2" t="s">
        <v>45</v>
      </c>
      <c r="F716" s="2" t="s">
        <v>1071</v>
      </c>
      <c r="G716" s="2" t="s">
        <v>36</v>
      </c>
      <c r="H716" s="2" t="s">
        <v>18</v>
      </c>
      <c r="I716" s="2" t="s">
        <v>19</v>
      </c>
      <c r="J716" s="2" t="s">
        <v>20</v>
      </c>
      <c r="K716" s="2">
        <v>7750000</v>
      </c>
      <c r="L716" s="2">
        <v>50100000</v>
      </c>
      <c r="M716" s="2">
        <v>5</v>
      </c>
      <c r="N716" s="2">
        <v>2</v>
      </c>
    </row>
    <row r="717" spans="1:14" x14ac:dyDescent="0.3">
      <c r="A717" s="2">
        <v>669</v>
      </c>
      <c r="B717" s="2" t="s">
        <v>1072</v>
      </c>
      <c r="C717" s="3">
        <v>22958</v>
      </c>
      <c r="D717" s="2">
        <v>185</v>
      </c>
      <c r="E717" s="2" t="s">
        <v>245</v>
      </c>
      <c r="F717" s="2" t="s">
        <v>1073</v>
      </c>
      <c r="G717" s="2" t="s">
        <v>834</v>
      </c>
      <c r="H717" s="2" t="s">
        <v>18</v>
      </c>
      <c r="I717" s="2" t="s">
        <v>19</v>
      </c>
      <c r="J717" s="2">
        <v>15</v>
      </c>
      <c r="K717" s="2">
        <v>19000000</v>
      </c>
      <c r="L717" s="2">
        <v>13680000</v>
      </c>
      <c r="M717" s="2">
        <v>7</v>
      </c>
      <c r="N717" s="2">
        <v>0</v>
      </c>
    </row>
    <row r="718" spans="1:14" x14ac:dyDescent="0.3">
      <c r="A718" s="2">
        <v>670</v>
      </c>
      <c r="B718" s="2" t="s">
        <v>1074</v>
      </c>
      <c r="C718" s="3">
        <v>23005</v>
      </c>
      <c r="D718" s="2">
        <v>129</v>
      </c>
      <c r="E718" s="2" t="s">
        <v>190</v>
      </c>
      <c r="F718" s="2" t="s">
        <v>1075</v>
      </c>
      <c r="G718" s="2" t="s">
        <v>103</v>
      </c>
      <c r="H718" s="2" t="s">
        <v>18</v>
      </c>
      <c r="I718" s="2" t="s">
        <v>19</v>
      </c>
      <c r="J718" s="2" t="s">
        <v>20</v>
      </c>
      <c r="K718" s="2">
        <v>2000000</v>
      </c>
      <c r="L718" s="2">
        <v>13100000</v>
      </c>
      <c r="M718" s="2">
        <v>8</v>
      </c>
      <c r="N718" s="2">
        <v>3</v>
      </c>
    </row>
    <row r="719" spans="1:14" x14ac:dyDescent="0.3">
      <c r="A719" s="2">
        <v>674</v>
      </c>
      <c r="B719" s="2" t="s">
        <v>1076</v>
      </c>
      <c r="C719" s="3">
        <v>22572</v>
      </c>
      <c r="D719" s="2">
        <v>152</v>
      </c>
      <c r="E719" s="2" t="s">
        <v>636</v>
      </c>
      <c r="F719" s="2" t="s">
        <v>348</v>
      </c>
      <c r="G719" s="2" t="s">
        <v>1002</v>
      </c>
      <c r="H719" s="2" t="s">
        <v>18</v>
      </c>
      <c r="I719" s="2" t="s">
        <v>19</v>
      </c>
      <c r="J719" s="2" t="s">
        <v>20</v>
      </c>
      <c r="K719" s="2">
        <v>6000000</v>
      </c>
      <c r="L719" s="2">
        <v>43700000</v>
      </c>
      <c r="M719" s="2">
        <v>11</v>
      </c>
      <c r="N719" s="2">
        <v>10</v>
      </c>
    </row>
    <row r="720" spans="1:14" x14ac:dyDescent="0.3">
      <c r="A720" s="2">
        <v>676</v>
      </c>
      <c r="B720" s="2" t="s">
        <v>1079</v>
      </c>
      <c r="C720" s="3">
        <v>22621</v>
      </c>
      <c r="D720" s="2">
        <v>184</v>
      </c>
      <c r="E720" s="2" t="s">
        <v>245</v>
      </c>
      <c r="F720" s="2" t="s">
        <v>1080</v>
      </c>
      <c r="G720" s="2" t="s">
        <v>1081</v>
      </c>
      <c r="H720" s="2" t="s">
        <v>18</v>
      </c>
      <c r="I720" s="2" t="s">
        <v>19</v>
      </c>
      <c r="J720" s="2" t="s">
        <v>63</v>
      </c>
      <c r="K720" s="2">
        <v>6200000</v>
      </c>
      <c r="L720" s="2">
        <v>30000000</v>
      </c>
      <c r="M720" s="2">
        <v>3</v>
      </c>
      <c r="N720" s="2">
        <v>0</v>
      </c>
    </row>
    <row r="721" spans="1:14" x14ac:dyDescent="0.3">
      <c r="A721" s="2">
        <v>682</v>
      </c>
      <c r="B721" s="2" t="s">
        <v>1084</v>
      </c>
      <c r="C721" s="3">
        <v>22306</v>
      </c>
      <c r="D721" s="2">
        <v>79</v>
      </c>
      <c r="E721" s="2" t="s">
        <v>60</v>
      </c>
      <c r="F721" s="2" t="s">
        <v>992</v>
      </c>
      <c r="G721" s="2" t="s">
        <v>66</v>
      </c>
      <c r="H721" s="2" t="s">
        <v>18</v>
      </c>
      <c r="I721" s="2" t="s">
        <v>19</v>
      </c>
      <c r="J721" s="2" t="s">
        <v>63</v>
      </c>
      <c r="K721" s="2">
        <v>4000000</v>
      </c>
      <c r="L721" s="2">
        <v>215800000</v>
      </c>
      <c r="M721" s="2">
        <v>0</v>
      </c>
      <c r="N721" s="2">
        <v>0</v>
      </c>
    </row>
    <row r="722" spans="1:14" x14ac:dyDescent="0.3">
      <c r="A722" s="2">
        <v>684</v>
      </c>
      <c r="B722" s="2" t="s">
        <v>1085</v>
      </c>
      <c r="C722" s="3">
        <v>22196</v>
      </c>
      <c r="D722" s="2">
        <v>184</v>
      </c>
      <c r="E722" s="2" t="s">
        <v>245</v>
      </c>
      <c r="F722" s="2" t="s">
        <v>1007</v>
      </c>
      <c r="G722" s="2" t="s">
        <v>1086</v>
      </c>
      <c r="H722" s="2" t="s">
        <v>18</v>
      </c>
      <c r="I722" s="2" t="s">
        <v>19</v>
      </c>
      <c r="J722" s="2" t="s">
        <v>20</v>
      </c>
      <c r="K722" s="2">
        <v>12000000</v>
      </c>
      <c r="L722" s="2">
        <v>60000000</v>
      </c>
      <c r="M722" s="2">
        <v>6</v>
      </c>
      <c r="N722" s="2">
        <v>4</v>
      </c>
    </row>
    <row r="723" spans="1:14" x14ac:dyDescent="0.3">
      <c r="A723" s="2">
        <v>685</v>
      </c>
      <c r="B723" s="2" t="s">
        <v>1087</v>
      </c>
      <c r="C723" s="3">
        <v>22083</v>
      </c>
      <c r="D723" s="2">
        <v>109</v>
      </c>
      <c r="E723" s="2" t="s">
        <v>68</v>
      </c>
      <c r="F723" s="2" t="s">
        <v>1066</v>
      </c>
      <c r="G723" s="2" t="s">
        <v>1088</v>
      </c>
      <c r="H723" s="2" t="s">
        <v>18</v>
      </c>
      <c r="I723" s="2" t="s">
        <v>19</v>
      </c>
      <c r="J723" s="2">
        <v>15</v>
      </c>
      <c r="K723" s="2">
        <v>806947</v>
      </c>
      <c r="L723" s="2">
        <v>50000000</v>
      </c>
      <c r="M723" s="2">
        <v>4</v>
      </c>
      <c r="N723" s="2">
        <v>0</v>
      </c>
    </row>
    <row r="724" spans="1:14" x14ac:dyDescent="0.3">
      <c r="A724" s="2">
        <v>687</v>
      </c>
      <c r="B724" s="2" t="s">
        <v>1089</v>
      </c>
      <c r="C724" s="3">
        <v>22271</v>
      </c>
      <c r="D724" s="2">
        <v>126</v>
      </c>
      <c r="E724" s="2" t="s">
        <v>15</v>
      </c>
      <c r="F724" s="2" t="s">
        <v>1071</v>
      </c>
      <c r="G724" s="2" t="s">
        <v>66</v>
      </c>
      <c r="H724" s="2" t="s">
        <v>18</v>
      </c>
      <c r="I724" s="2" t="s">
        <v>19</v>
      </c>
      <c r="J724" s="2" t="s">
        <v>63</v>
      </c>
      <c r="K724" s="2">
        <v>4000000</v>
      </c>
      <c r="L724" s="2">
        <v>40000000</v>
      </c>
      <c r="M724" s="2">
        <v>0</v>
      </c>
      <c r="N724" s="2">
        <v>0</v>
      </c>
    </row>
    <row r="725" spans="1:14" x14ac:dyDescent="0.3">
      <c r="A725" s="2">
        <v>688</v>
      </c>
      <c r="B725" s="2" t="s">
        <v>1090</v>
      </c>
      <c r="C725" s="3">
        <v>22213</v>
      </c>
      <c r="D725" s="2">
        <v>167</v>
      </c>
      <c r="E725" s="2" t="s">
        <v>45</v>
      </c>
      <c r="F725" s="2" t="s">
        <v>1091</v>
      </c>
      <c r="G725" s="2" t="s">
        <v>417</v>
      </c>
      <c r="H725" s="2" t="s">
        <v>18</v>
      </c>
      <c r="I725" s="2" t="s">
        <v>19</v>
      </c>
      <c r="J725" s="2" t="s">
        <v>63</v>
      </c>
      <c r="K725" s="2">
        <v>12000000</v>
      </c>
      <c r="L725" s="2">
        <v>17260000</v>
      </c>
      <c r="M725" s="2">
        <v>7</v>
      </c>
      <c r="N725" s="2">
        <v>1</v>
      </c>
    </row>
    <row r="726" spans="1:14" x14ac:dyDescent="0.3">
      <c r="A726" s="2">
        <v>691</v>
      </c>
      <c r="B726" s="2" t="s">
        <v>1092</v>
      </c>
      <c r="C726" s="3">
        <v>22138</v>
      </c>
      <c r="D726" s="2">
        <v>127</v>
      </c>
      <c r="E726" s="2" t="s">
        <v>38</v>
      </c>
      <c r="F726" s="2" t="s">
        <v>1073</v>
      </c>
      <c r="G726" s="2" t="s">
        <v>130</v>
      </c>
      <c r="H726" s="2" t="s">
        <v>18</v>
      </c>
      <c r="I726" s="2" t="s">
        <v>19</v>
      </c>
      <c r="J726" s="2" t="s">
        <v>20</v>
      </c>
      <c r="K726" s="2">
        <v>2800000</v>
      </c>
      <c r="L726" s="2">
        <v>5650000</v>
      </c>
      <c r="M726" s="2">
        <v>0</v>
      </c>
      <c r="N726" s="2">
        <v>0</v>
      </c>
    </row>
    <row r="727" spans="1:14" x14ac:dyDescent="0.3">
      <c r="A727" s="2">
        <v>694</v>
      </c>
      <c r="B727" s="2" t="s">
        <v>1093</v>
      </c>
      <c r="C727" s="3">
        <v>21872</v>
      </c>
      <c r="D727" s="2">
        <v>212</v>
      </c>
      <c r="E727" s="2" t="s">
        <v>190</v>
      </c>
      <c r="F727" s="2" t="s">
        <v>1094</v>
      </c>
      <c r="G727" s="2" t="s">
        <v>834</v>
      </c>
      <c r="H727" s="2" t="s">
        <v>18</v>
      </c>
      <c r="I727" s="2" t="s">
        <v>19</v>
      </c>
      <c r="J727" s="2" t="s">
        <v>20</v>
      </c>
      <c r="K727" s="2">
        <v>15200000</v>
      </c>
      <c r="L727" s="2">
        <v>146900000</v>
      </c>
      <c r="M727" s="2">
        <v>12</v>
      </c>
      <c r="N727" s="2">
        <v>11</v>
      </c>
    </row>
    <row r="728" spans="1:14" x14ac:dyDescent="0.3">
      <c r="A728" s="2">
        <v>695</v>
      </c>
      <c r="B728" s="2" t="s">
        <v>1095</v>
      </c>
      <c r="C728" s="3">
        <v>21579</v>
      </c>
      <c r="D728" s="2">
        <v>75</v>
      </c>
      <c r="E728" s="2" t="s">
        <v>60</v>
      </c>
      <c r="F728" s="2" t="s">
        <v>992</v>
      </c>
      <c r="G728" s="2" t="s">
        <v>66</v>
      </c>
      <c r="H728" s="2" t="s">
        <v>18</v>
      </c>
      <c r="I728" s="2" t="s">
        <v>19</v>
      </c>
      <c r="J728" s="2" t="s">
        <v>63</v>
      </c>
      <c r="K728" s="2">
        <v>6000000</v>
      </c>
      <c r="L728" s="2">
        <v>51600000</v>
      </c>
      <c r="M728" s="2">
        <v>1</v>
      </c>
      <c r="N728" s="2">
        <v>0</v>
      </c>
    </row>
    <row r="729" spans="1:14" x14ac:dyDescent="0.3">
      <c r="A729" s="2">
        <v>696</v>
      </c>
      <c r="B729" s="2" t="s">
        <v>1096</v>
      </c>
      <c r="C729" s="3">
        <v>21759</v>
      </c>
      <c r="D729" s="2">
        <v>136</v>
      </c>
      <c r="E729" s="2" t="s">
        <v>84</v>
      </c>
      <c r="F729" s="2" t="s">
        <v>1066</v>
      </c>
      <c r="G729" s="2" t="s">
        <v>834</v>
      </c>
      <c r="H729" s="2" t="s">
        <v>18</v>
      </c>
      <c r="I729" s="2" t="s">
        <v>19</v>
      </c>
      <c r="J729" s="2" t="s">
        <v>20</v>
      </c>
      <c r="K729" s="2">
        <v>4326000</v>
      </c>
      <c r="L729" s="2">
        <v>9800000</v>
      </c>
      <c r="M729" s="2">
        <v>3</v>
      </c>
      <c r="N729" s="2">
        <v>0</v>
      </c>
    </row>
    <row r="730" spans="1:14" x14ac:dyDescent="0.3">
      <c r="A730" s="2">
        <v>697</v>
      </c>
      <c r="B730" s="2" t="s">
        <v>1097</v>
      </c>
      <c r="C730" s="3">
        <v>21638</v>
      </c>
      <c r="D730" s="2">
        <v>121</v>
      </c>
      <c r="E730" s="2" t="s">
        <v>697</v>
      </c>
      <c r="F730" s="2" t="s">
        <v>1098</v>
      </c>
      <c r="G730" s="2" t="s">
        <v>1002</v>
      </c>
      <c r="H730" s="2" t="s">
        <v>18</v>
      </c>
      <c r="I730" s="2" t="s">
        <v>19</v>
      </c>
      <c r="J730" s="2" t="s">
        <v>63</v>
      </c>
      <c r="K730" s="2">
        <v>2900000</v>
      </c>
      <c r="L730" s="2">
        <v>40000000</v>
      </c>
      <c r="M730" s="2">
        <v>6</v>
      </c>
      <c r="N730" s="2">
        <v>1</v>
      </c>
    </row>
    <row r="731" spans="1:14" x14ac:dyDescent="0.3">
      <c r="A731" s="2">
        <v>704</v>
      </c>
      <c r="B731" s="2" t="s">
        <v>1100</v>
      </c>
      <c r="C731" s="3">
        <v>21263</v>
      </c>
      <c r="D731" s="2">
        <v>171</v>
      </c>
      <c r="E731" s="2" t="s">
        <v>636</v>
      </c>
      <c r="F731" s="2" t="s">
        <v>1023</v>
      </c>
      <c r="G731" s="2" t="s">
        <v>36</v>
      </c>
      <c r="H731" s="2" t="s">
        <v>18</v>
      </c>
      <c r="I731" s="2" t="s">
        <v>19</v>
      </c>
      <c r="J731" s="2" t="s">
        <v>63</v>
      </c>
      <c r="K731" s="2">
        <v>5610000</v>
      </c>
      <c r="L731" s="2">
        <v>36800000</v>
      </c>
      <c r="M731" s="2">
        <v>3</v>
      </c>
      <c r="N731" s="2">
        <v>1</v>
      </c>
    </row>
    <row r="732" spans="1:14" x14ac:dyDescent="0.3">
      <c r="A732" s="2">
        <v>709</v>
      </c>
      <c r="B732" s="2" t="s">
        <v>1101</v>
      </c>
      <c r="C732" s="3">
        <v>21364</v>
      </c>
      <c r="D732" s="2">
        <v>116</v>
      </c>
      <c r="E732" s="2" t="s">
        <v>15</v>
      </c>
      <c r="F732" s="2" t="s">
        <v>1016</v>
      </c>
      <c r="G732" s="2" t="s">
        <v>417</v>
      </c>
      <c r="H732" s="2" t="s">
        <v>18</v>
      </c>
      <c r="I732" s="2" t="s">
        <v>19</v>
      </c>
      <c r="J732" s="2" t="s">
        <v>20</v>
      </c>
      <c r="K732" s="2">
        <v>3500000</v>
      </c>
      <c r="L732" s="2">
        <v>6000000</v>
      </c>
      <c r="M732" s="2">
        <v>0</v>
      </c>
      <c r="N732" s="2">
        <v>0</v>
      </c>
    </row>
    <row r="733" spans="1:14" x14ac:dyDescent="0.3">
      <c r="A733" s="2">
        <v>710</v>
      </c>
      <c r="B733" s="2" t="s">
        <v>1102</v>
      </c>
      <c r="C733" s="3">
        <v>21314</v>
      </c>
      <c r="D733" s="2">
        <v>128</v>
      </c>
      <c r="E733" s="2" t="s">
        <v>84</v>
      </c>
      <c r="F733" s="2" t="s">
        <v>1066</v>
      </c>
      <c r="G733" s="2" t="s">
        <v>257</v>
      </c>
      <c r="H733" s="2" t="s">
        <v>18</v>
      </c>
      <c r="I733" s="2" t="s">
        <v>19</v>
      </c>
      <c r="J733" s="2" t="s">
        <v>20</v>
      </c>
      <c r="K733" s="2">
        <v>2500000</v>
      </c>
      <c r="L733" s="2">
        <v>7300000</v>
      </c>
      <c r="M733" s="2">
        <v>2</v>
      </c>
      <c r="N733" s="2">
        <v>0</v>
      </c>
    </row>
    <row r="734" spans="1:14" x14ac:dyDescent="0.3">
      <c r="A734" s="2">
        <v>721</v>
      </c>
      <c r="B734" s="2" t="s">
        <v>1104</v>
      </c>
      <c r="C734" s="3">
        <v>21168</v>
      </c>
      <c r="D734" s="2">
        <v>152</v>
      </c>
      <c r="E734" s="2" t="s">
        <v>190</v>
      </c>
      <c r="F734" s="2" t="s">
        <v>1105</v>
      </c>
      <c r="G734" s="2" t="s">
        <v>1106</v>
      </c>
      <c r="H734" s="2" t="s">
        <v>18</v>
      </c>
      <c r="I734" s="2" t="s">
        <v>19</v>
      </c>
      <c r="J734" s="2">
        <v>15</v>
      </c>
      <c r="K734" s="2">
        <v>4300000</v>
      </c>
      <c r="L734" s="2">
        <v>20000000</v>
      </c>
      <c r="M734" s="2">
        <v>1</v>
      </c>
      <c r="N734" s="2">
        <v>0</v>
      </c>
    </row>
    <row r="735" spans="1:14" x14ac:dyDescent="0.3">
      <c r="A735" s="2">
        <v>722</v>
      </c>
      <c r="B735" s="2" t="s">
        <v>1107</v>
      </c>
      <c r="C735" s="3">
        <v>20970</v>
      </c>
      <c r="D735" s="2">
        <v>122</v>
      </c>
      <c r="E735" s="2" t="s">
        <v>360</v>
      </c>
      <c r="F735" s="2" t="s">
        <v>1108</v>
      </c>
      <c r="G735" s="2" t="s">
        <v>257</v>
      </c>
      <c r="H735" s="2" t="s">
        <v>18</v>
      </c>
      <c r="I735" s="2" t="s">
        <v>19</v>
      </c>
      <c r="J735" s="2" t="s">
        <v>20</v>
      </c>
      <c r="K735" s="2">
        <v>2000000</v>
      </c>
      <c r="L735" s="2">
        <v>10700000</v>
      </c>
      <c r="M735" s="2">
        <v>2</v>
      </c>
      <c r="N735" s="2">
        <v>0</v>
      </c>
    </row>
    <row r="736" spans="1:14" x14ac:dyDescent="0.3">
      <c r="A736" s="2">
        <v>724</v>
      </c>
      <c r="B736" s="2" t="s">
        <v>1109</v>
      </c>
      <c r="C736" s="3">
        <v>20733</v>
      </c>
      <c r="D736" s="2">
        <v>220</v>
      </c>
      <c r="E736" s="2" t="s">
        <v>52</v>
      </c>
      <c r="F736" s="2" t="s">
        <v>1110</v>
      </c>
      <c r="G736" s="2" t="s">
        <v>751</v>
      </c>
      <c r="H736" s="2" t="s">
        <v>18</v>
      </c>
      <c r="I736" s="2" t="s">
        <v>19</v>
      </c>
      <c r="J736" s="2" t="s">
        <v>63</v>
      </c>
      <c r="K736" s="2">
        <v>13200000</v>
      </c>
      <c r="L736" s="2">
        <v>80000000</v>
      </c>
      <c r="M736" s="2">
        <v>7</v>
      </c>
      <c r="N736" s="2">
        <v>1</v>
      </c>
    </row>
    <row r="737" spans="1:14" x14ac:dyDescent="0.3">
      <c r="A737" s="2">
        <v>726</v>
      </c>
      <c r="B737" s="2" t="s">
        <v>1111</v>
      </c>
      <c r="C737" s="3">
        <v>20688</v>
      </c>
      <c r="D737" s="2">
        <v>208</v>
      </c>
      <c r="E737" s="2" t="s">
        <v>190</v>
      </c>
      <c r="F737" s="2" t="s">
        <v>1112</v>
      </c>
      <c r="G737" s="2" t="s">
        <v>399</v>
      </c>
      <c r="H737" s="2" t="s">
        <v>18</v>
      </c>
      <c r="I737" s="2" t="s">
        <v>19</v>
      </c>
      <c r="J737" s="2" t="s">
        <v>20</v>
      </c>
      <c r="K737" s="2">
        <v>6000000</v>
      </c>
      <c r="L737" s="2">
        <v>12500000</v>
      </c>
      <c r="M737" s="2">
        <v>3</v>
      </c>
      <c r="N737" s="2">
        <v>0</v>
      </c>
    </row>
    <row r="738" spans="1:14" x14ac:dyDescent="0.3">
      <c r="A738" s="2">
        <v>727</v>
      </c>
      <c r="B738" s="2" t="s">
        <v>1113</v>
      </c>
      <c r="C738" s="3">
        <v>20634</v>
      </c>
      <c r="D738" s="2">
        <v>133</v>
      </c>
      <c r="E738" s="2" t="s">
        <v>636</v>
      </c>
      <c r="F738" s="2" t="s">
        <v>1114</v>
      </c>
      <c r="G738" s="2" t="s">
        <v>36</v>
      </c>
      <c r="H738" s="2" t="s">
        <v>18</v>
      </c>
      <c r="I738" s="2" t="s">
        <v>19</v>
      </c>
      <c r="J738" s="2" t="s">
        <v>63</v>
      </c>
      <c r="K738" s="2">
        <v>4550000</v>
      </c>
      <c r="L738" s="2">
        <v>21300000</v>
      </c>
      <c r="M738" s="2">
        <v>9</v>
      </c>
      <c r="N738" s="2">
        <v>5</v>
      </c>
    </row>
    <row r="739" spans="1:14" x14ac:dyDescent="0.3">
      <c r="A739" s="2">
        <v>728</v>
      </c>
      <c r="B739" s="2" t="s">
        <v>1115</v>
      </c>
      <c r="C739" s="3">
        <v>20527</v>
      </c>
      <c r="D739" s="2">
        <v>119</v>
      </c>
      <c r="E739" s="2" t="s">
        <v>360</v>
      </c>
      <c r="F739" s="2" t="s">
        <v>1061</v>
      </c>
      <c r="G739" s="2" t="s">
        <v>130</v>
      </c>
      <c r="H739" s="2" t="s">
        <v>18</v>
      </c>
      <c r="I739" s="2" t="s">
        <v>19</v>
      </c>
      <c r="J739" s="2" t="s">
        <v>63</v>
      </c>
      <c r="K739" s="2">
        <v>3750000</v>
      </c>
      <c r="L739" s="2">
        <v>37500000</v>
      </c>
      <c r="M739" s="2">
        <v>0</v>
      </c>
      <c r="N739" s="2">
        <v>0</v>
      </c>
    </row>
    <row r="740" spans="1:14" x14ac:dyDescent="0.3">
      <c r="A740" s="2">
        <v>731</v>
      </c>
      <c r="B740" s="2" t="s">
        <v>1116</v>
      </c>
      <c r="C740" s="3">
        <v>20653</v>
      </c>
      <c r="D740" s="2">
        <v>111</v>
      </c>
      <c r="E740" s="2" t="s">
        <v>636</v>
      </c>
      <c r="F740" s="2" t="s">
        <v>1117</v>
      </c>
      <c r="G740" s="2" t="s">
        <v>1118</v>
      </c>
      <c r="H740" s="2" t="s">
        <v>18</v>
      </c>
      <c r="I740" s="2" t="s">
        <v>19</v>
      </c>
      <c r="J740" s="2" t="s">
        <v>63</v>
      </c>
      <c r="K740" s="2">
        <v>2762000</v>
      </c>
      <c r="L740" s="2">
        <v>8258000</v>
      </c>
      <c r="M740" s="2">
        <v>2</v>
      </c>
      <c r="N740" s="2">
        <v>0</v>
      </c>
    </row>
    <row r="741" spans="1:14" x14ac:dyDescent="0.3">
      <c r="A741" s="2">
        <v>736</v>
      </c>
      <c r="B741" s="2" t="s">
        <v>1119</v>
      </c>
      <c r="C741" s="3">
        <v>20373</v>
      </c>
      <c r="D741" s="2">
        <v>145</v>
      </c>
      <c r="E741" s="2" t="s">
        <v>636</v>
      </c>
      <c r="F741" s="2" t="s">
        <v>1120</v>
      </c>
      <c r="G741" s="2" t="s">
        <v>514</v>
      </c>
      <c r="H741" s="2" t="s">
        <v>18</v>
      </c>
      <c r="I741" s="2" t="s">
        <v>19</v>
      </c>
      <c r="J741" s="2" t="s">
        <v>63</v>
      </c>
      <c r="K741" s="2">
        <v>5000000</v>
      </c>
      <c r="L741" s="2">
        <v>7100000</v>
      </c>
      <c r="M741" s="2">
        <v>4</v>
      </c>
      <c r="N741" s="2">
        <v>2</v>
      </c>
    </row>
    <row r="742" spans="1:14" x14ac:dyDescent="0.3">
      <c r="A742" s="2">
        <v>737</v>
      </c>
      <c r="B742" s="2" t="s">
        <v>1121</v>
      </c>
      <c r="C742" s="3">
        <v>20396</v>
      </c>
      <c r="D742" s="2">
        <v>150</v>
      </c>
      <c r="E742" s="2" t="s">
        <v>636</v>
      </c>
      <c r="F742" s="2" t="s">
        <v>1059</v>
      </c>
      <c r="G742" s="2" t="s">
        <v>834</v>
      </c>
      <c r="H742" s="2" t="s">
        <v>18</v>
      </c>
      <c r="I742" s="2" t="s">
        <v>19</v>
      </c>
      <c r="J742" s="2" t="s">
        <v>63</v>
      </c>
      <c r="K742" s="2">
        <v>5500000</v>
      </c>
      <c r="L742" s="2">
        <v>20000000</v>
      </c>
      <c r="M742" s="2">
        <v>4</v>
      </c>
      <c r="N742" s="2">
        <v>0</v>
      </c>
    </row>
    <row r="743" spans="1:14" x14ac:dyDescent="0.3">
      <c r="A743" s="2">
        <v>738</v>
      </c>
      <c r="B743" s="2" t="s">
        <v>1122</v>
      </c>
      <c r="C743" s="3">
        <v>20262</v>
      </c>
      <c r="D743" s="2">
        <v>75</v>
      </c>
      <c r="E743" s="2" t="s">
        <v>60</v>
      </c>
      <c r="F743" s="2" t="s">
        <v>1123</v>
      </c>
      <c r="G743" s="2" t="s">
        <v>66</v>
      </c>
      <c r="H743" s="2" t="s">
        <v>18</v>
      </c>
      <c r="I743" s="2" t="s">
        <v>19</v>
      </c>
      <c r="J743" s="2" t="s">
        <v>63</v>
      </c>
      <c r="K743" s="2">
        <v>4000000</v>
      </c>
      <c r="L743" s="2">
        <v>93600000</v>
      </c>
      <c r="M743" s="2">
        <v>0</v>
      </c>
      <c r="N743" s="2">
        <v>0</v>
      </c>
    </row>
    <row r="744" spans="1:14" x14ac:dyDescent="0.3">
      <c r="A744" s="2">
        <v>744</v>
      </c>
      <c r="B744" s="2" t="s">
        <v>1124</v>
      </c>
      <c r="C744" s="3">
        <v>20081</v>
      </c>
      <c r="D744" s="2">
        <v>127</v>
      </c>
      <c r="E744" s="2" t="s">
        <v>15</v>
      </c>
      <c r="F744" s="2" t="s">
        <v>1016</v>
      </c>
      <c r="G744" s="2" t="s">
        <v>66</v>
      </c>
      <c r="H744" s="2" t="s">
        <v>18</v>
      </c>
      <c r="I744" s="2" t="s">
        <v>19</v>
      </c>
      <c r="J744" s="2" t="s">
        <v>63</v>
      </c>
      <c r="K744" s="2">
        <v>5000000</v>
      </c>
      <c r="L744" s="2">
        <v>28200000</v>
      </c>
      <c r="M744" s="2">
        <v>3</v>
      </c>
      <c r="N744" s="2">
        <v>2</v>
      </c>
    </row>
    <row r="745" spans="1:14" x14ac:dyDescent="0.3">
      <c r="A745" s="2">
        <v>753</v>
      </c>
      <c r="B745" s="2" t="s">
        <v>1125</v>
      </c>
      <c r="C745" s="3">
        <v>19618</v>
      </c>
      <c r="D745" s="2">
        <v>135</v>
      </c>
      <c r="E745" s="2" t="s">
        <v>190</v>
      </c>
      <c r="F745" s="2" t="s">
        <v>1126</v>
      </c>
      <c r="G745" s="2" t="s">
        <v>36</v>
      </c>
      <c r="H745" s="2" t="s">
        <v>18</v>
      </c>
      <c r="I745" s="2" t="s">
        <v>19</v>
      </c>
      <c r="J745" s="2" t="s">
        <v>63</v>
      </c>
      <c r="K745" s="2">
        <v>4100000</v>
      </c>
      <c r="L745" s="2">
        <v>36000000</v>
      </c>
      <c r="M745" s="2">
        <v>5</v>
      </c>
      <c r="N745" s="2">
        <v>2</v>
      </c>
    </row>
    <row r="746" spans="1:14" x14ac:dyDescent="0.3">
      <c r="A746" s="2">
        <v>754</v>
      </c>
      <c r="B746" s="2" t="s">
        <v>1127</v>
      </c>
      <c r="C746" s="3">
        <v>19576</v>
      </c>
      <c r="D746" s="2">
        <v>118</v>
      </c>
      <c r="E746" s="2" t="s">
        <v>190</v>
      </c>
      <c r="F746" s="2" t="s">
        <v>1120</v>
      </c>
      <c r="G746" s="2" t="s">
        <v>213</v>
      </c>
      <c r="H746" s="2" t="s">
        <v>18</v>
      </c>
      <c r="I746" s="2" t="s">
        <v>19</v>
      </c>
      <c r="J746" s="2" t="s">
        <v>20</v>
      </c>
      <c r="K746" s="2">
        <v>2500000</v>
      </c>
      <c r="L746" s="2">
        <v>30500000</v>
      </c>
      <c r="M746" s="2">
        <v>13</v>
      </c>
      <c r="N746" s="2">
        <v>8</v>
      </c>
    </row>
    <row r="747" spans="1:14" x14ac:dyDescent="0.3">
      <c r="A747" s="2">
        <v>755</v>
      </c>
      <c r="B747" s="2" t="s">
        <v>1128</v>
      </c>
      <c r="C747" s="3">
        <v>19472</v>
      </c>
      <c r="D747" s="2">
        <v>118</v>
      </c>
      <c r="E747" s="2" t="s">
        <v>360</v>
      </c>
      <c r="F747" s="2" t="s">
        <v>1129</v>
      </c>
      <c r="G747" s="2" t="s">
        <v>257</v>
      </c>
      <c r="H747" s="2" t="s">
        <v>18</v>
      </c>
      <c r="I747" s="2" t="s">
        <v>19</v>
      </c>
      <c r="J747" s="2" t="s">
        <v>20</v>
      </c>
      <c r="K747" s="2">
        <v>3100000</v>
      </c>
      <c r="L747" s="2">
        <v>20000000</v>
      </c>
      <c r="M747" s="2">
        <v>6</v>
      </c>
      <c r="N747" s="2">
        <v>1</v>
      </c>
    </row>
    <row r="748" spans="1:14" x14ac:dyDescent="0.3">
      <c r="A748" s="2">
        <v>757</v>
      </c>
      <c r="B748" s="2" t="s">
        <v>1130</v>
      </c>
      <c r="C748" s="3">
        <v>19395</v>
      </c>
      <c r="D748" s="2">
        <v>76</v>
      </c>
      <c r="E748" s="2" t="s">
        <v>60</v>
      </c>
      <c r="F748" s="2" t="s">
        <v>1123</v>
      </c>
      <c r="G748" s="2" t="s">
        <v>66</v>
      </c>
      <c r="H748" s="2" t="s">
        <v>18</v>
      </c>
      <c r="I748" s="2" t="s">
        <v>19</v>
      </c>
      <c r="J748" s="2" t="s">
        <v>63</v>
      </c>
      <c r="K748" s="2">
        <v>4000000</v>
      </c>
      <c r="L748" s="2">
        <v>87400000</v>
      </c>
      <c r="M748" s="2">
        <v>0</v>
      </c>
      <c r="N748" s="2">
        <v>0</v>
      </c>
    </row>
    <row r="749" spans="1:14" x14ac:dyDescent="0.3">
      <c r="A749" s="2">
        <v>761</v>
      </c>
      <c r="B749" s="2" t="s">
        <v>1131</v>
      </c>
      <c r="C749" s="3">
        <v>19555</v>
      </c>
      <c r="D749" s="2">
        <v>91</v>
      </c>
      <c r="E749" s="2" t="s">
        <v>636</v>
      </c>
      <c r="F749" s="2" t="s">
        <v>1099</v>
      </c>
      <c r="G749" s="2" t="s">
        <v>36</v>
      </c>
      <c r="H749" s="2" t="s">
        <v>18</v>
      </c>
      <c r="I749" s="2" t="s">
        <v>19</v>
      </c>
      <c r="J749" s="2" t="s">
        <v>63</v>
      </c>
      <c r="K749" s="2">
        <v>2260000</v>
      </c>
      <c r="L749" s="2">
        <v>5300000</v>
      </c>
      <c r="M749" s="2">
        <v>0</v>
      </c>
      <c r="N749" s="2">
        <v>0</v>
      </c>
    </row>
    <row r="750" spans="1:14" x14ac:dyDescent="0.3">
      <c r="A750" s="2">
        <v>767</v>
      </c>
      <c r="B750" s="2" t="s">
        <v>1134</v>
      </c>
      <c r="C750" s="3">
        <v>19095</v>
      </c>
      <c r="D750" s="2">
        <v>103</v>
      </c>
      <c r="E750" s="2" t="s">
        <v>636</v>
      </c>
      <c r="F750" s="2" t="s">
        <v>1135</v>
      </c>
      <c r="G750" s="2" t="s">
        <v>834</v>
      </c>
      <c r="H750" s="2" t="s">
        <v>18</v>
      </c>
      <c r="I750" s="2" t="s">
        <v>19</v>
      </c>
      <c r="J750" s="2" t="s">
        <v>63</v>
      </c>
      <c r="K750" s="2">
        <v>2500000</v>
      </c>
      <c r="L750" s="2">
        <v>12400000</v>
      </c>
      <c r="M750" s="2">
        <v>2</v>
      </c>
      <c r="N750" s="2">
        <v>0</v>
      </c>
    </row>
    <row r="751" spans="1:14" x14ac:dyDescent="0.3">
      <c r="A751" s="2">
        <v>774</v>
      </c>
      <c r="B751" s="2" t="s">
        <v>602</v>
      </c>
      <c r="C751" s="3">
        <v>18805</v>
      </c>
      <c r="D751" s="2">
        <v>75</v>
      </c>
      <c r="E751" s="2" t="s">
        <v>60</v>
      </c>
      <c r="F751" s="2" t="s">
        <v>1123</v>
      </c>
      <c r="G751" s="2" t="s">
        <v>66</v>
      </c>
      <c r="H751" s="2" t="s">
        <v>18</v>
      </c>
      <c r="I751" s="2" t="s">
        <v>19</v>
      </c>
      <c r="J751" s="2" t="s">
        <v>63</v>
      </c>
      <c r="K751" s="2">
        <v>3000000</v>
      </c>
      <c r="L751" s="2">
        <v>5232000</v>
      </c>
      <c r="M751" s="2">
        <v>1</v>
      </c>
      <c r="N751" s="2">
        <v>0</v>
      </c>
    </row>
    <row r="752" spans="1:14" x14ac:dyDescent="0.3">
      <c r="A752" s="2">
        <v>776</v>
      </c>
      <c r="B752" s="2" t="s">
        <v>1138</v>
      </c>
      <c r="C752" s="3">
        <v>18889</v>
      </c>
      <c r="D752" s="2">
        <v>122</v>
      </c>
      <c r="E752" s="2" t="s">
        <v>190</v>
      </c>
      <c r="F752" s="2" t="s">
        <v>1139</v>
      </c>
      <c r="G752" s="2" t="s">
        <v>130</v>
      </c>
      <c r="H752" s="2" t="s">
        <v>18</v>
      </c>
      <c r="I752" s="2" t="s">
        <v>19</v>
      </c>
      <c r="J752" s="2">
        <v>15</v>
      </c>
      <c r="K752" s="2">
        <v>1800000</v>
      </c>
      <c r="L752" s="2">
        <v>8000000</v>
      </c>
      <c r="M752" s="2">
        <v>12</v>
      </c>
      <c r="N752" s="2">
        <v>4</v>
      </c>
    </row>
    <row r="753" spans="1:14" x14ac:dyDescent="0.3">
      <c r="A753" s="2">
        <v>779</v>
      </c>
      <c r="B753" s="2" t="s">
        <v>1140</v>
      </c>
      <c r="C753" s="3">
        <v>18985</v>
      </c>
      <c r="D753" s="2">
        <v>105</v>
      </c>
      <c r="E753" s="2" t="s">
        <v>15</v>
      </c>
      <c r="F753" s="2" t="s">
        <v>894</v>
      </c>
      <c r="G753" s="2" t="s">
        <v>1069</v>
      </c>
      <c r="H753" s="2" t="s">
        <v>18</v>
      </c>
      <c r="I753" s="2" t="s">
        <v>19</v>
      </c>
      <c r="J753" s="2" t="s">
        <v>63</v>
      </c>
      <c r="K753" s="2">
        <v>1000000</v>
      </c>
      <c r="L753" s="2">
        <v>10750000</v>
      </c>
      <c r="M753" s="2">
        <v>4</v>
      </c>
      <c r="N753" s="2">
        <v>1</v>
      </c>
    </row>
    <row r="754" spans="1:14" x14ac:dyDescent="0.3">
      <c r="A754" s="2">
        <v>781</v>
      </c>
      <c r="B754" s="2" t="s">
        <v>1141</v>
      </c>
      <c r="C754" s="3">
        <v>18809</v>
      </c>
      <c r="D754" s="2">
        <v>101</v>
      </c>
      <c r="E754" s="2" t="s">
        <v>84</v>
      </c>
      <c r="F754" s="2" t="s">
        <v>1066</v>
      </c>
      <c r="G754" s="2" t="s">
        <v>1142</v>
      </c>
      <c r="H754" s="2" t="s">
        <v>18</v>
      </c>
      <c r="I754" s="2" t="s">
        <v>19</v>
      </c>
      <c r="J754" s="2" t="s">
        <v>20</v>
      </c>
      <c r="K754" s="2">
        <v>1200000</v>
      </c>
      <c r="L754" s="2">
        <v>7000000</v>
      </c>
      <c r="M754" s="2">
        <v>1</v>
      </c>
      <c r="N754" s="2">
        <v>0</v>
      </c>
    </row>
    <row r="755" spans="1:14" x14ac:dyDescent="0.3">
      <c r="A755" s="2">
        <v>783</v>
      </c>
      <c r="B755" s="2" t="s">
        <v>1143</v>
      </c>
      <c r="C755" s="3">
        <v>18326</v>
      </c>
      <c r="D755" s="2">
        <v>75</v>
      </c>
      <c r="E755" s="2" t="s">
        <v>60</v>
      </c>
      <c r="F755" s="2" t="s">
        <v>1123</v>
      </c>
      <c r="G755" s="2" t="s">
        <v>66</v>
      </c>
      <c r="H755" s="2" t="s">
        <v>18</v>
      </c>
      <c r="I755" s="2" t="s">
        <v>19</v>
      </c>
      <c r="J755" s="2" t="s">
        <v>63</v>
      </c>
      <c r="K755" s="2">
        <v>2900000</v>
      </c>
      <c r="L755" s="2">
        <v>263600000</v>
      </c>
      <c r="M755" s="2">
        <v>3</v>
      </c>
      <c r="N755" s="2">
        <v>0</v>
      </c>
    </row>
    <row r="756" spans="1:14" x14ac:dyDescent="0.3">
      <c r="A756" s="2">
        <v>784</v>
      </c>
      <c r="B756" s="2" t="s">
        <v>1144</v>
      </c>
      <c r="C756" s="3">
        <v>18591</v>
      </c>
      <c r="D756" s="2">
        <v>103</v>
      </c>
      <c r="E756" s="2" t="s">
        <v>15</v>
      </c>
      <c r="F756" s="2" t="s">
        <v>1145</v>
      </c>
      <c r="G756" s="2" t="s">
        <v>834</v>
      </c>
      <c r="H756" s="2" t="s">
        <v>18</v>
      </c>
      <c r="I756" s="2" t="s">
        <v>19</v>
      </c>
      <c r="J756" s="2" t="s">
        <v>20</v>
      </c>
      <c r="K756" s="2">
        <v>2300000</v>
      </c>
      <c r="L756" s="2">
        <v>15100000</v>
      </c>
      <c r="M756" s="2">
        <v>3</v>
      </c>
      <c r="N756" s="2">
        <v>2</v>
      </c>
    </row>
    <row r="757" spans="1:14" x14ac:dyDescent="0.3">
      <c r="A757" s="2">
        <v>785</v>
      </c>
      <c r="B757" s="2" t="s">
        <v>1146</v>
      </c>
      <c r="C757" s="3">
        <v>18400</v>
      </c>
      <c r="D757" s="2">
        <v>107</v>
      </c>
      <c r="E757" s="2" t="s">
        <v>636</v>
      </c>
      <c r="F757" s="2" t="s">
        <v>1117</v>
      </c>
      <c r="G757" s="2" t="s">
        <v>834</v>
      </c>
      <c r="H757" s="2" t="s">
        <v>18</v>
      </c>
      <c r="I757" s="2" t="s">
        <v>19</v>
      </c>
      <c r="J757" s="2" t="s">
        <v>63</v>
      </c>
      <c r="K757" s="2">
        <v>3734000</v>
      </c>
      <c r="L757" s="2">
        <v>7756000</v>
      </c>
      <c r="M757" s="2">
        <v>4</v>
      </c>
      <c r="N757" s="2">
        <v>1</v>
      </c>
    </row>
    <row r="758" spans="1:14" x14ac:dyDescent="0.3">
      <c r="A758" s="2">
        <v>796</v>
      </c>
      <c r="B758" s="2" t="s">
        <v>1147</v>
      </c>
      <c r="C758" s="3">
        <v>18246</v>
      </c>
      <c r="D758" s="2">
        <v>100</v>
      </c>
      <c r="E758" s="2" t="s">
        <v>45</v>
      </c>
      <c r="F758" s="2" t="s">
        <v>1148</v>
      </c>
      <c r="G758" s="2" t="s">
        <v>384</v>
      </c>
      <c r="H758" s="2" t="s">
        <v>18</v>
      </c>
      <c r="I758" s="2" t="s">
        <v>19</v>
      </c>
      <c r="J758" s="2" t="s">
        <v>20</v>
      </c>
      <c r="K758" s="2">
        <v>1000000</v>
      </c>
      <c r="L758" s="2">
        <v>5000000</v>
      </c>
      <c r="M758" s="2">
        <v>4</v>
      </c>
      <c r="N758" s="2">
        <v>0</v>
      </c>
    </row>
    <row r="759" spans="1:14" x14ac:dyDescent="0.3">
      <c r="A759" s="2">
        <v>853</v>
      </c>
      <c r="B759" s="2" t="s">
        <v>1149</v>
      </c>
      <c r="C759" s="3">
        <v>15901</v>
      </c>
      <c r="D759" s="2">
        <v>170</v>
      </c>
      <c r="E759" s="2" t="s">
        <v>45</v>
      </c>
      <c r="F759" s="2" t="s">
        <v>1150</v>
      </c>
      <c r="G759" s="2" t="s">
        <v>257</v>
      </c>
      <c r="H759" s="2" t="s">
        <v>18</v>
      </c>
      <c r="I759" s="2" t="s">
        <v>19</v>
      </c>
      <c r="J759" s="2" t="s">
        <v>63</v>
      </c>
      <c r="K759" s="2">
        <v>3000000</v>
      </c>
      <c r="L759" s="2">
        <v>7100000</v>
      </c>
      <c r="M759" s="2">
        <v>9</v>
      </c>
      <c r="N759" s="2">
        <v>1</v>
      </c>
    </row>
    <row r="760" spans="1:14" x14ac:dyDescent="0.3">
      <c r="A760" s="2">
        <v>858</v>
      </c>
      <c r="B760" s="2" t="s">
        <v>1151</v>
      </c>
      <c r="C760" s="3">
        <v>15671</v>
      </c>
      <c r="D760" s="2">
        <v>102</v>
      </c>
      <c r="E760" s="2" t="s">
        <v>190</v>
      </c>
      <c r="F760" s="2" t="s">
        <v>1152</v>
      </c>
      <c r="G760" s="2" t="s">
        <v>130</v>
      </c>
      <c r="H760" s="2" t="s">
        <v>18</v>
      </c>
      <c r="I760" s="2" t="s">
        <v>19</v>
      </c>
      <c r="J760" s="2" t="s">
        <v>63</v>
      </c>
      <c r="K760" s="2">
        <v>878000</v>
      </c>
      <c r="L760" s="2">
        <v>3700000</v>
      </c>
      <c r="M760" s="2">
        <v>8</v>
      </c>
      <c r="N760" s="2">
        <v>3</v>
      </c>
    </row>
    <row r="761" spans="1:14" x14ac:dyDescent="0.3">
      <c r="A761" s="2">
        <v>885</v>
      </c>
      <c r="B761" s="2" t="s">
        <v>1153</v>
      </c>
      <c r="C761" s="3">
        <v>14899</v>
      </c>
      <c r="D761" s="2">
        <v>124</v>
      </c>
      <c r="E761" s="2" t="s">
        <v>38</v>
      </c>
      <c r="F761" s="2" t="s">
        <v>1154</v>
      </c>
      <c r="G761" s="2" t="s">
        <v>1155</v>
      </c>
      <c r="H761" s="2" t="s">
        <v>18</v>
      </c>
      <c r="I761" s="2" t="s">
        <v>19</v>
      </c>
      <c r="J761" s="2" t="s">
        <v>63</v>
      </c>
      <c r="K761" s="2">
        <v>2000000</v>
      </c>
      <c r="L761" s="2">
        <v>5000000</v>
      </c>
      <c r="M761" s="2">
        <v>5</v>
      </c>
      <c r="N761" s="2">
        <v>0</v>
      </c>
    </row>
    <row r="762" spans="1:14" x14ac:dyDescent="0.3">
      <c r="A762" s="2">
        <v>887</v>
      </c>
      <c r="B762" s="2" t="s">
        <v>1156</v>
      </c>
      <c r="C762" s="3">
        <v>14634</v>
      </c>
      <c r="D762" s="2">
        <v>129</v>
      </c>
      <c r="E762" s="2" t="s">
        <v>190</v>
      </c>
      <c r="F762" s="2" t="s">
        <v>1061</v>
      </c>
      <c r="G762" s="2" t="s">
        <v>36</v>
      </c>
      <c r="H762" s="2" t="s">
        <v>18</v>
      </c>
      <c r="I762" s="2" t="s">
        <v>19</v>
      </c>
      <c r="J762" s="2" t="s">
        <v>20</v>
      </c>
      <c r="K762" s="2">
        <v>800000</v>
      </c>
      <c r="L762" s="2">
        <v>2500000</v>
      </c>
      <c r="M762" s="2">
        <v>7</v>
      </c>
      <c r="N762" s="2">
        <v>2</v>
      </c>
    </row>
    <row r="763" spans="1:14" x14ac:dyDescent="0.3">
      <c r="A763" s="2">
        <v>893</v>
      </c>
      <c r="B763" s="2" t="s">
        <v>1157</v>
      </c>
      <c r="C763" s="3">
        <v>14594</v>
      </c>
      <c r="D763" s="2">
        <v>221</v>
      </c>
      <c r="E763" s="2" t="s">
        <v>34</v>
      </c>
      <c r="F763" s="2" t="s">
        <v>1158</v>
      </c>
      <c r="G763" s="2" t="s">
        <v>1106</v>
      </c>
      <c r="H763" s="2" t="s">
        <v>18</v>
      </c>
      <c r="I763" s="2" t="s">
        <v>19</v>
      </c>
      <c r="J763" s="2" t="s">
        <v>20</v>
      </c>
      <c r="K763" s="2">
        <v>3850000</v>
      </c>
      <c r="L763" s="2">
        <v>198000000</v>
      </c>
      <c r="M763" s="2">
        <v>13</v>
      </c>
      <c r="N763" s="2">
        <v>8</v>
      </c>
    </row>
    <row r="764" spans="1:14" x14ac:dyDescent="0.3">
      <c r="A764" s="2">
        <v>900</v>
      </c>
      <c r="B764" s="2" t="s">
        <v>1160</v>
      </c>
      <c r="C764" s="3">
        <v>14482</v>
      </c>
      <c r="D764" s="2">
        <v>101</v>
      </c>
      <c r="E764" s="2" t="s">
        <v>52</v>
      </c>
      <c r="F764" s="2" t="s">
        <v>1158</v>
      </c>
      <c r="G764" s="2" t="s">
        <v>834</v>
      </c>
      <c r="H764" s="2" t="s">
        <v>18</v>
      </c>
      <c r="I764" s="2" t="s">
        <v>19</v>
      </c>
      <c r="J764" s="2" t="s">
        <v>63</v>
      </c>
      <c r="K764" s="2">
        <v>2800000</v>
      </c>
      <c r="L764" s="2">
        <v>22300000</v>
      </c>
      <c r="M764" s="2">
        <v>6</v>
      </c>
      <c r="N764" s="2">
        <v>2</v>
      </c>
    </row>
    <row r="765" spans="1:14" x14ac:dyDescent="0.3">
      <c r="A765" s="2">
        <v>913</v>
      </c>
      <c r="B765" s="2" t="s">
        <v>1161</v>
      </c>
      <c r="C765" s="3">
        <v>13870</v>
      </c>
      <c r="D765" s="2">
        <v>83</v>
      </c>
      <c r="E765" s="2" t="s">
        <v>60</v>
      </c>
      <c r="F765" s="2" t="s">
        <v>1162</v>
      </c>
      <c r="G765" s="2" t="s">
        <v>66</v>
      </c>
      <c r="H765" s="2" t="s">
        <v>18</v>
      </c>
      <c r="I765" s="2" t="s">
        <v>19</v>
      </c>
      <c r="J765" s="2" t="s">
        <v>63</v>
      </c>
      <c r="K765" s="2">
        <v>2000000</v>
      </c>
      <c r="L765" s="2">
        <v>184925485</v>
      </c>
      <c r="M765" s="2">
        <v>1</v>
      </c>
      <c r="N765" s="2">
        <v>0</v>
      </c>
    </row>
    <row r="766" spans="1:14" x14ac:dyDescent="0.3">
      <c r="A766" s="2">
        <v>941</v>
      </c>
      <c r="B766" s="2" t="s">
        <v>1163</v>
      </c>
      <c r="C766" s="3">
        <v>13026</v>
      </c>
      <c r="D766" s="2">
        <v>95</v>
      </c>
      <c r="E766" s="2" t="s">
        <v>190</v>
      </c>
      <c r="F766" s="2" t="s">
        <v>1164</v>
      </c>
      <c r="G766" s="2" t="s">
        <v>834</v>
      </c>
      <c r="H766" s="2" t="s">
        <v>18</v>
      </c>
      <c r="I766" s="2" t="s">
        <v>19</v>
      </c>
      <c r="J766" s="2" t="s">
        <v>63</v>
      </c>
      <c r="K766" s="2">
        <v>1152000</v>
      </c>
      <c r="L766" s="2">
        <v>2304000</v>
      </c>
      <c r="M766" s="2">
        <v>0</v>
      </c>
      <c r="N766" s="2">
        <v>0</v>
      </c>
    </row>
    <row r="767" spans="1:14" x14ac:dyDescent="0.3">
      <c r="A767" s="2">
        <v>972</v>
      </c>
      <c r="B767" s="2" t="s">
        <v>1165</v>
      </c>
      <c r="C767" s="3">
        <v>11648</v>
      </c>
      <c r="D767" s="2">
        <v>71</v>
      </c>
      <c r="E767" s="2" t="s">
        <v>68</v>
      </c>
      <c r="F767" s="2" t="s">
        <v>1166</v>
      </c>
      <c r="G767" s="2" t="s">
        <v>103</v>
      </c>
      <c r="H767" s="2" t="s">
        <v>18</v>
      </c>
      <c r="I767" s="2" t="s">
        <v>19</v>
      </c>
      <c r="J767" s="2" t="s">
        <v>20</v>
      </c>
      <c r="K767" s="2">
        <v>262000</v>
      </c>
      <c r="L767" s="2">
        <v>12000000</v>
      </c>
      <c r="M767" s="2">
        <v>0</v>
      </c>
      <c r="N767" s="2">
        <v>0</v>
      </c>
    </row>
    <row r="768" spans="1:14" x14ac:dyDescent="0.3">
      <c r="A768" s="2">
        <v>977</v>
      </c>
      <c r="B768" s="2" t="s">
        <v>1167</v>
      </c>
      <c r="C768" s="3">
        <v>11366</v>
      </c>
      <c r="D768" s="2">
        <v>85</v>
      </c>
      <c r="E768" s="2" t="s">
        <v>68</v>
      </c>
      <c r="F768" s="2" t="s">
        <v>1168</v>
      </c>
      <c r="G768" s="2" t="s">
        <v>103</v>
      </c>
      <c r="H768" s="2" t="s">
        <v>18</v>
      </c>
      <c r="I768" s="2" t="s">
        <v>19</v>
      </c>
      <c r="J768" s="2" t="s">
        <v>20</v>
      </c>
      <c r="K768" s="2">
        <v>355000</v>
      </c>
      <c r="L768" s="2">
        <v>355000</v>
      </c>
      <c r="M768" s="2">
        <v>0</v>
      </c>
      <c r="N768" s="2">
        <v>0</v>
      </c>
    </row>
    <row r="769" spans="1:14" x14ac:dyDescent="0.3">
      <c r="A769" s="2">
        <v>982</v>
      </c>
      <c r="B769" s="2" t="s">
        <v>1169</v>
      </c>
      <c r="C769" s="3">
        <v>11069</v>
      </c>
      <c r="D769" s="2">
        <v>152</v>
      </c>
      <c r="E769" s="2" t="s">
        <v>45</v>
      </c>
      <c r="F769" s="2" t="s">
        <v>1073</v>
      </c>
      <c r="G769" s="2" t="s">
        <v>103</v>
      </c>
      <c r="H769" s="2" t="s">
        <v>18</v>
      </c>
      <c r="I769" s="2" t="s">
        <v>19</v>
      </c>
      <c r="J769" s="2" t="s">
        <v>20</v>
      </c>
      <c r="K769" s="2">
        <v>1200000</v>
      </c>
      <c r="L769" s="2">
        <v>3000000</v>
      </c>
      <c r="M769" s="2">
        <v>4</v>
      </c>
      <c r="N769" s="2">
        <v>2</v>
      </c>
    </row>
    <row r="770" spans="1:14" x14ac:dyDescent="0.3">
      <c r="A770" s="2">
        <v>1063</v>
      </c>
      <c r="B770" s="2" t="s">
        <v>1170</v>
      </c>
      <c r="C770" s="3">
        <v>7692</v>
      </c>
      <c r="D770" s="2">
        <v>68</v>
      </c>
      <c r="E770" s="2" t="s">
        <v>38</v>
      </c>
      <c r="F770" s="2" t="s">
        <v>1154</v>
      </c>
      <c r="G770" s="2" t="s">
        <v>1155</v>
      </c>
      <c r="H770" s="2" t="s">
        <v>18</v>
      </c>
      <c r="I770" s="2" t="s">
        <v>1171</v>
      </c>
      <c r="J770" s="2" t="s">
        <v>63</v>
      </c>
      <c r="K770" s="2">
        <v>250000</v>
      </c>
      <c r="L770" s="2">
        <v>2500000</v>
      </c>
      <c r="M770" s="2">
        <v>0</v>
      </c>
      <c r="N770" s="2">
        <v>0</v>
      </c>
    </row>
    <row r="771" spans="1:14" x14ac:dyDescent="0.3">
      <c r="A771" s="2">
        <v>1120</v>
      </c>
      <c r="B771" s="2" t="s">
        <v>1172</v>
      </c>
      <c r="C771" s="3">
        <v>42355</v>
      </c>
      <c r="D771" s="2">
        <v>136</v>
      </c>
      <c r="E771" s="2" t="s">
        <v>49</v>
      </c>
      <c r="F771" s="2" t="s">
        <v>132</v>
      </c>
      <c r="G771" s="2" t="s">
        <v>140</v>
      </c>
      <c r="H771" s="2" t="s">
        <v>18</v>
      </c>
      <c r="I771" s="2" t="s">
        <v>19</v>
      </c>
      <c r="J771" s="2" t="s">
        <v>25</v>
      </c>
      <c r="K771" s="2">
        <v>306000000</v>
      </c>
      <c r="L771" s="2">
        <v>2066000000</v>
      </c>
      <c r="M771" s="2">
        <v>5</v>
      </c>
      <c r="N771" s="2">
        <v>0</v>
      </c>
    </row>
    <row r="772" spans="1:14" x14ac:dyDescent="0.3">
      <c r="A772" s="2">
        <v>1121</v>
      </c>
      <c r="B772" s="2" t="s">
        <v>1173</v>
      </c>
      <c r="C772" s="3">
        <v>42167</v>
      </c>
      <c r="D772" s="2">
        <v>124</v>
      </c>
      <c r="E772" s="2" t="s">
        <v>15</v>
      </c>
      <c r="F772" s="2" t="s">
        <v>1174</v>
      </c>
      <c r="G772" s="2" t="s">
        <v>17</v>
      </c>
      <c r="H772" s="2" t="s">
        <v>18</v>
      </c>
      <c r="I772" s="2" t="s">
        <v>19</v>
      </c>
      <c r="J772" s="2" t="s">
        <v>25</v>
      </c>
      <c r="K772" s="2">
        <v>150000000</v>
      </c>
      <c r="L772" s="2">
        <v>1670000000</v>
      </c>
      <c r="M772" s="2">
        <v>0</v>
      </c>
      <c r="N772" s="2">
        <v>0</v>
      </c>
    </row>
    <row r="773" spans="1:14" x14ac:dyDescent="0.3">
      <c r="A773" s="2">
        <v>1122</v>
      </c>
      <c r="B773" s="2" t="s">
        <v>1175</v>
      </c>
      <c r="C773" s="3">
        <v>42097</v>
      </c>
      <c r="D773" s="2">
        <v>137</v>
      </c>
      <c r="E773" s="2" t="s">
        <v>22</v>
      </c>
      <c r="F773" s="2" t="s">
        <v>1176</v>
      </c>
      <c r="G773" s="2" t="s">
        <v>97</v>
      </c>
      <c r="H773" s="2" t="s">
        <v>18</v>
      </c>
      <c r="I773" s="2" t="s">
        <v>19</v>
      </c>
      <c r="J773" s="2" t="s">
        <v>25</v>
      </c>
      <c r="K773" s="2">
        <v>190000000</v>
      </c>
      <c r="L773" s="2">
        <v>1516000000</v>
      </c>
      <c r="M773" s="2">
        <v>0</v>
      </c>
      <c r="N773" s="2">
        <v>0</v>
      </c>
    </row>
    <row r="774" spans="1:14" x14ac:dyDescent="0.3">
      <c r="A774" s="2">
        <v>1123</v>
      </c>
      <c r="B774" s="2" t="s">
        <v>1177</v>
      </c>
      <c r="C774" s="3">
        <v>42125</v>
      </c>
      <c r="D774" s="2">
        <v>141</v>
      </c>
      <c r="E774" s="2" t="s">
        <v>22</v>
      </c>
      <c r="F774" s="2" t="s">
        <v>341</v>
      </c>
      <c r="G774" s="2" t="s">
        <v>24</v>
      </c>
      <c r="H774" s="2" t="s">
        <v>18</v>
      </c>
      <c r="I774" s="2" t="s">
        <v>19</v>
      </c>
      <c r="J774" s="2" t="s">
        <v>25</v>
      </c>
      <c r="K774" s="2">
        <v>250000000</v>
      </c>
      <c r="L774" s="2">
        <v>1405000000</v>
      </c>
      <c r="M774" s="2">
        <v>0</v>
      </c>
      <c r="N774" s="2">
        <v>0</v>
      </c>
    </row>
    <row r="775" spans="1:14" x14ac:dyDescent="0.3">
      <c r="A775" s="2">
        <v>1124</v>
      </c>
      <c r="B775" s="2" t="s">
        <v>1178</v>
      </c>
      <c r="C775" s="3">
        <v>42166</v>
      </c>
      <c r="D775" s="2">
        <v>91</v>
      </c>
      <c r="E775" s="2" t="s">
        <v>60</v>
      </c>
      <c r="F775" s="2" t="s">
        <v>556</v>
      </c>
      <c r="G775" s="2" t="s">
        <v>557</v>
      </c>
      <c r="H775" s="2" t="s">
        <v>18</v>
      </c>
      <c r="I775" s="2" t="s">
        <v>19</v>
      </c>
      <c r="J775" s="2" t="s">
        <v>63</v>
      </c>
      <c r="K775" s="2">
        <v>74000000</v>
      </c>
      <c r="L775" s="2">
        <v>1159000000</v>
      </c>
      <c r="M775" s="2">
        <v>0</v>
      </c>
      <c r="N775" s="2">
        <v>0</v>
      </c>
    </row>
    <row r="776" spans="1:14" x14ac:dyDescent="0.3">
      <c r="A776" s="2">
        <v>1126</v>
      </c>
      <c r="B776" s="2" t="s">
        <v>1180</v>
      </c>
      <c r="C776" s="3">
        <v>42174</v>
      </c>
      <c r="D776" s="2">
        <v>94</v>
      </c>
      <c r="E776" s="2" t="s">
        <v>60</v>
      </c>
      <c r="F776" s="2" t="s">
        <v>142</v>
      </c>
      <c r="G776" s="2" t="s">
        <v>143</v>
      </c>
      <c r="H776" s="2" t="s">
        <v>18</v>
      </c>
      <c r="I776" s="2" t="s">
        <v>19</v>
      </c>
      <c r="J776" s="2" t="s">
        <v>63</v>
      </c>
      <c r="K776" s="2">
        <v>175000000</v>
      </c>
      <c r="L776" s="2">
        <v>857400000</v>
      </c>
      <c r="M776" s="2">
        <v>2</v>
      </c>
      <c r="N776" s="2">
        <v>1</v>
      </c>
    </row>
    <row r="777" spans="1:14" x14ac:dyDescent="0.3">
      <c r="A777" s="2">
        <v>1127</v>
      </c>
      <c r="B777" s="2" t="s">
        <v>1181</v>
      </c>
      <c r="C777" s="3">
        <v>42216</v>
      </c>
      <c r="D777" s="2">
        <v>131</v>
      </c>
      <c r="E777" s="2" t="s">
        <v>22</v>
      </c>
      <c r="F777" s="2" t="s">
        <v>1182</v>
      </c>
      <c r="G777" s="2" t="s">
        <v>133</v>
      </c>
      <c r="H777" s="2" t="s">
        <v>18</v>
      </c>
      <c r="I777" s="2" t="s">
        <v>19</v>
      </c>
      <c r="J777" s="2" t="s">
        <v>25</v>
      </c>
      <c r="K777" s="2">
        <v>150000000</v>
      </c>
      <c r="L777" s="2">
        <v>682300000</v>
      </c>
      <c r="M777" s="2">
        <v>0</v>
      </c>
      <c r="N777" s="2">
        <v>0</v>
      </c>
    </row>
    <row r="778" spans="1:14" x14ac:dyDescent="0.3">
      <c r="A778" s="2">
        <v>1128</v>
      </c>
      <c r="B778" s="2" t="s">
        <v>1183</v>
      </c>
      <c r="C778" s="3">
        <v>42328</v>
      </c>
      <c r="D778" s="2">
        <v>137</v>
      </c>
      <c r="E778" s="2" t="s">
        <v>49</v>
      </c>
      <c r="F778" s="2" t="s">
        <v>69</v>
      </c>
      <c r="G778" s="2" t="s">
        <v>544</v>
      </c>
      <c r="H778" s="2" t="s">
        <v>18</v>
      </c>
      <c r="I778" s="2" t="s">
        <v>19</v>
      </c>
      <c r="J778" s="2" t="s">
        <v>25</v>
      </c>
      <c r="K778" s="2">
        <v>150000000</v>
      </c>
      <c r="L778" s="2">
        <v>653400000</v>
      </c>
      <c r="M778" s="2">
        <v>0</v>
      </c>
      <c r="N778" s="2">
        <v>0</v>
      </c>
    </row>
    <row r="779" spans="1:14" x14ac:dyDescent="0.3">
      <c r="A779" s="2">
        <v>1129</v>
      </c>
      <c r="B779" s="2" t="s">
        <v>1184</v>
      </c>
      <c r="C779" s="3">
        <v>42279</v>
      </c>
      <c r="D779" s="2">
        <v>141</v>
      </c>
      <c r="E779" s="2" t="s">
        <v>49</v>
      </c>
      <c r="F779" s="2" t="s">
        <v>160</v>
      </c>
      <c r="G779" s="2" t="s">
        <v>161</v>
      </c>
      <c r="H779" s="2" t="s">
        <v>18</v>
      </c>
      <c r="I779" s="2" t="s">
        <v>19</v>
      </c>
      <c r="J779" s="2" t="s">
        <v>25</v>
      </c>
      <c r="K779" s="2">
        <v>108000000</v>
      </c>
      <c r="L779" s="2">
        <v>630200000</v>
      </c>
      <c r="M779" s="2">
        <v>7</v>
      </c>
      <c r="N779" s="2">
        <v>0</v>
      </c>
    </row>
    <row r="780" spans="1:14" x14ac:dyDescent="0.3">
      <c r="A780" s="2">
        <v>1130</v>
      </c>
      <c r="B780" s="2" t="s">
        <v>1185</v>
      </c>
      <c r="C780" s="3">
        <v>42496</v>
      </c>
      <c r="D780" s="2">
        <v>147</v>
      </c>
      <c r="E780" s="2" t="s">
        <v>22</v>
      </c>
      <c r="F780" s="2" t="s">
        <v>542</v>
      </c>
      <c r="G780" s="2" t="s">
        <v>24</v>
      </c>
      <c r="H780" s="2" t="s">
        <v>18</v>
      </c>
      <c r="I780" s="2" t="s">
        <v>19</v>
      </c>
      <c r="J780" s="2" t="s">
        <v>25</v>
      </c>
      <c r="K780" s="2">
        <v>250000000</v>
      </c>
      <c r="L780" s="2">
        <v>1153000000</v>
      </c>
      <c r="M780" s="2">
        <v>0</v>
      </c>
      <c r="N780" s="2">
        <v>0</v>
      </c>
    </row>
    <row r="781" spans="1:14" x14ac:dyDescent="0.3">
      <c r="A781" s="2">
        <v>1131</v>
      </c>
      <c r="B781" s="2" t="s">
        <v>1186</v>
      </c>
      <c r="C781" s="3">
        <v>42538</v>
      </c>
      <c r="D781" s="2">
        <v>97</v>
      </c>
      <c r="E781" s="2" t="s">
        <v>60</v>
      </c>
      <c r="F781" s="2" t="s">
        <v>644</v>
      </c>
      <c r="G781" s="2" t="s">
        <v>143</v>
      </c>
      <c r="H781" s="2" t="s">
        <v>18</v>
      </c>
      <c r="I781" s="2" t="s">
        <v>19</v>
      </c>
      <c r="J781" s="2" t="s">
        <v>63</v>
      </c>
      <c r="K781" s="2">
        <v>200000000</v>
      </c>
      <c r="L781" s="2">
        <v>1025000000</v>
      </c>
      <c r="M781" s="2">
        <v>0</v>
      </c>
      <c r="N781" s="2">
        <v>0</v>
      </c>
    </row>
    <row r="782" spans="1:14" x14ac:dyDescent="0.3">
      <c r="A782" s="2">
        <v>1132</v>
      </c>
      <c r="B782" s="2" t="s">
        <v>1187</v>
      </c>
      <c r="C782" s="3">
        <v>42464</v>
      </c>
      <c r="D782" s="2">
        <v>108</v>
      </c>
      <c r="E782" s="2" t="s">
        <v>60</v>
      </c>
      <c r="F782" s="2" t="s">
        <v>1188</v>
      </c>
      <c r="G782" s="2" t="s">
        <v>66</v>
      </c>
      <c r="H782" s="2" t="s">
        <v>18</v>
      </c>
      <c r="I782" s="2" t="s">
        <v>19</v>
      </c>
      <c r="J782" s="2" t="s">
        <v>20</v>
      </c>
      <c r="K782" s="2">
        <v>150000000</v>
      </c>
      <c r="L782" s="2">
        <v>1024000000</v>
      </c>
      <c r="M782" s="2">
        <v>0</v>
      </c>
      <c r="N782" s="2">
        <v>0</v>
      </c>
    </row>
    <row r="783" spans="1:14" x14ac:dyDescent="0.3">
      <c r="A783" s="2">
        <v>1133</v>
      </c>
      <c r="B783" s="2" t="s">
        <v>1038</v>
      </c>
      <c r="C783" s="3">
        <v>42475</v>
      </c>
      <c r="D783" s="2">
        <v>105</v>
      </c>
      <c r="E783" s="2" t="s">
        <v>15</v>
      </c>
      <c r="F783" s="2" t="s">
        <v>610</v>
      </c>
      <c r="G783" s="2" t="s">
        <v>66</v>
      </c>
      <c r="H783" s="2" t="s">
        <v>18</v>
      </c>
      <c r="I783" s="2" t="s">
        <v>19</v>
      </c>
      <c r="J783" s="2" t="s">
        <v>20</v>
      </c>
      <c r="K783" s="2">
        <v>175000000</v>
      </c>
      <c r="L783" s="2">
        <v>966500000</v>
      </c>
      <c r="M783" s="2">
        <v>0</v>
      </c>
      <c r="N783" s="2">
        <v>0</v>
      </c>
    </row>
    <row r="784" spans="1:14" x14ac:dyDescent="0.3">
      <c r="A784" s="2">
        <v>1134</v>
      </c>
      <c r="B784" s="2" t="s">
        <v>1189</v>
      </c>
      <c r="C784" s="3">
        <v>42454</v>
      </c>
      <c r="D784" s="2">
        <v>151</v>
      </c>
      <c r="E784" s="2" t="s">
        <v>22</v>
      </c>
      <c r="F784" s="2" t="s">
        <v>291</v>
      </c>
      <c r="G784" s="2" t="s">
        <v>1190</v>
      </c>
      <c r="H784" s="2" t="s">
        <v>18</v>
      </c>
      <c r="I784" s="2" t="s">
        <v>19</v>
      </c>
      <c r="J784" s="2">
        <v>12</v>
      </c>
      <c r="K784" s="2">
        <v>250000000</v>
      </c>
      <c r="L784" s="2">
        <v>873300000</v>
      </c>
      <c r="M784" s="2">
        <v>0</v>
      </c>
      <c r="N784" s="2">
        <v>0</v>
      </c>
    </row>
    <row r="785" spans="1:14" x14ac:dyDescent="0.3">
      <c r="A785" s="2">
        <v>1135</v>
      </c>
      <c r="B785" s="2" t="s">
        <v>1191</v>
      </c>
      <c r="C785" s="3">
        <v>42559</v>
      </c>
      <c r="D785" s="2">
        <v>87</v>
      </c>
      <c r="E785" s="2" t="s">
        <v>60</v>
      </c>
      <c r="F785" s="2" t="s">
        <v>1192</v>
      </c>
      <c r="G785" s="2" t="s">
        <v>557</v>
      </c>
      <c r="H785" s="2" t="s">
        <v>18</v>
      </c>
      <c r="I785" s="2" t="s">
        <v>19</v>
      </c>
      <c r="J785" s="2" t="s">
        <v>63</v>
      </c>
      <c r="K785" s="2">
        <v>75000000</v>
      </c>
      <c r="L785" s="2">
        <v>873400000</v>
      </c>
      <c r="M785" s="2">
        <v>0</v>
      </c>
      <c r="N785" s="2">
        <v>0</v>
      </c>
    </row>
    <row r="786" spans="1:14" x14ac:dyDescent="0.3">
      <c r="A786" s="2">
        <v>1136</v>
      </c>
      <c r="B786" s="2" t="s">
        <v>1193</v>
      </c>
      <c r="C786" s="3">
        <v>42412</v>
      </c>
      <c r="D786" s="2">
        <v>108</v>
      </c>
      <c r="E786" s="2" t="s">
        <v>22</v>
      </c>
      <c r="F786" s="2" t="s">
        <v>1194</v>
      </c>
      <c r="G786" s="2" t="s">
        <v>24</v>
      </c>
      <c r="H786" s="2" t="s">
        <v>18</v>
      </c>
      <c r="I786" s="2" t="s">
        <v>19</v>
      </c>
      <c r="J786" s="2">
        <v>15</v>
      </c>
      <c r="K786" s="2">
        <v>58000000</v>
      </c>
      <c r="L786" s="2">
        <v>782600000</v>
      </c>
      <c r="M786" s="2">
        <v>0</v>
      </c>
      <c r="N786" s="2">
        <v>0</v>
      </c>
    </row>
    <row r="787" spans="1:14" x14ac:dyDescent="0.3">
      <c r="A787" s="2">
        <v>1137</v>
      </c>
      <c r="B787" s="2" t="s">
        <v>1195</v>
      </c>
      <c r="C787" s="3">
        <v>42587</v>
      </c>
      <c r="D787" s="2">
        <v>123</v>
      </c>
      <c r="E787" s="2" t="s">
        <v>22</v>
      </c>
      <c r="F787" s="2" t="s">
        <v>1196</v>
      </c>
      <c r="G787" s="2" t="s">
        <v>1190</v>
      </c>
      <c r="H787" s="2" t="s">
        <v>18</v>
      </c>
      <c r="I787" s="2" t="s">
        <v>19</v>
      </c>
      <c r="J787" s="2">
        <v>15</v>
      </c>
      <c r="K787" s="2">
        <v>175000000</v>
      </c>
      <c r="L787" s="2">
        <v>745600000</v>
      </c>
      <c r="M787" s="2">
        <v>0</v>
      </c>
      <c r="N787" s="2">
        <v>0</v>
      </c>
    </row>
    <row r="788" spans="1:14" x14ac:dyDescent="0.3">
      <c r="A788" s="2">
        <v>1139</v>
      </c>
      <c r="B788" s="2" t="s">
        <v>1200</v>
      </c>
      <c r="C788" s="3">
        <v>42499</v>
      </c>
      <c r="D788" s="2">
        <v>144</v>
      </c>
      <c r="E788" s="2" t="s">
        <v>22</v>
      </c>
      <c r="F788" s="2" t="s">
        <v>31</v>
      </c>
      <c r="G788" s="2" t="s">
        <v>24</v>
      </c>
      <c r="H788" s="2" t="s">
        <v>18</v>
      </c>
      <c r="I788" s="2" t="s">
        <v>19</v>
      </c>
      <c r="J788" s="2" t="s">
        <v>25</v>
      </c>
      <c r="K788" s="2">
        <v>178000000</v>
      </c>
      <c r="L788" s="2">
        <v>543900000</v>
      </c>
      <c r="M788" s="2">
        <v>0</v>
      </c>
      <c r="N788" s="2">
        <v>0</v>
      </c>
    </row>
    <row r="789" spans="1:14" x14ac:dyDescent="0.3">
      <c r="A789" s="2">
        <v>1140</v>
      </c>
      <c r="B789" s="2" t="s">
        <v>1201</v>
      </c>
      <c r="C789" s="3">
        <v>42678</v>
      </c>
      <c r="D789" s="2">
        <v>115</v>
      </c>
      <c r="E789" s="2" t="s">
        <v>22</v>
      </c>
      <c r="F789" s="2" t="s">
        <v>1202</v>
      </c>
      <c r="G789" s="2" t="s">
        <v>24</v>
      </c>
      <c r="H789" s="2" t="s">
        <v>18</v>
      </c>
      <c r="I789" s="2" t="s">
        <v>19</v>
      </c>
      <c r="J789" s="2" t="s">
        <v>25</v>
      </c>
      <c r="K789" s="2">
        <v>165000000</v>
      </c>
      <c r="L789" s="2">
        <v>571500000</v>
      </c>
      <c r="M789" s="2">
        <v>0</v>
      </c>
      <c r="N789" s="2">
        <v>0</v>
      </c>
    </row>
    <row r="790" spans="1:14" x14ac:dyDescent="0.3">
      <c r="A790" s="2">
        <v>1142</v>
      </c>
      <c r="B790" s="2" t="s">
        <v>1082</v>
      </c>
      <c r="C790" s="3">
        <v>36005</v>
      </c>
      <c r="D790" s="2">
        <v>128</v>
      </c>
      <c r="E790" s="2" t="s">
        <v>38</v>
      </c>
      <c r="F790" s="2" t="s">
        <v>686</v>
      </c>
      <c r="G790" s="2" t="s">
        <v>66</v>
      </c>
      <c r="H790" s="2" t="s">
        <v>18</v>
      </c>
      <c r="I790" s="2" t="s">
        <v>19</v>
      </c>
      <c r="J790" s="2" t="s">
        <v>20</v>
      </c>
      <c r="K790" s="2">
        <v>75000000</v>
      </c>
      <c r="L790" s="2">
        <v>83900000</v>
      </c>
      <c r="M790" s="2">
        <v>0</v>
      </c>
      <c r="N790" s="2">
        <v>0</v>
      </c>
    </row>
    <row r="791" spans="1:14" x14ac:dyDescent="0.3">
      <c r="A791" s="2">
        <v>1143</v>
      </c>
      <c r="B791" s="2" t="s">
        <v>1208</v>
      </c>
      <c r="C791" s="3">
        <v>13146</v>
      </c>
      <c r="D791" s="2">
        <v>119</v>
      </c>
      <c r="E791" s="2" t="s">
        <v>15</v>
      </c>
      <c r="F791" s="2" t="s">
        <v>1152</v>
      </c>
      <c r="G791" s="2" t="s">
        <v>1209</v>
      </c>
      <c r="H791" s="2" t="s">
        <v>18</v>
      </c>
      <c r="I791" s="2" t="s">
        <v>19</v>
      </c>
      <c r="J791" s="2" t="s">
        <v>20</v>
      </c>
      <c r="K791" s="2">
        <v>1200000</v>
      </c>
      <c r="L791" s="2">
        <v>3100000</v>
      </c>
      <c r="M791" s="2">
        <v>5</v>
      </c>
      <c r="N791" s="2">
        <v>0</v>
      </c>
    </row>
    <row r="792" spans="1:14" x14ac:dyDescent="0.3">
      <c r="A792" s="2">
        <v>1144</v>
      </c>
      <c r="B792" s="2" t="s">
        <v>1210</v>
      </c>
      <c r="C792" s="3">
        <v>14014</v>
      </c>
      <c r="D792" s="2">
        <v>102</v>
      </c>
      <c r="E792" s="2" t="s">
        <v>15</v>
      </c>
      <c r="F792" s="2" t="s">
        <v>1152</v>
      </c>
      <c r="G792" s="2" t="s">
        <v>130</v>
      </c>
      <c r="H792" s="2" t="s">
        <v>18</v>
      </c>
      <c r="I792" s="2" t="s">
        <v>19</v>
      </c>
      <c r="J792" s="2" t="s">
        <v>63</v>
      </c>
      <c r="K792" s="2">
        <v>2033000</v>
      </c>
      <c r="L792" s="2">
        <v>3981000</v>
      </c>
      <c r="M792" s="2">
        <v>4</v>
      </c>
      <c r="N792" s="2">
        <v>3</v>
      </c>
    </row>
    <row r="793" spans="1:14" x14ac:dyDescent="0.3">
      <c r="A793" s="2">
        <v>1145</v>
      </c>
      <c r="B793" s="2" t="s">
        <v>1211</v>
      </c>
      <c r="C793" s="3">
        <v>13443</v>
      </c>
      <c r="D793" s="2">
        <v>115</v>
      </c>
      <c r="E793" s="2" t="s">
        <v>15</v>
      </c>
      <c r="F793" s="2" t="s">
        <v>1152</v>
      </c>
      <c r="G793" s="2" t="s">
        <v>130</v>
      </c>
      <c r="H793" s="2" t="s">
        <v>18</v>
      </c>
      <c r="I793" s="2" t="s">
        <v>19</v>
      </c>
      <c r="J793" s="2" t="s">
        <v>20</v>
      </c>
      <c r="K793" s="2">
        <v>1330000</v>
      </c>
      <c r="L793" s="2">
        <v>3300000</v>
      </c>
      <c r="M793" s="2">
        <v>3</v>
      </c>
      <c r="N793" s="2">
        <v>1</v>
      </c>
    </row>
    <row r="794" spans="1:14" x14ac:dyDescent="0.3">
      <c r="A794" s="2">
        <v>1148</v>
      </c>
      <c r="B794" s="2" t="s">
        <v>1072</v>
      </c>
      <c r="C794" s="3">
        <v>13096</v>
      </c>
      <c r="D794" s="2">
        <v>132</v>
      </c>
      <c r="E794" s="2" t="s">
        <v>190</v>
      </c>
      <c r="F794" s="2" t="s">
        <v>1212</v>
      </c>
      <c r="G794" s="2" t="s">
        <v>834</v>
      </c>
      <c r="H794" s="2" t="s">
        <v>18</v>
      </c>
      <c r="I794" s="2" t="s">
        <v>19</v>
      </c>
      <c r="J794" s="2" t="s">
        <v>20</v>
      </c>
      <c r="K794" s="2">
        <v>1950000</v>
      </c>
      <c r="L794" s="2">
        <v>4460000</v>
      </c>
      <c r="M794" s="2">
        <v>8</v>
      </c>
      <c r="N794" s="2">
        <v>1</v>
      </c>
    </row>
    <row r="795" spans="1:14" x14ac:dyDescent="0.3">
      <c r="A795" s="2">
        <v>1149</v>
      </c>
      <c r="B795" s="2" t="s">
        <v>1213</v>
      </c>
      <c r="C795" s="3">
        <v>22313</v>
      </c>
      <c r="D795" s="2">
        <v>125</v>
      </c>
      <c r="E795" s="2" t="s">
        <v>190</v>
      </c>
      <c r="F795" s="2" t="s">
        <v>894</v>
      </c>
      <c r="G795" s="2" t="s">
        <v>1214</v>
      </c>
      <c r="H795" s="2" t="s">
        <v>18</v>
      </c>
      <c r="I795" s="2" t="s">
        <v>19</v>
      </c>
      <c r="J795" s="2" t="s">
        <v>20</v>
      </c>
      <c r="K795" s="2">
        <v>4000000</v>
      </c>
      <c r="L795" s="2">
        <v>4100000</v>
      </c>
      <c r="M795" s="2">
        <v>0</v>
      </c>
      <c r="N795" s="2">
        <v>0</v>
      </c>
    </row>
    <row r="796" spans="1:14" x14ac:dyDescent="0.3">
      <c r="A796" s="2">
        <v>1152</v>
      </c>
      <c r="B796" s="2" t="s">
        <v>1217</v>
      </c>
      <c r="C796" s="3">
        <v>15097</v>
      </c>
      <c r="D796" s="2">
        <v>119</v>
      </c>
      <c r="E796" s="2" t="s">
        <v>190</v>
      </c>
      <c r="F796" s="2" t="s">
        <v>1218</v>
      </c>
      <c r="G796" s="2" t="s">
        <v>1219</v>
      </c>
      <c r="H796" s="2" t="s">
        <v>18</v>
      </c>
      <c r="I796" s="2" t="s">
        <v>19</v>
      </c>
      <c r="J796" s="2" t="s">
        <v>63</v>
      </c>
      <c r="K796" s="2">
        <v>839727</v>
      </c>
      <c r="L796" s="2">
        <v>1140769</v>
      </c>
      <c r="M796" s="2">
        <v>9</v>
      </c>
      <c r="N796" s="2">
        <v>1</v>
      </c>
    </row>
    <row r="797" spans="1:14" x14ac:dyDescent="0.3">
      <c r="A797" s="2">
        <v>1156</v>
      </c>
      <c r="B797" s="2" t="s">
        <v>1222</v>
      </c>
      <c r="C797" s="3">
        <v>11436</v>
      </c>
      <c r="D797" s="2">
        <v>83</v>
      </c>
      <c r="E797" s="2" t="s">
        <v>150</v>
      </c>
      <c r="F797" s="2" t="s">
        <v>1223</v>
      </c>
      <c r="G797" s="2" t="s">
        <v>130</v>
      </c>
      <c r="H797" s="2" t="s">
        <v>18</v>
      </c>
      <c r="I797" s="2" t="s">
        <v>19</v>
      </c>
      <c r="J797" s="2" t="s">
        <v>20</v>
      </c>
      <c r="K797" s="2">
        <v>151000</v>
      </c>
      <c r="L797" s="2">
        <v>151000</v>
      </c>
      <c r="M797" s="2">
        <v>1</v>
      </c>
      <c r="N797" s="2">
        <v>0</v>
      </c>
    </row>
    <row r="798" spans="1:14" x14ac:dyDescent="0.3">
      <c r="A798" s="2">
        <v>1157</v>
      </c>
      <c r="B798" s="2" t="s">
        <v>1224</v>
      </c>
      <c r="C798" s="3">
        <v>17156</v>
      </c>
      <c r="D798" s="2">
        <v>130</v>
      </c>
      <c r="E798" s="2" t="s">
        <v>52</v>
      </c>
      <c r="F798" s="2" t="s">
        <v>1225</v>
      </c>
      <c r="G798" s="2" t="s">
        <v>1226</v>
      </c>
      <c r="H798" s="2" t="s">
        <v>18</v>
      </c>
      <c r="I798" s="2" t="s">
        <v>19</v>
      </c>
      <c r="J798" s="2" t="s">
        <v>63</v>
      </c>
      <c r="K798" s="2">
        <v>3180000</v>
      </c>
      <c r="L798" s="2">
        <v>3300000</v>
      </c>
      <c r="M798" s="2">
        <v>5</v>
      </c>
      <c r="N798" s="2">
        <v>0</v>
      </c>
    </row>
    <row r="799" spans="1:14" x14ac:dyDescent="0.3">
      <c r="A799" s="2">
        <v>1158</v>
      </c>
      <c r="B799" s="2" t="s">
        <v>1227</v>
      </c>
      <c r="C799" s="3">
        <v>14535</v>
      </c>
      <c r="D799" s="2">
        <v>129</v>
      </c>
      <c r="E799" s="2" t="s">
        <v>38</v>
      </c>
      <c r="F799" s="2" t="s">
        <v>1225</v>
      </c>
      <c r="G799" s="2" t="s">
        <v>213</v>
      </c>
      <c r="H799" s="2" t="s">
        <v>18</v>
      </c>
      <c r="I799" s="2" t="s">
        <v>19</v>
      </c>
      <c r="J799" s="2" t="s">
        <v>63</v>
      </c>
      <c r="K799" s="2">
        <v>1500000</v>
      </c>
      <c r="L799" s="2">
        <v>9000000</v>
      </c>
      <c r="M799" s="2">
        <v>11</v>
      </c>
      <c r="N799" s="2">
        <v>1</v>
      </c>
    </row>
    <row r="800" spans="1:14" x14ac:dyDescent="0.3">
      <c r="A800" s="2">
        <v>1163</v>
      </c>
      <c r="B800" s="2" t="s">
        <v>1233</v>
      </c>
      <c r="C800" s="3">
        <v>17289</v>
      </c>
      <c r="D800" s="2">
        <v>96</v>
      </c>
      <c r="E800" s="2" t="s">
        <v>38</v>
      </c>
      <c r="F800" s="2" t="s">
        <v>1013</v>
      </c>
      <c r="G800" s="2" t="s">
        <v>36</v>
      </c>
      <c r="H800" s="2" t="s">
        <v>18</v>
      </c>
      <c r="I800" s="2" t="s">
        <v>19</v>
      </c>
      <c r="J800" s="2" t="s">
        <v>63</v>
      </c>
      <c r="K800" s="2">
        <v>630000</v>
      </c>
      <c r="L800" s="2">
        <v>2650000</v>
      </c>
      <c r="M800" s="2">
        <v>4</v>
      </c>
      <c r="N800" s="2">
        <v>3</v>
      </c>
    </row>
    <row r="801" spans="1:14" x14ac:dyDescent="0.3">
      <c r="A801" s="2">
        <v>1165</v>
      </c>
      <c r="B801" s="2" t="s">
        <v>1237</v>
      </c>
      <c r="C801" s="3">
        <v>17848</v>
      </c>
      <c r="D801" s="2">
        <v>145</v>
      </c>
      <c r="E801" s="2" t="s">
        <v>166</v>
      </c>
      <c r="F801" s="2" t="s">
        <v>1158</v>
      </c>
      <c r="G801" s="2" t="s">
        <v>1238</v>
      </c>
      <c r="H801" s="2" t="s">
        <v>18</v>
      </c>
      <c r="I801" s="2" t="s">
        <v>19</v>
      </c>
      <c r="J801" s="2" t="s">
        <v>63</v>
      </c>
      <c r="K801" s="2">
        <v>4650000</v>
      </c>
      <c r="L801" s="2">
        <v>5768142</v>
      </c>
      <c r="M801" s="2">
        <v>7</v>
      </c>
      <c r="N801" s="2">
        <v>2</v>
      </c>
    </row>
    <row r="802" spans="1:14" x14ac:dyDescent="0.3">
      <c r="A802" s="2">
        <v>1166</v>
      </c>
      <c r="B802" s="2" t="s">
        <v>1239</v>
      </c>
      <c r="C802" s="3">
        <v>17826</v>
      </c>
      <c r="D802" s="2">
        <v>125</v>
      </c>
      <c r="E802" s="2" t="s">
        <v>15</v>
      </c>
      <c r="F802" s="2" t="s">
        <v>1240</v>
      </c>
      <c r="G802" s="2" t="s">
        <v>834</v>
      </c>
      <c r="H802" s="2" t="s">
        <v>18</v>
      </c>
      <c r="I802" s="2" t="s">
        <v>19</v>
      </c>
      <c r="J802" s="2" t="s">
        <v>63</v>
      </c>
      <c r="K802" s="2">
        <v>4474000</v>
      </c>
      <c r="L802" s="2">
        <v>8412000</v>
      </c>
      <c r="M802" s="2">
        <v>1</v>
      </c>
      <c r="N802" s="2">
        <v>0</v>
      </c>
    </row>
    <row r="803" spans="1:14" x14ac:dyDescent="0.3">
      <c r="A803" s="2">
        <v>1185</v>
      </c>
      <c r="B803" s="2" t="s">
        <v>1254</v>
      </c>
      <c r="C803" s="3">
        <v>30862</v>
      </c>
      <c r="D803" s="2">
        <v>108</v>
      </c>
      <c r="E803" s="2" t="s">
        <v>38</v>
      </c>
      <c r="F803" s="2" t="s">
        <v>900</v>
      </c>
      <c r="G803" s="2" t="s">
        <v>478</v>
      </c>
      <c r="H803" s="2" t="s">
        <v>18</v>
      </c>
      <c r="I803" s="2" t="s">
        <v>19</v>
      </c>
      <c r="J803" s="2" t="s">
        <v>20</v>
      </c>
      <c r="K803" s="2">
        <v>20000000</v>
      </c>
      <c r="L803" s="2">
        <v>28000000</v>
      </c>
      <c r="M803" s="2">
        <v>0</v>
      </c>
      <c r="N803" s="2">
        <v>0</v>
      </c>
    </row>
    <row r="804" spans="1:14" x14ac:dyDescent="0.3">
      <c r="A804" s="2">
        <v>1203</v>
      </c>
      <c r="B804" s="2" t="s">
        <v>1258</v>
      </c>
      <c r="C804" s="3">
        <v>36607</v>
      </c>
      <c r="D804" s="2">
        <v>115</v>
      </c>
      <c r="E804" s="2" t="s">
        <v>22</v>
      </c>
      <c r="F804" s="2" t="s">
        <v>1259</v>
      </c>
      <c r="G804" s="2" t="s">
        <v>89</v>
      </c>
      <c r="H804" s="2" t="s">
        <v>18</v>
      </c>
      <c r="I804" s="2" t="s">
        <v>19</v>
      </c>
      <c r="J804" s="2">
        <v>15</v>
      </c>
      <c r="K804" s="2">
        <v>25000000</v>
      </c>
      <c r="L804" s="2">
        <v>91000000</v>
      </c>
      <c r="M804" s="2">
        <v>0</v>
      </c>
      <c r="N804" s="2">
        <v>0</v>
      </c>
    </row>
    <row r="805" spans="1:14" x14ac:dyDescent="0.3">
      <c r="A805" s="2">
        <v>1204</v>
      </c>
      <c r="B805" s="2" t="s">
        <v>1260</v>
      </c>
      <c r="C805" s="3">
        <v>37197</v>
      </c>
      <c r="D805" s="2">
        <v>87</v>
      </c>
      <c r="E805" s="2" t="s">
        <v>49</v>
      </c>
      <c r="F805" s="2" t="s">
        <v>1261</v>
      </c>
      <c r="G805" s="2" t="s">
        <v>192</v>
      </c>
      <c r="H805" s="2" t="s">
        <v>18</v>
      </c>
      <c r="I805" s="2" t="s">
        <v>19</v>
      </c>
      <c r="J805" s="2">
        <v>15</v>
      </c>
      <c r="K805" s="2">
        <v>49000000</v>
      </c>
      <c r="L805" s="2">
        <v>72700000</v>
      </c>
      <c r="M805" s="2">
        <v>0</v>
      </c>
      <c r="N805" s="2">
        <v>0</v>
      </c>
    </row>
    <row r="806" spans="1:14" x14ac:dyDescent="0.3">
      <c r="A806" s="2">
        <v>1206</v>
      </c>
      <c r="B806" s="2" t="s">
        <v>1265</v>
      </c>
      <c r="C806" s="3">
        <v>37680</v>
      </c>
      <c r="D806" s="2">
        <v>101</v>
      </c>
      <c r="E806" s="2" t="s">
        <v>22</v>
      </c>
      <c r="F806" s="2" t="s">
        <v>1259</v>
      </c>
      <c r="G806" s="2" t="s">
        <v>89</v>
      </c>
      <c r="H806" s="2" t="s">
        <v>18</v>
      </c>
      <c r="I806" s="2" t="s">
        <v>19</v>
      </c>
      <c r="J806" s="2">
        <v>15</v>
      </c>
      <c r="K806" s="2">
        <v>25000000</v>
      </c>
      <c r="L806" s="2">
        <v>56500000</v>
      </c>
      <c r="M806" s="2">
        <v>0</v>
      </c>
      <c r="N806" s="2">
        <v>0</v>
      </c>
    </row>
    <row r="807" spans="1:14" x14ac:dyDescent="0.3">
      <c r="A807" s="2">
        <v>1211</v>
      </c>
      <c r="B807" s="2" t="s">
        <v>1273</v>
      </c>
      <c r="C807" s="3">
        <v>39556</v>
      </c>
      <c r="D807" s="2">
        <v>104</v>
      </c>
      <c r="E807" s="2" t="s">
        <v>200</v>
      </c>
      <c r="F807" s="2" t="s">
        <v>743</v>
      </c>
      <c r="G807" s="2" t="s">
        <v>634</v>
      </c>
      <c r="H807" s="2" t="s">
        <v>18</v>
      </c>
      <c r="I807" s="2" t="s">
        <v>19</v>
      </c>
      <c r="J807" s="2" t="s">
        <v>25</v>
      </c>
      <c r="K807" s="2">
        <v>55000000</v>
      </c>
      <c r="L807" s="2">
        <v>128000000</v>
      </c>
      <c r="M807" s="2">
        <v>0</v>
      </c>
      <c r="N807" s="2">
        <v>0</v>
      </c>
    </row>
    <row r="808" spans="1:14" x14ac:dyDescent="0.3">
      <c r="A808" s="2">
        <v>1212</v>
      </c>
      <c r="B808" s="2" t="s">
        <v>1274</v>
      </c>
      <c r="C808" s="3">
        <v>39661</v>
      </c>
      <c r="D808" s="2">
        <v>111</v>
      </c>
      <c r="E808" s="2" t="s">
        <v>15</v>
      </c>
      <c r="F808" s="2" t="s">
        <v>96</v>
      </c>
      <c r="G808" s="2" t="s">
        <v>634</v>
      </c>
      <c r="H808" s="2" t="s">
        <v>18</v>
      </c>
      <c r="I808" s="2" t="s">
        <v>19</v>
      </c>
      <c r="J808" s="2" t="s">
        <v>25</v>
      </c>
      <c r="K808" s="2">
        <v>145000000</v>
      </c>
      <c r="L808" s="2">
        <v>401100000</v>
      </c>
      <c r="M808" s="2">
        <v>0</v>
      </c>
      <c r="N808" s="2">
        <v>0</v>
      </c>
    </row>
    <row r="809" spans="1:14" x14ac:dyDescent="0.3">
      <c r="A809" s="2">
        <v>1213</v>
      </c>
      <c r="B809" s="2" t="s">
        <v>1275</v>
      </c>
      <c r="C809" s="3">
        <v>40393</v>
      </c>
      <c r="D809" s="2">
        <v>103</v>
      </c>
      <c r="E809" s="2" t="s">
        <v>22</v>
      </c>
      <c r="F809" s="2" t="s">
        <v>856</v>
      </c>
      <c r="G809" s="2" t="s">
        <v>278</v>
      </c>
      <c r="H809" s="2" t="s">
        <v>18</v>
      </c>
      <c r="I809" s="2" t="s">
        <v>19</v>
      </c>
      <c r="J809" s="2">
        <v>18</v>
      </c>
      <c r="K809" s="2">
        <v>82000000</v>
      </c>
      <c r="L809" s="2">
        <v>274500000</v>
      </c>
      <c r="M809" s="2">
        <v>0</v>
      </c>
      <c r="N809" s="2">
        <v>0</v>
      </c>
    </row>
    <row r="810" spans="1:14" x14ac:dyDescent="0.3">
      <c r="A810" s="2">
        <v>1214</v>
      </c>
      <c r="B810" s="2" t="s">
        <v>1276</v>
      </c>
      <c r="C810" s="3">
        <v>41134</v>
      </c>
      <c r="D810" s="2">
        <v>103</v>
      </c>
      <c r="E810" s="2" t="s">
        <v>22</v>
      </c>
      <c r="F810" s="2" t="s">
        <v>1277</v>
      </c>
      <c r="G810" s="2" t="s">
        <v>278</v>
      </c>
      <c r="H810" s="2" t="s">
        <v>18</v>
      </c>
      <c r="I810" s="2" t="s">
        <v>19</v>
      </c>
      <c r="J810" s="2">
        <v>15</v>
      </c>
      <c r="K810" s="2">
        <v>100000000</v>
      </c>
      <c r="L810" s="2">
        <v>305400000</v>
      </c>
      <c r="M810" s="2">
        <v>0</v>
      </c>
      <c r="N810" s="2">
        <v>0</v>
      </c>
    </row>
    <row r="811" spans="1:14" x14ac:dyDescent="0.3">
      <c r="A811" s="2">
        <v>1215</v>
      </c>
      <c r="B811" s="2" t="s">
        <v>1278</v>
      </c>
      <c r="C811" s="3">
        <v>41855</v>
      </c>
      <c r="D811" s="2">
        <v>126</v>
      </c>
      <c r="E811" s="2" t="s">
        <v>22</v>
      </c>
      <c r="F811" s="2" t="s">
        <v>1279</v>
      </c>
      <c r="G811" s="2" t="s">
        <v>278</v>
      </c>
      <c r="H811" s="2" t="s">
        <v>18</v>
      </c>
      <c r="I811" s="2" t="s">
        <v>19</v>
      </c>
      <c r="J811" s="2">
        <v>15</v>
      </c>
      <c r="K811" s="2">
        <v>90000000</v>
      </c>
      <c r="L811" s="2">
        <v>206200000</v>
      </c>
      <c r="M811" s="2">
        <v>0</v>
      </c>
      <c r="N811" s="2">
        <v>0</v>
      </c>
    </row>
    <row r="812" spans="1:14" x14ac:dyDescent="0.3">
      <c r="A812" s="2">
        <v>1216</v>
      </c>
      <c r="B812" s="2" t="s">
        <v>1280</v>
      </c>
      <c r="C812" s="3">
        <v>39607</v>
      </c>
      <c r="D812" s="2">
        <v>112</v>
      </c>
      <c r="E812" s="2" t="s">
        <v>22</v>
      </c>
      <c r="F812" s="2" t="s">
        <v>1267</v>
      </c>
      <c r="G812" s="2" t="s">
        <v>24</v>
      </c>
      <c r="H812" s="2" t="s">
        <v>18</v>
      </c>
      <c r="I812" s="2" t="s">
        <v>19</v>
      </c>
      <c r="J812" s="2" t="s">
        <v>25</v>
      </c>
      <c r="K812" s="2">
        <v>150000000</v>
      </c>
      <c r="L812" s="2">
        <v>263400000</v>
      </c>
      <c r="M812" s="2">
        <v>0</v>
      </c>
      <c r="N812" s="2">
        <v>0</v>
      </c>
    </row>
    <row r="813" spans="1:14" x14ac:dyDescent="0.3">
      <c r="A813" s="2">
        <v>1217</v>
      </c>
      <c r="B813" s="2" t="s">
        <v>1281</v>
      </c>
      <c r="C813" s="3">
        <v>41415</v>
      </c>
      <c r="D813" s="2">
        <v>115</v>
      </c>
      <c r="E813" s="2" t="s">
        <v>117</v>
      </c>
      <c r="F813" s="2" t="s">
        <v>1267</v>
      </c>
      <c r="G813" s="2" t="s">
        <v>497</v>
      </c>
      <c r="H813" s="2" t="s">
        <v>18</v>
      </c>
      <c r="I813" s="2" t="s">
        <v>19</v>
      </c>
      <c r="J813" s="2">
        <v>12</v>
      </c>
      <c r="K813" s="2">
        <v>75000000</v>
      </c>
      <c r="L813" s="2">
        <v>351700000</v>
      </c>
      <c r="M813" s="2">
        <v>0</v>
      </c>
      <c r="N813" s="2">
        <v>0</v>
      </c>
    </row>
    <row r="814" spans="1:14" x14ac:dyDescent="0.3">
      <c r="A814" s="2">
        <v>1218</v>
      </c>
      <c r="B814" s="2" t="s">
        <v>1282</v>
      </c>
      <c r="C814" s="3">
        <v>40270</v>
      </c>
      <c r="D814" s="2">
        <v>106</v>
      </c>
      <c r="E814" s="2" t="s">
        <v>15</v>
      </c>
      <c r="F814" s="2" t="s">
        <v>1267</v>
      </c>
      <c r="G814" s="2" t="s">
        <v>32</v>
      </c>
      <c r="H814" s="2" t="s">
        <v>18</v>
      </c>
      <c r="I814" s="2" t="s">
        <v>19</v>
      </c>
      <c r="J814" s="2" t="s">
        <v>25</v>
      </c>
      <c r="K814" s="2">
        <v>125000000</v>
      </c>
      <c r="L814" s="2">
        <v>493200000</v>
      </c>
      <c r="M814" s="2">
        <v>0</v>
      </c>
      <c r="N814" s="2">
        <v>0</v>
      </c>
    </row>
    <row r="815" spans="1:14" x14ac:dyDescent="0.3">
      <c r="A815" s="2">
        <v>1233</v>
      </c>
      <c r="B815" s="2" t="s">
        <v>1293</v>
      </c>
      <c r="C815" s="3">
        <v>34201</v>
      </c>
      <c r="D815" s="2">
        <v>97</v>
      </c>
      <c r="E815" s="2" t="s">
        <v>22</v>
      </c>
      <c r="F815" s="2" t="s">
        <v>135</v>
      </c>
      <c r="G815" s="2" t="s">
        <v>681</v>
      </c>
      <c r="H815" s="2" t="s">
        <v>18</v>
      </c>
      <c r="I815" s="2" t="s">
        <v>19</v>
      </c>
      <c r="J815" s="2">
        <v>18</v>
      </c>
      <c r="K815" s="2">
        <v>19500000</v>
      </c>
      <c r="L815" s="2">
        <v>74200000</v>
      </c>
      <c r="M815" s="2">
        <v>0</v>
      </c>
      <c r="N815" s="2">
        <v>0</v>
      </c>
    </row>
    <row r="816" spans="1:14" x14ac:dyDescent="0.3">
      <c r="A816" s="2">
        <v>1234</v>
      </c>
      <c r="B816" s="2" t="s">
        <v>1294</v>
      </c>
      <c r="C816" s="3">
        <v>35104</v>
      </c>
      <c r="D816" s="2">
        <v>108</v>
      </c>
      <c r="E816" s="2" t="s">
        <v>22</v>
      </c>
      <c r="F816" s="2" t="s">
        <v>135</v>
      </c>
      <c r="G816" s="2" t="s">
        <v>36</v>
      </c>
      <c r="H816" s="2" t="s">
        <v>18</v>
      </c>
      <c r="I816" s="2" t="s">
        <v>19</v>
      </c>
      <c r="J816" s="2">
        <v>15</v>
      </c>
      <c r="K816" s="2">
        <v>50000000</v>
      </c>
      <c r="L816" s="2">
        <v>150200000</v>
      </c>
      <c r="M816" s="2">
        <v>0</v>
      </c>
      <c r="N816" s="2">
        <v>0</v>
      </c>
    </row>
    <row r="817" spans="1:14" x14ac:dyDescent="0.3">
      <c r="A817" s="2">
        <v>1235</v>
      </c>
      <c r="B817" s="2" t="s">
        <v>1295</v>
      </c>
      <c r="C817" s="3">
        <v>35608</v>
      </c>
      <c r="D817" s="2">
        <v>139</v>
      </c>
      <c r="E817" s="2" t="s">
        <v>22</v>
      </c>
      <c r="F817" s="2" t="s">
        <v>135</v>
      </c>
      <c r="G817" s="2" t="s">
        <v>257</v>
      </c>
      <c r="H817" s="2" t="s">
        <v>18</v>
      </c>
      <c r="I817" s="2" t="s">
        <v>19</v>
      </c>
      <c r="J817" s="2">
        <v>18</v>
      </c>
      <c r="K817" s="2">
        <v>80000000</v>
      </c>
      <c r="L817" s="2">
        <v>245700000</v>
      </c>
      <c r="M817" s="2">
        <v>1</v>
      </c>
      <c r="N817" s="2">
        <v>0</v>
      </c>
    </row>
    <row r="818" spans="1:14" x14ac:dyDescent="0.3">
      <c r="A818" s="2">
        <v>1236</v>
      </c>
      <c r="B818" s="2" t="s">
        <v>1296</v>
      </c>
      <c r="C818" s="3">
        <v>37980</v>
      </c>
      <c r="D818" s="2">
        <v>119</v>
      </c>
      <c r="E818" s="2" t="s">
        <v>49</v>
      </c>
      <c r="F818" s="2" t="s">
        <v>135</v>
      </c>
      <c r="G818" s="2" t="s">
        <v>137</v>
      </c>
      <c r="H818" s="2" t="s">
        <v>18</v>
      </c>
      <c r="I818" s="2" t="s">
        <v>19</v>
      </c>
      <c r="J818" s="2" t="s">
        <v>25</v>
      </c>
      <c r="K818" s="2">
        <v>60000000</v>
      </c>
      <c r="L818" s="2">
        <v>96300000</v>
      </c>
      <c r="M818" s="2">
        <v>0</v>
      </c>
      <c r="N818" s="2">
        <v>0</v>
      </c>
    </row>
    <row r="819" spans="1:14" x14ac:dyDescent="0.3">
      <c r="A819" s="2">
        <v>1251</v>
      </c>
      <c r="B819" s="2" t="s">
        <v>1321</v>
      </c>
      <c r="C819" s="3">
        <v>42418</v>
      </c>
      <c r="D819" s="2">
        <v>105</v>
      </c>
      <c r="E819" s="2" t="s">
        <v>200</v>
      </c>
      <c r="F819" s="2" t="s">
        <v>1253</v>
      </c>
      <c r="G819" s="2" t="s">
        <v>1199</v>
      </c>
      <c r="H819" s="2" t="s">
        <v>18</v>
      </c>
      <c r="I819" s="2" t="s">
        <v>19</v>
      </c>
      <c r="J819" s="2">
        <v>15</v>
      </c>
      <c r="K819" s="2">
        <v>20000000</v>
      </c>
      <c r="L819" s="2">
        <v>31000000</v>
      </c>
      <c r="M819" s="2">
        <v>0</v>
      </c>
      <c r="N819" s="2">
        <v>0</v>
      </c>
    </row>
    <row r="820" spans="1:14" x14ac:dyDescent="0.3">
      <c r="A820" s="2">
        <v>1261</v>
      </c>
      <c r="B820" s="2" t="s">
        <v>1324</v>
      </c>
      <c r="C820" s="3">
        <v>41614</v>
      </c>
      <c r="D820" s="2">
        <v>127</v>
      </c>
      <c r="E820" s="2" t="s">
        <v>22</v>
      </c>
      <c r="F820" s="2" t="s">
        <v>1325</v>
      </c>
      <c r="G820" s="2" t="s">
        <v>1326</v>
      </c>
      <c r="H820" s="2" t="s">
        <v>18</v>
      </c>
      <c r="I820" s="2" t="s">
        <v>19</v>
      </c>
      <c r="J820" s="2" t="s">
        <v>25</v>
      </c>
      <c r="K820" s="2">
        <v>225000000</v>
      </c>
      <c r="L820" s="2">
        <v>151800000</v>
      </c>
      <c r="M820" s="2">
        <v>0</v>
      </c>
      <c r="N820" s="2">
        <v>0</v>
      </c>
    </row>
    <row r="821" spans="1:14" x14ac:dyDescent="0.3">
      <c r="A821" s="2">
        <v>1273</v>
      </c>
      <c r="B821" s="2" t="s">
        <v>1331</v>
      </c>
      <c r="C821" s="3">
        <v>40650</v>
      </c>
      <c r="D821" s="2">
        <v>114</v>
      </c>
      <c r="E821" s="2" t="s">
        <v>22</v>
      </c>
      <c r="F821" s="2" t="s">
        <v>1332</v>
      </c>
      <c r="G821" s="2" t="s">
        <v>24</v>
      </c>
      <c r="H821" s="2" t="s">
        <v>18</v>
      </c>
      <c r="I821" s="2" t="s">
        <v>19</v>
      </c>
      <c r="J821" s="2" t="s">
        <v>25</v>
      </c>
      <c r="K821" s="2">
        <v>150000000</v>
      </c>
      <c r="L821" s="2">
        <v>449300000</v>
      </c>
      <c r="M821" s="2">
        <v>0</v>
      </c>
      <c r="N821" s="2">
        <v>0</v>
      </c>
    </row>
    <row r="822" spans="1:14" x14ac:dyDescent="0.3">
      <c r="A822" s="2">
        <v>1274</v>
      </c>
      <c r="B822" s="2" t="s">
        <v>1333</v>
      </c>
      <c r="C822" s="3">
        <v>41002</v>
      </c>
      <c r="D822" s="2">
        <v>131</v>
      </c>
      <c r="E822" s="2" t="s">
        <v>22</v>
      </c>
      <c r="F822" s="2" t="s">
        <v>633</v>
      </c>
      <c r="G822" s="2" t="s">
        <v>1334</v>
      </c>
      <c r="H822" s="2" t="s">
        <v>18</v>
      </c>
      <c r="I822" s="2" t="s">
        <v>19</v>
      </c>
      <c r="J822" s="2" t="s">
        <v>25</v>
      </c>
      <c r="K822" s="2">
        <v>220000000</v>
      </c>
      <c r="L822" s="2">
        <v>303000000</v>
      </c>
      <c r="M822" s="2">
        <v>0</v>
      </c>
      <c r="N822" s="2">
        <v>0</v>
      </c>
    </row>
    <row r="823" spans="1:14" x14ac:dyDescent="0.3">
      <c r="A823" s="2">
        <v>1275</v>
      </c>
      <c r="B823" s="2" t="s">
        <v>1335</v>
      </c>
      <c r="C823" s="3">
        <v>39316</v>
      </c>
      <c r="D823" s="2">
        <v>109</v>
      </c>
      <c r="E823" s="2" t="s">
        <v>84</v>
      </c>
      <c r="F823" s="2" t="s">
        <v>633</v>
      </c>
      <c r="G823" s="2" t="s">
        <v>634</v>
      </c>
      <c r="H823" s="2" t="s">
        <v>18</v>
      </c>
      <c r="I823" s="2" t="s">
        <v>19</v>
      </c>
      <c r="J823" s="2">
        <v>15</v>
      </c>
      <c r="K823" s="2">
        <v>70000000</v>
      </c>
      <c r="L823" s="2">
        <v>119000000</v>
      </c>
      <c r="M823" s="2">
        <v>0</v>
      </c>
      <c r="N823" s="2">
        <v>0</v>
      </c>
    </row>
    <row r="824" spans="1:14" x14ac:dyDescent="0.3">
      <c r="A824" s="2">
        <v>1276</v>
      </c>
      <c r="B824" s="2" t="s">
        <v>1336</v>
      </c>
      <c r="C824" s="3">
        <v>41590</v>
      </c>
      <c r="D824" s="2">
        <v>121</v>
      </c>
      <c r="E824" s="2" t="s">
        <v>45</v>
      </c>
      <c r="F824" s="2" t="s">
        <v>633</v>
      </c>
      <c r="G824" s="2" t="s">
        <v>288</v>
      </c>
      <c r="H824" s="2" t="s">
        <v>18</v>
      </c>
      <c r="I824" s="2" t="s">
        <v>19</v>
      </c>
      <c r="J824" s="2">
        <v>15</v>
      </c>
      <c r="K824" s="2">
        <v>40000000</v>
      </c>
      <c r="L824" s="2">
        <v>154800000</v>
      </c>
      <c r="M824" s="2">
        <v>2</v>
      </c>
      <c r="N824" s="2">
        <v>0</v>
      </c>
    </row>
    <row r="825" spans="1:14" x14ac:dyDescent="0.3">
      <c r="A825" s="2">
        <v>1277</v>
      </c>
      <c r="B825" s="2" t="s">
        <v>1337</v>
      </c>
      <c r="C825" s="3">
        <v>42626</v>
      </c>
      <c r="D825" s="2">
        <v>107</v>
      </c>
      <c r="E825" s="2" t="s">
        <v>621</v>
      </c>
      <c r="F825" s="2" t="s">
        <v>633</v>
      </c>
      <c r="G825" s="2" t="s">
        <v>50</v>
      </c>
      <c r="H825" s="2" t="s">
        <v>18</v>
      </c>
      <c r="I825" s="2" t="s">
        <v>19</v>
      </c>
      <c r="J825" s="2" t="s">
        <v>25</v>
      </c>
      <c r="K825" s="2">
        <v>110000000</v>
      </c>
      <c r="L825" s="2">
        <v>117300000</v>
      </c>
      <c r="M825" s="2">
        <v>0</v>
      </c>
      <c r="N825" s="2">
        <v>0</v>
      </c>
    </row>
    <row r="826" spans="1:14" x14ac:dyDescent="0.3">
      <c r="A826" s="2">
        <v>1285</v>
      </c>
      <c r="B826" s="2" t="s">
        <v>1341</v>
      </c>
      <c r="C826" s="3">
        <v>38872</v>
      </c>
      <c r="D826" s="2">
        <v>104</v>
      </c>
      <c r="E826" s="2" t="s">
        <v>22</v>
      </c>
      <c r="F826" s="2" t="s">
        <v>561</v>
      </c>
      <c r="G826" s="2" t="s">
        <v>634</v>
      </c>
      <c r="H826" s="2" t="s">
        <v>18</v>
      </c>
      <c r="I826" s="2" t="s">
        <v>19</v>
      </c>
      <c r="J826" s="2" t="s">
        <v>25</v>
      </c>
      <c r="K826" s="2">
        <v>85000000</v>
      </c>
      <c r="L826" s="2">
        <v>158500000</v>
      </c>
      <c r="M826" s="2">
        <v>0</v>
      </c>
      <c r="N826" s="2">
        <v>0</v>
      </c>
    </row>
    <row r="827" spans="1:14" x14ac:dyDescent="0.3">
      <c r="A827" s="2">
        <v>1305</v>
      </c>
      <c r="B827" s="2" t="s">
        <v>1356</v>
      </c>
      <c r="C827" s="3">
        <v>42083</v>
      </c>
      <c r="D827" s="2">
        <v>115</v>
      </c>
      <c r="E827" s="2" t="s">
        <v>84</v>
      </c>
      <c r="F827" s="2" t="s">
        <v>1351</v>
      </c>
      <c r="G827" s="2" t="s">
        <v>89</v>
      </c>
      <c r="H827" s="2" t="s">
        <v>18</v>
      </c>
      <c r="I827" s="2" t="s">
        <v>19</v>
      </c>
      <c r="J827" s="2">
        <v>15</v>
      </c>
      <c r="K827" s="2">
        <v>40000000</v>
      </c>
      <c r="L827" s="2">
        <v>24200000</v>
      </c>
      <c r="M827" s="2">
        <v>0</v>
      </c>
      <c r="N827" s="2">
        <v>0</v>
      </c>
    </row>
    <row r="828" spans="1:14" x14ac:dyDescent="0.3">
      <c r="A828" s="2">
        <v>1308</v>
      </c>
      <c r="B828" s="2" t="s">
        <v>1358</v>
      </c>
      <c r="C828" s="3">
        <v>38371</v>
      </c>
      <c r="D828" s="2">
        <v>109</v>
      </c>
      <c r="E828" s="2" t="s">
        <v>84</v>
      </c>
      <c r="F828" s="2" t="s">
        <v>1357</v>
      </c>
      <c r="G828" s="2" t="s">
        <v>1359</v>
      </c>
      <c r="H828" s="2" t="s">
        <v>18</v>
      </c>
      <c r="I828" s="2" t="s">
        <v>19</v>
      </c>
      <c r="J828" s="2">
        <v>15</v>
      </c>
      <c r="K828" s="2">
        <v>30000000</v>
      </c>
      <c r="L828" s="2">
        <v>35300000</v>
      </c>
      <c r="M828" s="2">
        <v>0</v>
      </c>
      <c r="N828" s="2">
        <v>0</v>
      </c>
    </row>
    <row r="829" spans="1:14" x14ac:dyDescent="0.3">
      <c r="A829" s="2">
        <v>1324</v>
      </c>
      <c r="B829" s="2" t="s">
        <v>1383</v>
      </c>
      <c r="C829" s="3">
        <v>41493</v>
      </c>
      <c r="D829" s="2">
        <v>109</v>
      </c>
      <c r="E829" s="2" t="s">
        <v>49</v>
      </c>
      <c r="F829" s="2" t="s">
        <v>1382</v>
      </c>
      <c r="G829" s="2" t="s">
        <v>764</v>
      </c>
      <c r="H829" s="2" t="s">
        <v>18</v>
      </c>
      <c r="I829" s="2" t="s">
        <v>19</v>
      </c>
      <c r="J829" s="2">
        <v>15</v>
      </c>
      <c r="K829" s="2">
        <v>115000000</v>
      </c>
      <c r="L829" s="2">
        <v>286100000</v>
      </c>
      <c r="M829" s="2">
        <v>0</v>
      </c>
      <c r="N829" s="2">
        <v>0</v>
      </c>
    </row>
    <row r="830" spans="1:14" x14ac:dyDescent="0.3">
      <c r="A830" s="2">
        <v>1325</v>
      </c>
      <c r="B830" s="2" t="s">
        <v>1384</v>
      </c>
      <c r="C830" s="3">
        <v>42067</v>
      </c>
      <c r="D830" s="2">
        <v>120</v>
      </c>
      <c r="E830" s="2" t="s">
        <v>49</v>
      </c>
      <c r="F830" s="2" t="s">
        <v>1382</v>
      </c>
      <c r="G830" s="2" t="s">
        <v>213</v>
      </c>
      <c r="H830" s="2" t="s">
        <v>18</v>
      </c>
      <c r="I830" s="2" t="s">
        <v>19</v>
      </c>
      <c r="J830" s="2">
        <v>15</v>
      </c>
      <c r="K830" s="2">
        <v>49000000</v>
      </c>
      <c r="L830" s="2">
        <v>102100000</v>
      </c>
      <c r="M830" s="2">
        <v>0</v>
      </c>
      <c r="N830" s="2">
        <v>0</v>
      </c>
    </row>
    <row r="831" spans="1:14" x14ac:dyDescent="0.3">
      <c r="A831" s="2">
        <v>1329</v>
      </c>
      <c r="B831" s="2" t="s">
        <v>1389</v>
      </c>
      <c r="C831" s="3">
        <v>40975</v>
      </c>
      <c r="D831" s="2">
        <v>132</v>
      </c>
      <c r="E831" s="2" t="s">
        <v>49</v>
      </c>
      <c r="F831" s="2" t="s">
        <v>644</v>
      </c>
      <c r="G831" s="2" t="s">
        <v>66</v>
      </c>
      <c r="H831" s="2" t="s">
        <v>18</v>
      </c>
      <c r="I831" s="2" t="s">
        <v>19</v>
      </c>
      <c r="J831" s="2" t="s">
        <v>25</v>
      </c>
      <c r="K831" s="2">
        <v>350000000</v>
      </c>
      <c r="L831" s="2">
        <v>284100000</v>
      </c>
      <c r="M831" s="2">
        <v>0</v>
      </c>
      <c r="N831" s="2">
        <v>0</v>
      </c>
    </row>
    <row r="832" spans="1:14" x14ac:dyDescent="0.3">
      <c r="A832" s="2">
        <v>1332</v>
      </c>
      <c r="B832" s="2" t="s">
        <v>1395</v>
      </c>
      <c r="C832" s="3">
        <v>37022</v>
      </c>
      <c r="D832" s="2">
        <v>132</v>
      </c>
      <c r="E832" s="2" t="s">
        <v>15</v>
      </c>
      <c r="F832" s="2" t="s">
        <v>1396</v>
      </c>
      <c r="G832" s="2" t="s">
        <v>213</v>
      </c>
      <c r="H832" s="2" t="s">
        <v>18</v>
      </c>
      <c r="I832" s="2" t="s">
        <v>19</v>
      </c>
      <c r="J832" s="2" t="s">
        <v>20</v>
      </c>
      <c r="K832" s="2">
        <v>65000000</v>
      </c>
      <c r="L832" s="2">
        <v>117500000</v>
      </c>
      <c r="M832" s="2">
        <v>0</v>
      </c>
      <c r="N832" s="2">
        <v>0</v>
      </c>
    </row>
    <row r="833" spans="1:14" x14ac:dyDescent="0.3">
      <c r="A833" s="2">
        <v>1338</v>
      </c>
      <c r="B833" s="2" t="s">
        <v>1403</v>
      </c>
      <c r="C833" s="3">
        <v>42252</v>
      </c>
      <c r="D833" s="2">
        <v>122</v>
      </c>
      <c r="E833" s="2" t="s">
        <v>166</v>
      </c>
      <c r="F833" s="2" t="s">
        <v>445</v>
      </c>
      <c r="G833" s="2" t="s">
        <v>32</v>
      </c>
      <c r="H833" s="2" t="s">
        <v>18</v>
      </c>
      <c r="I833" s="2" t="s">
        <v>19</v>
      </c>
      <c r="J833" s="2">
        <v>15</v>
      </c>
      <c r="K833" s="2">
        <v>30000000</v>
      </c>
      <c r="L833" s="2">
        <v>34400000</v>
      </c>
      <c r="M833" s="2">
        <v>2</v>
      </c>
      <c r="N833" s="2">
        <v>0</v>
      </c>
    </row>
    <row r="834" spans="1:14" x14ac:dyDescent="0.3">
      <c r="A834" s="2">
        <v>1339</v>
      </c>
      <c r="B834" s="2" t="s">
        <v>1404</v>
      </c>
      <c r="C834" s="3">
        <v>41180</v>
      </c>
      <c r="D834" s="2">
        <v>127</v>
      </c>
      <c r="E834" s="2" t="s">
        <v>15</v>
      </c>
      <c r="F834" s="2" t="s">
        <v>436</v>
      </c>
      <c r="G834" s="2" t="s">
        <v>269</v>
      </c>
      <c r="H834" s="2" t="s">
        <v>18</v>
      </c>
      <c r="I834" s="2" t="s">
        <v>19</v>
      </c>
      <c r="J834" s="2" t="s">
        <v>20</v>
      </c>
      <c r="K834" s="2">
        <v>120000000</v>
      </c>
      <c r="L834" s="2">
        <v>609000000</v>
      </c>
      <c r="M834" s="2">
        <v>11</v>
      </c>
      <c r="N834" s="2">
        <v>4</v>
      </c>
    </row>
    <row r="835" spans="1:14" x14ac:dyDescent="0.3">
      <c r="A835" s="2">
        <v>1340</v>
      </c>
      <c r="B835" s="2" t="s">
        <v>1405</v>
      </c>
      <c r="C835" s="3">
        <v>42177</v>
      </c>
      <c r="D835" s="2">
        <v>126</v>
      </c>
      <c r="E835" s="2" t="s">
        <v>49</v>
      </c>
      <c r="F835" s="2" t="s">
        <v>567</v>
      </c>
      <c r="G835" s="2" t="s">
        <v>257</v>
      </c>
      <c r="H835" s="2" t="s">
        <v>18</v>
      </c>
      <c r="I835" s="2" t="s">
        <v>19</v>
      </c>
      <c r="J835" s="2" t="s">
        <v>25</v>
      </c>
      <c r="K835" s="2">
        <v>155000000</v>
      </c>
      <c r="L835" s="2">
        <v>440600000</v>
      </c>
      <c r="M835" s="2">
        <v>0</v>
      </c>
      <c r="N835" s="2">
        <v>0</v>
      </c>
    </row>
    <row r="836" spans="1:14" x14ac:dyDescent="0.3">
      <c r="A836" s="2">
        <v>1341</v>
      </c>
      <c r="B836" s="2" t="s">
        <v>1406</v>
      </c>
      <c r="C836" s="3">
        <v>42116</v>
      </c>
      <c r="D836" s="2">
        <v>95</v>
      </c>
      <c r="E836" s="2" t="s">
        <v>68</v>
      </c>
      <c r="F836" s="2" t="s">
        <v>1407</v>
      </c>
      <c r="G836" s="2" t="s">
        <v>1408</v>
      </c>
      <c r="H836" s="2" t="s">
        <v>18</v>
      </c>
      <c r="I836" s="2" t="s">
        <v>19</v>
      </c>
      <c r="J836" s="2">
        <v>15</v>
      </c>
      <c r="K836" s="2">
        <v>4500000</v>
      </c>
      <c r="L836" s="2">
        <v>1400000</v>
      </c>
      <c r="M836" s="2">
        <v>0</v>
      </c>
      <c r="N836" s="2">
        <v>0</v>
      </c>
    </row>
    <row r="837" spans="1:14" x14ac:dyDescent="0.3">
      <c r="A837" s="2">
        <v>1342</v>
      </c>
      <c r="B837" s="2" t="s">
        <v>1409</v>
      </c>
      <c r="C837" s="3">
        <v>41717</v>
      </c>
      <c r="D837" s="2">
        <v>109</v>
      </c>
      <c r="E837" s="2" t="s">
        <v>150</v>
      </c>
      <c r="F837" s="2" t="s">
        <v>1196</v>
      </c>
      <c r="G837" s="2" t="s">
        <v>1410</v>
      </c>
      <c r="H837" s="2" t="s">
        <v>18</v>
      </c>
      <c r="I837" s="2" t="s">
        <v>19</v>
      </c>
      <c r="J837" s="2">
        <v>15</v>
      </c>
      <c r="K837" s="2">
        <v>35000000</v>
      </c>
      <c r="L837" s="2">
        <v>18400000</v>
      </c>
      <c r="M837" s="2">
        <v>0</v>
      </c>
      <c r="N837" s="2">
        <v>0</v>
      </c>
    </row>
    <row r="838" spans="1:14" x14ac:dyDescent="0.3">
      <c r="A838" s="2">
        <v>1343</v>
      </c>
      <c r="B838" s="2" t="s">
        <v>1411</v>
      </c>
      <c r="C838" s="3">
        <v>41556</v>
      </c>
      <c r="D838" s="2">
        <v>115</v>
      </c>
      <c r="E838" s="2" t="s">
        <v>22</v>
      </c>
      <c r="F838" s="2" t="s">
        <v>1412</v>
      </c>
      <c r="G838" s="2" t="s">
        <v>497</v>
      </c>
      <c r="H838" s="2" t="s">
        <v>18</v>
      </c>
      <c r="I838" s="2" t="s">
        <v>19</v>
      </c>
      <c r="J838" s="2">
        <v>15</v>
      </c>
      <c r="K838" s="2">
        <v>50000000</v>
      </c>
      <c r="L838" s="2">
        <v>137300000</v>
      </c>
      <c r="M838" s="2">
        <v>0</v>
      </c>
      <c r="N838" s="2">
        <v>0</v>
      </c>
    </row>
    <row r="839" spans="1:14" x14ac:dyDescent="0.3">
      <c r="A839" s="2">
        <v>1344</v>
      </c>
      <c r="B839" s="2" t="s">
        <v>1413</v>
      </c>
      <c r="C839" s="3">
        <v>41292</v>
      </c>
      <c r="D839" s="2">
        <v>107</v>
      </c>
      <c r="E839" s="2" t="s">
        <v>22</v>
      </c>
      <c r="F839" s="2" t="s">
        <v>1414</v>
      </c>
      <c r="G839" s="2" t="s">
        <v>50</v>
      </c>
      <c r="H839" s="2" t="s">
        <v>18</v>
      </c>
      <c r="I839" s="2" t="s">
        <v>19</v>
      </c>
      <c r="J839" s="2">
        <v>15</v>
      </c>
      <c r="K839" s="2">
        <v>45000000</v>
      </c>
      <c r="L839" s="2">
        <v>48300000</v>
      </c>
      <c r="M839" s="2">
        <v>0</v>
      </c>
      <c r="N839" s="2">
        <v>0</v>
      </c>
    </row>
    <row r="840" spans="1:14" x14ac:dyDescent="0.3">
      <c r="A840" s="2">
        <v>1345</v>
      </c>
      <c r="B840" s="2" t="s">
        <v>1415</v>
      </c>
      <c r="C840" s="3">
        <v>39954</v>
      </c>
      <c r="D840" s="2">
        <v>115</v>
      </c>
      <c r="E840" s="2" t="s">
        <v>49</v>
      </c>
      <c r="F840" s="2" t="s">
        <v>1416</v>
      </c>
      <c r="G840" s="2" t="s">
        <v>213</v>
      </c>
      <c r="H840" s="2" t="s">
        <v>18</v>
      </c>
      <c r="I840" s="2" t="s">
        <v>19</v>
      </c>
      <c r="J840" s="2" t="s">
        <v>25</v>
      </c>
      <c r="K840" s="2">
        <v>200000000</v>
      </c>
      <c r="L840" s="2">
        <v>371400000</v>
      </c>
      <c r="M840" s="2">
        <v>0</v>
      </c>
      <c r="N840" s="2">
        <v>0</v>
      </c>
    </row>
    <row r="841" spans="1:14" x14ac:dyDescent="0.3">
      <c r="A841" s="2">
        <v>1346</v>
      </c>
      <c r="B841" s="2" t="s">
        <v>1417</v>
      </c>
      <c r="C841" s="3">
        <v>37291</v>
      </c>
      <c r="D841" s="2">
        <v>108</v>
      </c>
      <c r="E841" s="2" t="s">
        <v>22</v>
      </c>
      <c r="F841" s="2" t="s">
        <v>325</v>
      </c>
      <c r="G841" s="2" t="s">
        <v>130</v>
      </c>
      <c r="H841" s="2" t="s">
        <v>18</v>
      </c>
      <c r="I841" s="2" t="s">
        <v>19</v>
      </c>
      <c r="J841" s="2">
        <v>15</v>
      </c>
      <c r="K841" s="2">
        <v>85000000</v>
      </c>
      <c r="L841" s="2">
        <v>78300000</v>
      </c>
      <c r="M841" s="2">
        <v>0</v>
      </c>
      <c r="N841" s="2">
        <v>0</v>
      </c>
    </row>
    <row r="842" spans="1:14" x14ac:dyDescent="0.3">
      <c r="A842" s="2">
        <v>1347</v>
      </c>
      <c r="B842" s="2" t="s">
        <v>1418</v>
      </c>
      <c r="C842" s="3">
        <v>36827</v>
      </c>
      <c r="D842" s="2">
        <v>124</v>
      </c>
      <c r="E842" s="2" t="s">
        <v>49</v>
      </c>
      <c r="F842" s="2" t="s">
        <v>148</v>
      </c>
      <c r="G842" s="2" t="s">
        <v>213</v>
      </c>
      <c r="H842" s="2" t="s">
        <v>18</v>
      </c>
      <c r="I842" s="2" t="s">
        <v>19</v>
      </c>
      <c r="J842" s="2">
        <v>15</v>
      </c>
      <c r="K842" s="2">
        <v>82000000</v>
      </c>
      <c r="L842" s="2">
        <v>96100000</v>
      </c>
      <c r="M842" s="2">
        <v>0</v>
      </c>
      <c r="N842" s="2">
        <v>0</v>
      </c>
    </row>
    <row r="843" spans="1:14" x14ac:dyDescent="0.3">
      <c r="A843" s="2">
        <v>1348</v>
      </c>
      <c r="B843" s="2" t="s">
        <v>1419</v>
      </c>
      <c r="C843" s="3">
        <v>36480</v>
      </c>
      <c r="D843" s="2">
        <v>123</v>
      </c>
      <c r="E843" s="2" t="s">
        <v>68</v>
      </c>
      <c r="F843" s="2" t="s">
        <v>1420</v>
      </c>
      <c r="G843" s="2" t="s">
        <v>1421</v>
      </c>
      <c r="H843" s="2" t="s">
        <v>18</v>
      </c>
      <c r="I843" s="2" t="s">
        <v>19</v>
      </c>
      <c r="J843" s="2">
        <v>18</v>
      </c>
      <c r="K843" s="2">
        <v>100000000</v>
      </c>
      <c r="L843" s="2">
        <v>212000000</v>
      </c>
      <c r="M843" s="2">
        <v>0</v>
      </c>
      <c r="N843" s="2">
        <v>0</v>
      </c>
    </row>
    <row r="844" spans="1:14" x14ac:dyDescent="0.3">
      <c r="A844" s="2">
        <v>1349</v>
      </c>
      <c r="B844" s="2" t="s">
        <v>1422</v>
      </c>
      <c r="C844" s="3">
        <v>35601</v>
      </c>
      <c r="D844" s="2">
        <v>125</v>
      </c>
      <c r="E844" s="2" t="s">
        <v>22</v>
      </c>
      <c r="F844" s="2" t="s">
        <v>737</v>
      </c>
      <c r="G844" s="2" t="s">
        <v>484</v>
      </c>
      <c r="H844" s="2" t="s">
        <v>18</v>
      </c>
      <c r="I844" s="2" t="s">
        <v>19</v>
      </c>
      <c r="J844" s="2" t="s">
        <v>20</v>
      </c>
      <c r="K844" s="2">
        <v>140000000</v>
      </c>
      <c r="L844" s="2">
        <v>238200000</v>
      </c>
      <c r="M844" s="2">
        <v>0</v>
      </c>
      <c r="N844" s="2">
        <v>0</v>
      </c>
    </row>
    <row r="845" spans="1:14" x14ac:dyDescent="0.3">
      <c r="A845" s="2">
        <v>1350</v>
      </c>
      <c r="B845" s="2" t="s">
        <v>1423</v>
      </c>
      <c r="C845" s="3">
        <v>35385</v>
      </c>
      <c r="D845" s="2">
        <v>89</v>
      </c>
      <c r="E845" s="2" t="s">
        <v>724</v>
      </c>
      <c r="F845" s="2" t="s">
        <v>749</v>
      </c>
      <c r="G845" s="2" t="s">
        <v>36</v>
      </c>
      <c r="H845" s="2" t="s">
        <v>18</v>
      </c>
      <c r="I845" s="2" t="s">
        <v>19</v>
      </c>
      <c r="J845" s="2" t="s">
        <v>20</v>
      </c>
      <c r="K845" s="2">
        <v>75000000</v>
      </c>
      <c r="L845" s="2">
        <v>129800000</v>
      </c>
      <c r="M845" s="2">
        <v>0</v>
      </c>
      <c r="N845" s="2">
        <v>0</v>
      </c>
    </row>
    <row r="846" spans="1:14" x14ac:dyDescent="0.3">
      <c r="A846" s="2">
        <v>1351</v>
      </c>
      <c r="B846" s="2" t="s">
        <v>1424</v>
      </c>
      <c r="C846" s="3">
        <v>34661</v>
      </c>
      <c r="D846" s="2">
        <v>109</v>
      </c>
      <c r="E846" s="2" t="s">
        <v>38</v>
      </c>
      <c r="F846" s="2" t="s">
        <v>370</v>
      </c>
      <c r="G846" s="2" t="s">
        <v>103</v>
      </c>
      <c r="H846" s="2" t="s">
        <v>18</v>
      </c>
      <c r="I846" s="2" t="s">
        <v>19</v>
      </c>
      <c r="J846" s="2" t="s">
        <v>20</v>
      </c>
      <c r="K846" s="2">
        <v>60000000</v>
      </c>
      <c r="L846" s="2">
        <v>108400000</v>
      </c>
      <c r="M846" s="2">
        <v>1</v>
      </c>
      <c r="N846" s="2">
        <v>0</v>
      </c>
    </row>
    <row r="847" spans="1:14" x14ac:dyDescent="0.3">
      <c r="A847" s="2">
        <v>1352</v>
      </c>
      <c r="B847" s="2" t="s">
        <v>271</v>
      </c>
      <c r="C847" s="3">
        <v>41124</v>
      </c>
      <c r="D847" s="2">
        <v>118</v>
      </c>
      <c r="E847" s="2" t="s">
        <v>49</v>
      </c>
      <c r="F847" s="2" t="s">
        <v>154</v>
      </c>
      <c r="G847" s="2" t="s">
        <v>634</v>
      </c>
      <c r="H847" s="2" t="s">
        <v>18</v>
      </c>
      <c r="I847" s="2" t="s">
        <v>19</v>
      </c>
      <c r="J847" s="2" t="s">
        <v>25</v>
      </c>
      <c r="K847" s="2">
        <v>125000000</v>
      </c>
      <c r="L847" s="2">
        <v>198500000</v>
      </c>
      <c r="M847" s="2">
        <v>0</v>
      </c>
      <c r="N847" s="2">
        <v>0</v>
      </c>
    </row>
    <row r="848" spans="1:14" x14ac:dyDescent="0.3">
      <c r="A848" s="2">
        <v>1353</v>
      </c>
      <c r="B848" s="2" t="s">
        <v>1024</v>
      </c>
      <c r="C848" s="3">
        <v>40534</v>
      </c>
      <c r="D848" s="2">
        <v>110</v>
      </c>
      <c r="E848" s="2" t="s">
        <v>360</v>
      </c>
      <c r="F848" s="2" t="s">
        <v>290</v>
      </c>
      <c r="G848" s="2" t="s">
        <v>257</v>
      </c>
      <c r="H848" s="2" t="s">
        <v>18</v>
      </c>
      <c r="I848" s="2" t="s">
        <v>19</v>
      </c>
      <c r="J848" s="2">
        <v>15</v>
      </c>
      <c r="K848" s="2">
        <v>38000000</v>
      </c>
      <c r="L848" s="2">
        <v>252300000</v>
      </c>
      <c r="M848" s="2">
        <v>10</v>
      </c>
      <c r="N848" s="2">
        <v>0</v>
      </c>
    </row>
    <row r="849" spans="1:14" x14ac:dyDescent="0.3">
      <c r="A849" s="2">
        <v>1354</v>
      </c>
      <c r="B849" s="2" t="s">
        <v>1425</v>
      </c>
      <c r="C849" s="3">
        <v>32308</v>
      </c>
      <c r="D849" s="2">
        <v>103</v>
      </c>
      <c r="E849" s="2" t="s">
        <v>22</v>
      </c>
      <c r="F849" s="2" t="s">
        <v>890</v>
      </c>
      <c r="G849" s="2" t="s">
        <v>179</v>
      </c>
      <c r="H849" s="2" t="s">
        <v>18</v>
      </c>
      <c r="I849" s="2" t="s">
        <v>19</v>
      </c>
      <c r="J849" s="2">
        <v>18</v>
      </c>
      <c r="K849" s="2">
        <v>29000000</v>
      </c>
      <c r="L849" s="2">
        <v>35000000</v>
      </c>
      <c r="M849" s="2">
        <v>0</v>
      </c>
      <c r="N849" s="2">
        <v>0</v>
      </c>
    </row>
    <row r="850" spans="1:14" x14ac:dyDescent="0.3">
      <c r="A850" s="2">
        <v>1355</v>
      </c>
      <c r="B850" s="2" t="s">
        <v>1426</v>
      </c>
      <c r="C850" s="3">
        <v>31940</v>
      </c>
      <c r="D850" s="2">
        <v>107</v>
      </c>
      <c r="E850" s="2" t="s">
        <v>49</v>
      </c>
      <c r="F850" s="2" t="s">
        <v>208</v>
      </c>
      <c r="G850" s="2" t="s">
        <v>89</v>
      </c>
      <c r="H850" s="2" t="s">
        <v>18</v>
      </c>
      <c r="I850" s="2" t="s">
        <v>19</v>
      </c>
      <c r="J850" s="2">
        <v>18</v>
      </c>
      <c r="K850" s="2">
        <v>18000000</v>
      </c>
      <c r="L850" s="2">
        <v>98300000</v>
      </c>
      <c r="M850" s="2">
        <v>1</v>
      </c>
      <c r="N850" s="2">
        <v>0</v>
      </c>
    </row>
    <row r="851" spans="1:14" x14ac:dyDescent="0.3">
      <c r="A851" s="2">
        <v>1356</v>
      </c>
      <c r="B851" s="2" t="s">
        <v>1427</v>
      </c>
      <c r="C851" s="3">
        <v>31569</v>
      </c>
      <c r="D851" s="2">
        <v>107</v>
      </c>
      <c r="E851" s="2" t="s">
        <v>22</v>
      </c>
      <c r="F851" s="2" t="s">
        <v>1428</v>
      </c>
      <c r="G851" s="2" t="s">
        <v>399</v>
      </c>
      <c r="H851" s="2" t="s">
        <v>18</v>
      </c>
      <c r="I851" s="2" t="s">
        <v>19</v>
      </c>
      <c r="J851" s="2">
        <v>18</v>
      </c>
      <c r="K851" s="2">
        <v>11000000</v>
      </c>
      <c r="L851" s="2">
        <v>18100000</v>
      </c>
      <c r="M851" s="2">
        <v>0</v>
      </c>
      <c r="N851" s="2">
        <v>0</v>
      </c>
    </row>
    <row r="852" spans="1:14" x14ac:dyDescent="0.3">
      <c r="A852" s="2">
        <v>1357</v>
      </c>
      <c r="B852" s="2" t="s">
        <v>1429</v>
      </c>
      <c r="C852" s="3">
        <v>31324</v>
      </c>
      <c r="D852" s="2">
        <v>90</v>
      </c>
      <c r="E852" s="2" t="s">
        <v>22</v>
      </c>
      <c r="F852" s="2" t="s">
        <v>1430</v>
      </c>
      <c r="G852" s="2" t="s">
        <v>89</v>
      </c>
      <c r="H852" s="2" t="s">
        <v>18</v>
      </c>
      <c r="I852" s="2" t="s">
        <v>19</v>
      </c>
      <c r="J852" s="2">
        <v>18</v>
      </c>
      <c r="K852" s="2">
        <v>10000000</v>
      </c>
      <c r="L852" s="2">
        <v>57500000</v>
      </c>
      <c r="M852" s="2">
        <v>0</v>
      </c>
      <c r="N852" s="2">
        <v>0</v>
      </c>
    </row>
    <row r="853" spans="1:14" x14ac:dyDescent="0.3">
      <c r="A853" s="2">
        <v>1358</v>
      </c>
      <c r="B853" s="2" t="s">
        <v>1431</v>
      </c>
      <c r="C853" s="3">
        <v>38862</v>
      </c>
      <c r="D853" s="2">
        <v>104</v>
      </c>
      <c r="E853" s="2" t="s">
        <v>22</v>
      </c>
      <c r="F853" s="2" t="s">
        <v>201</v>
      </c>
      <c r="G853" s="2" t="s">
        <v>24</v>
      </c>
      <c r="H853" s="2" t="s">
        <v>18</v>
      </c>
      <c r="I853" s="2" t="s">
        <v>19</v>
      </c>
      <c r="J853" s="2" t="s">
        <v>25</v>
      </c>
      <c r="K853" s="2">
        <v>210000000</v>
      </c>
      <c r="L853" s="2">
        <v>459400000</v>
      </c>
      <c r="M853" s="2">
        <v>0</v>
      </c>
      <c r="N853" s="2">
        <v>0</v>
      </c>
    </row>
    <row r="854" spans="1:14" x14ac:dyDescent="0.3">
      <c r="A854" s="2">
        <v>1360</v>
      </c>
      <c r="B854" s="2" t="s">
        <v>1434</v>
      </c>
      <c r="C854" s="3">
        <v>30862</v>
      </c>
      <c r="D854" s="2">
        <v>101</v>
      </c>
      <c r="E854" s="2" t="s">
        <v>52</v>
      </c>
      <c r="F854" s="2" t="s">
        <v>1016</v>
      </c>
      <c r="G854" s="2" t="s">
        <v>399</v>
      </c>
      <c r="H854" s="2" t="s">
        <v>18</v>
      </c>
      <c r="I854" s="2" t="s">
        <v>19</v>
      </c>
      <c r="J854" s="2">
        <v>15</v>
      </c>
      <c r="K854" s="2">
        <v>18000000</v>
      </c>
      <c r="L854" s="2">
        <v>100000000</v>
      </c>
      <c r="M854" s="2">
        <v>0</v>
      </c>
      <c r="N854" s="2">
        <v>0</v>
      </c>
    </row>
    <row r="855" spans="1:14" x14ac:dyDescent="0.3">
      <c r="A855" s="2">
        <v>1361</v>
      </c>
      <c r="B855" s="2" t="s">
        <v>1435</v>
      </c>
      <c r="C855" s="3">
        <v>30026</v>
      </c>
      <c r="D855" s="2">
        <v>129</v>
      </c>
      <c r="E855" s="2" t="s">
        <v>52</v>
      </c>
      <c r="F855" s="2" t="s">
        <v>1436</v>
      </c>
      <c r="G855" s="2" t="s">
        <v>399</v>
      </c>
      <c r="H855" s="2" t="s">
        <v>18</v>
      </c>
      <c r="I855" s="2" t="s">
        <v>19</v>
      </c>
      <c r="J855" s="2">
        <v>15</v>
      </c>
      <c r="K855" s="2">
        <v>16000000</v>
      </c>
      <c r="L855" s="2">
        <v>130000000</v>
      </c>
      <c r="M855" s="2">
        <v>0</v>
      </c>
      <c r="N855" s="2">
        <v>0</v>
      </c>
    </row>
    <row r="856" spans="1:14" x14ac:dyDescent="0.3">
      <c r="A856" s="2">
        <v>1362</v>
      </c>
      <c r="B856" s="2" t="s">
        <v>1435</v>
      </c>
      <c r="C856" s="3">
        <v>40766</v>
      </c>
      <c r="D856" s="2">
        <v>113</v>
      </c>
      <c r="E856" s="2" t="s">
        <v>52</v>
      </c>
      <c r="F856" s="2" t="s">
        <v>1437</v>
      </c>
      <c r="G856" s="2" t="s">
        <v>278</v>
      </c>
      <c r="H856" s="2" t="s">
        <v>18</v>
      </c>
      <c r="I856" s="2" t="s">
        <v>19</v>
      </c>
      <c r="J856" s="2">
        <v>15</v>
      </c>
      <c r="K856" s="2">
        <v>90000000</v>
      </c>
      <c r="L856" s="2">
        <v>48800000</v>
      </c>
      <c r="M856" s="2">
        <v>0</v>
      </c>
      <c r="N856" s="2">
        <v>0</v>
      </c>
    </row>
    <row r="857" spans="1:14" x14ac:dyDescent="0.3">
      <c r="A857" s="2">
        <v>1363</v>
      </c>
      <c r="B857" s="2" t="s">
        <v>1438</v>
      </c>
      <c r="C857" s="3">
        <v>28143</v>
      </c>
      <c r="D857" s="2">
        <v>85</v>
      </c>
      <c r="E857" s="2" t="s">
        <v>520</v>
      </c>
      <c r="F857" s="2" t="s">
        <v>1439</v>
      </c>
      <c r="G857" s="2" t="s">
        <v>1440</v>
      </c>
      <c r="H857" s="2" t="s">
        <v>18</v>
      </c>
      <c r="I857" s="2" t="s">
        <v>19</v>
      </c>
      <c r="J857" s="2">
        <v>12</v>
      </c>
      <c r="K857" s="2">
        <v>1000000</v>
      </c>
      <c r="L857" s="2">
        <v>1000000</v>
      </c>
      <c r="M857" s="2">
        <v>0</v>
      </c>
      <c r="N857" s="2">
        <v>0</v>
      </c>
    </row>
    <row r="858" spans="1:14" x14ac:dyDescent="0.3">
      <c r="A858" s="2">
        <v>1366</v>
      </c>
      <c r="B858" s="2" t="s">
        <v>1442</v>
      </c>
      <c r="C858" s="3">
        <v>40956</v>
      </c>
      <c r="D858" s="2">
        <v>97</v>
      </c>
      <c r="E858" s="2" t="s">
        <v>22</v>
      </c>
      <c r="F858" s="2" t="s">
        <v>1416</v>
      </c>
      <c r="G858" s="2" t="s">
        <v>415</v>
      </c>
      <c r="H858" s="2" t="s">
        <v>18</v>
      </c>
      <c r="I858" s="2" t="s">
        <v>19</v>
      </c>
      <c r="J858" s="2" t="s">
        <v>25</v>
      </c>
      <c r="K858" s="2">
        <v>65000000</v>
      </c>
      <c r="L858" s="2">
        <v>156500000</v>
      </c>
      <c r="M858" s="2">
        <v>0</v>
      </c>
      <c r="N858" s="2">
        <v>0</v>
      </c>
    </row>
    <row r="859" spans="1:14" x14ac:dyDescent="0.3">
      <c r="A859" s="2">
        <v>1367</v>
      </c>
      <c r="B859" s="2" t="s">
        <v>1443</v>
      </c>
      <c r="C859" s="3">
        <v>39073</v>
      </c>
      <c r="D859" s="2">
        <v>131</v>
      </c>
      <c r="E859" s="2" t="s">
        <v>190</v>
      </c>
      <c r="F859" s="2" t="s">
        <v>1416</v>
      </c>
      <c r="G859" s="2" t="s">
        <v>32</v>
      </c>
      <c r="H859" s="2" t="s">
        <v>18</v>
      </c>
      <c r="I859" s="2" t="s">
        <v>19</v>
      </c>
      <c r="J859" s="2" t="s">
        <v>20</v>
      </c>
      <c r="K859" s="2">
        <v>65000000</v>
      </c>
      <c r="L859" s="2">
        <v>43500000</v>
      </c>
      <c r="M859" s="2">
        <v>0</v>
      </c>
      <c r="N859" s="2">
        <v>0</v>
      </c>
    </row>
    <row r="860" spans="1:14" x14ac:dyDescent="0.3">
      <c r="A860" s="2">
        <v>1368</v>
      </c>
      <c r="B860" s="2" t="s">
        <v>1444</v>
      </c>
      <c r="C860" s="3">
        <v>40688</v>
      </c>
      <c r="D860" s="2">
        <v>132</v>
      </c>
      <c r="E860" s="2" t="s">
        <v>22</v>
      </c>
      <c r="F860" s="2" t="s">
        <v>1445</v>
      </c>
      <c r="G860" s="2" t="s">
        <v>24</v>
      </c>
      <c r="H860" s="2" t="s">
        <v>18</v>
      </c>
      <c r="I860" s="2" t="s">
        <v>19</v>
      </c>
      <c r="J860" s="2" t="s">
        <v>25</v>
      </c>
      <c r="K860" s="2">
        <v>160000000</v>
      </c>
      <c r="L860" s="2">
        <v>353600000</v>
      </c>
      <c r="M860" s="2">
        <v>0</v>
      </c>
      <c r="N860" s="2">
        <v>0</v>
      </c>
    </row>
    <row r="861" spans="1:14" x14ac:dyDescent="0.3">
      <c r="A861" s="2">
        <v>1369</v>
      </c>
      <c r="B861" s="2" t="s">
        <v>1446</v>
      </c>
      <c r="C861" s="3">
        <v>36833</v>
      </c>
      <c r="D861" s="2">
        <v>98</v>
      </c>
      <c r="E861" s="2" t="s">
        <v>22</v>
      </c>
      <c r="F861" s="2" t="s">
        <v>1416</v>
      </c>
      <c r="G861" s="2" t="s">
        <v>213</v>
      </c>
      <c r="H861" s="2" t="s">
        <v>18</v>
      </c>
      <c r="I861" s="2" t="s">
        <v>19</v>
      </c>
      <c r="J861" s="2">
        <v>15</v>
      </c>
      <c r="K861" s="2">
        <v>90000000</v>
      </c>
      <c r="L861" s="2">
        <v>264100000</v>
      </c>
      <c r="M861" s="2">
        <v>0</v>
      </c>
      <c r="N861" s="2">
        <v>0</v>
      </c>
    </row>
    <row r="862" spans="1:14" x14ac:dyDescent="0.3">
      <c r="A862" s="2">
        <v>1370</v>
      </c>
      <c r="B862" s="2" t="s">
        <v>1447</v>
      </c>
      <c r="C862" s="3">
        <v>37799</v>
      </c>
      <c r="D862" s="2">
        <v>106</v>
      </c>
      <c r="E862" s="2" t="s">
        <v>22</v>
      </c>
      <c r="F862" s="2" t="s">
        <v>1416</v>
      </c>
      <c r="G862" s="2" t="s">
        <v>213</v>
      </c>
      <c r="H862" s="2" t="s">
        <v>18</v>
      </c>
      <c r="I862" s="2" t="s">
        <v>19</v>
      </c>
      <c r="J862" s="2" t="s">
        <v>25</v>
      </c>
      <c r="K862" s="2">
        <v>120000000</v>
      </c>
      <c r="L862" s="2">
        <v>259100000</v>
      </c>
      <c r="M862" s="2">
        <v>0</v>
      </c>
      <c r="N862" s="2">
        <v>0</v>
      </c>
    </row>
    <row r="863" spans="1:14" x14ac:dyDescent="0.3">
      <c r="A863" s="2">
        <v>1379</v>
      </c>
      <c r="B863" s="2" t="s">
        <v>1458</v>
      </c>
      <c r="C863" s="3">
        <v>30825</v>
      </c>
      <c r="D863" s="2">
        <v>229</v>
      </c>
      <c r="E863" s="2" t="s">
        <v>150</v>
      </c>
      <c r="F863" s="2" t="s">
        <v>1044</v>
      </c>
      <c r="G863" s="2" t="s">
        <v>376</v>
      </c>
      <c r="H863" s="2" t="s">
        <v>18</v>
      </c>
      <c r="I863" s="2" t="s">
        <v>19</v>
      </c>
      <c r="J863" s="2">
        <v>18</v>
      </c>
      <c r="K863" s="2">
        <v>30000000</v>
      </c>
      <c r="L863" s="2">
        <v>5300000</v>
      </c>
      <c r="M863" s="2">
        <v>0</v>
      </c>
      <c r="N863" s="2">
        <v>0</v>
      </c>
    </row>
    <row r="864" spans="1:14" x14ac:dyDescent="0.3">
      <c r="A864" s="2">
        <v>1380</v>
      </c>
      <c r="B864" s="2" t="s">
        <v>1459</v>
      </c>
      <c r="C864" s="3">
        <v>39836</v>
      </c>
      <c r="D864" s="2">
        <v>92</v>
      </c>
      <c r="E864" s="2" t="s">
        <v>22</v>
      </c>
      <c r="F864" s="2" t="s">
        <v>1460</v>
      </c>
      <c r="G864" s="2" t="s">
        <v>365</v>
      </c>
      <c r="H864" s="2" t="s">
        <v>18</v>
      </c>
      <c r="I864" s="2" t="s">
        <v>19</v>
      </c>
      <c r="J864" s="2">
        <v>18</v>
      </c>
      <c r="K864" s="2">
        <v>35000000</v>
      </c>
      <c r="L864" s="2">
        <v>91300000</v>
      </c>
      <c r="M864" s="2">
        <v>0</v>
      </c>
      <c r="N864" s="2">
        <v>0</v>
      </c>
    </row>
    <row r="865" spans="1:14" x14ac:dyDescent="0.3">
      <c r="A865" s="2">
        <v>1381</v>
      </c>
      <c r="B865" s="2" t="s">
        <v>1461</v>
      </c>
      <c r="C865" s="3">
        <v>40928</v>
      </c>
      <c r="D865" s="2">
        <v>89</v>
      </c>
      <c r="E865" s="2" t="s">
        <v>22</v>
      </c>
      <c r="F865" s="2" t="s">
        <v>1462</v>
      </c>
      <c r="G865" s="2" t="s">
        <v>365</v>
      </c>
      <c r="H865" s="2" t="s">
        <v>18</v>
      </c>
      <c r="I865" s="2" t="s">
        <v>19</v>
      </c>
      <c r="J865" s="2">
        <v>18</v>
      </c>
      <c r="K865" s="2">
        <v>70000000</v>
      </c>
      <c r="L865" s="2">
        <v>160000000</v>
      </c>
      <c r="M865" s="2">
        <v>0</v>
      </c>
      <c r="N865" s="2">
        <v>0</v>
      </c>
    </row>
    <row r="866" spans="1:14" x14ac:dyDescent="0.3">
      <c r="A866" s="2">
        <v>1383</v>
      </c>
      <c r="B866" s="2" t="s">
        <v>1463</v>
      </c>
      <c r="C866" s="3">
        <v>34635</v>
      </c>
      <c r="D866" s="2">
        <v>128</v>
      </c>
      <c r="E866" s="2" t="s">
        <v>49</v>
      </c>
      <c r="F866" s="2" t="s">
        <v>123</v>
      </c>
      <c r="G866" s="2" t="s">
        <v>1264</v>
      </c>
      <c r="H866" s="2" t="s">
        <v>18</v>
      </c>
      <c r="I866" s="2" t="s">
        <v>19</v>
      </c>
      <c r="J866" s="2" t="s">
        <v>20</v>
      </c>
      <c r="K866" s="2">
        <v>55000000</v>
      </c>
      <c r="L866" s="2">
        <v>196600000</v>
      </c>
      <c r="M866" s="2">
        <v>0</v>
      </c>
      <c r="N866" s="2">
        <v>0</v>
      </c>
    </row>
    <row r="867" spans="1:14" x14ac:dyDescent="0.3">
      <c r="A867" s="2">
        <v>1384</v>
      </c>
      <c r="B867" s="2" t="s">
        <v>1464</v>
      </c>
      <c r="C867" s="3">
        <v>33886</v>
      </c>
      <c r="D867" s="2">
        <v>103</v>
      </c>
      <c r="E867" s="2" t="s">
        <v>22</v>
      </c>
      <c r="F867" s="2" t="s">
        <v>325</v>
      </c>
      <c r="G867" s="2" t="s">
        <v>164</v>
      </c>
      <c r="H867" s="2" t="s">
        <v>18</v>
      </c>
      <c r="I867" s="2" t="s">
        <v>19</v>
      </c>
      <c r="J867" s="2">
        <v>15</v>
      </c>
      <c r="K867" s="2">
        <v>35000000</v>
      </c>
      <c r="L867" s="2">
        <v>156600000</v>
      </c>
      <c r="M867" s="2">
        <v>2</v>
      </c>
      <c r="N867" s="2">
        <v>0</v>
      </c>
    </row>
    <row r="868" spans="1:14" x14ac:dyDescent="0.3">
      <c r="A868" s="2">
        <v>1385</v>
      </c>
      <c r="B868" s="2" t="s">
        <v>1465</v>
      </c>
      <c r="C868" s="3">
        <v>42281</v>
      </c>
      <c r="D868" s="2">
        <v>141</v>
      </c>
      <c r="E868" s="2" t="s">
        <v>84</v>
      </c>
      <c r="F868" s="2" t="s">
        <v>16</v>
      </c>
      <c r="G868" s="2" t="s">
        <v>62</v>
      </c>
      <c r="H868" s="2" t="s">
        <v>18</v>
      </c>
      <c r="I868" s="2" t="s">
        <v>19</v>
      </c>
      <c r="J868" s="2" t="s">
        <v>25</v>
      </c>
      <c r="K868" s="2">
        <v>40000000</v>
      </c>
      <c r="L868" s="2">
        <v>165500000</v>
      </c>
      <c r="M868" s="2">
        <v>6</v>
      </c>
      <c r="N868" s="2">
        <v>1</v>
      </c>
    </row>
    <row r="869" spans="1:14" x14ac:dyDescent="0.3">
      <c r="A869" s="2">
        <v>1386</v>
      </c>
      <c r="B869" s="2" t="s">
        <v>1466</v>
      </c>
      <c r="C869" s="3">
        <v>26250</v>
      </c>
      <c r="D869" s="2">
        <v>89</v>
      </c>
      <c r="E869" s="2" t="s">
        <v>84</v>
      </c>
      <c r="F869" s="2" t="s">
        <v>16</v>
      </c>
      <c r="G869" s="2" t="s">
        <v>103</v>
      </c>
      <c r="H869" s="2" t="s">
        <v>18</v>
      </c>
      <c r="I869" s="2" t="s">
        <v>19</v>
      </c>
      <c r="J869" s="2" t="s">
        <v>20</v>
      </c>
      <c r="K869" s="2">
        <v>450000</v>
      </c>
      <c r="L869" s="2">
        <v>450000</v>
      </c>
      <c r="M869" s="2">
        <v>0</v>
      </c>
      <c r="N869" s="2">
        <v>0</v>
      </c>
    </row>
    <row r="870" spans="1:14" x14ac:dyDescent="0.3">
      <c r="A870" s="2">
        <v>1387</v>
      </c>
      <c r="B870" s="2" t="s">
        <v>1467</v>
      </c>
      <c r="C870" s="3">
        <v>32122</v>
      </c>
      <c r="D870" s="2">
        <v>154</v>
      </c>
      <c r="E870" s="2" t="s">
        <v>45</v>
      </c>
      <c r="F870" s="2" t="s">
        <v>16</v>
      </c>
      <c r="G870" s="2" t="s">
        <v>17</v>
      </c>
      <c r="H870" s="2" t="s">
        <v>18</v>
      </c>
      <c r="I870" s="2" t="s">
        <v>19</v>
      </c>
      <c r="J870" s="2" t="s">
        <v>20</v>
      </c>
      <c r="K870" s="2">
        <v>35000000</v>
      </c>
      <c r="L870" s="2">
        <v>66700000</v>
      </c>
      <c r="M870" s="2">
        <v>6</v>
      </c>
      <c r="N870" s="2">
        <v>0</v>
      </c>
    </row>
    <row r="871" spans="1:14" x14ac:dyDescent="0.3">
      <c r="A871" s="2">
        <v>1388</v>
      </c>
      <c r="B871" s="2" t="s">
        <v>1468</v>
      </c>
      <c r="C871" s="3">
        <v>35774</v>
      </c>
      <c r="D871" s="2">
        <v>154</v>
      </c>
      <c r="E871" s="2" t="s">
        <v>245</v>
      </c>
      <c r="F871" s="2" t="s">
        <v>16</v>
      </c>
      <c r="G871" s="2" t="s">
        <v>62</v>
      </c>
      <c r="H871" s="2" t="s">
        <v>18</v>
      </c>
      <c r="I871" s="2" t="s">
        <v>19</v>
      </c>
      <c r="J871" s="2">
        <v>15</v>
      </c>
      <c r="K871" s="2">
        <v>36000000</v>
      </c>
      <c r="L871" s="2">
        <v>44200000</v>
      </c>
      <c r="M871" s="2">
        <v>4</v>
      </c>
      <c r="N871" s="2">
        <v>0</v>
      </c>
    </row>
    <row r="872" spans="1:14" x14ac:dyDescent="0.3">
      <c r="A872" s="2">
        <v>1389</v>
      </c>
      <c r="B872" s="2" t="s">
        <v>1469</v>
      </c>
      <c r="C872" s="3">
        <v>37071</v>
      </c>
      <c r="D872" s="2">
        <v>146</v>
      </c>
      <c r="E872" s="2" t="s">
        <v>49</v>
      </c>
      <c r="F872" s="2" t="s">
        <v>16</v>
      </c>
      <c r="G872" s="2" t="s">
        <v>17</v>
      </c>
      <c r="H872" s="2" t="s">
        <v>18</v>
      </c>
      <c r="I872" s="2" t="s">
        <v>19</v>
      </c>
      <c r="J872" s="2">
        <v>12</v>
      </c>
      <c r="K872" s="2">
        <v>100000000</v>
      </c>
      <c r="L872" s="2">
        <v>235900000</v>
      </c>
      <c r="M872" s="2">
        <v>2</v>
      </c>
      <c r="N872" s="2">
        <v>0</v>
      </c>
    </row>
    <row r="873" spans="1:14" x14ac:dyDescent="0.3">
      <c r="A873" s="2">
        <v>1390</v>
      </c>
      <c r="B873" s="2" t="s">
        <v>1470</v>
      </c>
      <c r="C873" s="3">
        <v>37615</v>
      </c>
      <c r="D873" s="2">
        <v>141</v>
      </c>
      <c r="E873" s="2" t="s">
        <v>166</v>
      </c>
      <c r="F873" s="2" t="s">
        <v>16</v>
      </c>
      <c r="G873" s="2" t="s">
        <v>17</v>
      </c>
      <c r="H873" s="2" t="s">
        <v>18</v>
      </c>
      <c r="I873" s="2" t="s">
        <v>19</v>
      </c>
      <c r="J873" s="2" t="s">
        <v>25</v>
      </c>
      <c r="K873" s="2">
        <v>52000000</v>
      </c>
      <c r="L873" s="2">
        <v>352100000</v>
      </c>
      <c r="M873" s="2">
        <v>2</v>
      </c>
      <c r="N873" s="2">
        <v>0</v>
      </c>
    </row>
    <row r="874" spans="1:14" x14ac:dyDescent="0.3">
      <c r="A874" s="2">
        <v>1391</v>
      </c>
      <c r="B874" s="2" t="s">
        <v>1471</v>
      </c>
      <c r="C874" s="3">
        <v>38156</v>
      </c>
      <c r="D874" s="2">
        <v>128</v>
      </c>
      <c r="E874" s="2" t="s">
        <v>38</v>
      </c>
      <c r="F874" s="2" t="s">
        <v>16</v>
      </c>
      <c r="G874" s="2" t="s">
        <v>17</v>
      </c>
      <c r="H874" s="2" t="s">
        <v>18</v>
      </c>
      <c r="I874" s="2" t="s">
        <v>19</v>
      </c>
      <c r="J874" s="2" t="s">
        <v>25</v>
      </c>
      <c r="K874" s="2">
        <v>60000000</v>
      </c>
      <c r="L874" s="2">
        <v>219400000</v>
      </c>
      <c r="M874" s="2">
        <v>0</v>
      </c>
      <c r="N874" s="2">
        <v>0</v>
      </c>
    </row>
    <row r="875" spans="1:14" x14ac:dyDescent="0.3">
      <c r="A875" s="2">
        <v>1392</v>
      </c>
      <c r="B875" s="2" t="s">
        <v>1472</v>
      </c>
      <c r="C875" s="3">
        <v>41190</v>
      </c>
      <c r="D875" s="2">
        <v>150</v>
      </c>
      <c r="E875" s="2" t="s">
        <v>166</v>
      </c>
      <c r="F875" s="2" t="s">
        <v>16</v>
      </c>
      <c r="G875" s="2" t="s">
        <v>17</v>
      </c>
      <c r="H875" s="2" t="s">
        <v>18</v>
      </c>
      <c r="I875" s="2" t="s">
        <v>19</v>
      </c>
      <c r="J875" s="2" t="s">
        <v>25</v>
      </c>
      <c r="K875" s="2">
        <v>65000000</v>
      </c>
      <c r="L875" s="2">
        <v>275300000</v>
      </c>
      <c r="M875" s="2">
        <v>12</v>
      </c>
      <c r="N875" s="2">
        <v>2</v>
      </c>
    </row>
    <row r="876" spans="1:14" x14ac:dyDescent="0.3">
      <c r="A876" s="2">
        <v>1393</v>
      </c>
      <c r="B876" s="2" t="s">
        <v>1473</v>
      </c>
      <c r="C876" s="3">
        <v>41078</v>
      </c>
      <c r="D876" s="2">
        <v>105</v>
      </c>
      <c r="E876" s="2" t="s">
        <v>245</v>
      </c>
      <c r="F876" s="2" t="s">
        <v>501</v>
      </c>
      <c r="G876" s="2" t="s">
        <v>1474</v>
      </c>
      <c r="H876" s="2" t="s">
        <v>18</v>
      </c>
      <c r="I876" s="2" t="s">
        <v>19</v>
      </c>
      <c r="J876" s="2">
        <v>15</v>
      </c>
      <c r="K876" s="2">
        <v>99500000</v>
      </c>
      <c r="L876" s="2">
        <v>116400000</v>
      </c>
      <c r="M876" s="2">
        <v>0</v>
      </c>
      <c r="N876" s="2">
        <v>0</v>
      </c>
    </row>
    <row r="877" spans="1:14" x14ac:dyDescent="0.3">
      <c r="A877" s="2">
        <v>1394</v>
      </c>
      <c r="B877" s="2" t="s">
        <v>1475</v>
      </c>
      <c r="C877" s="3">
        <v>42504</v>
      </c>
      <c r="D877" s="2">
        <v>117</v>
      </c>
      <c r="E877" s="2" t="s">
        <v>724</v>
      </c>
      <c r="F877" s="2" t="s">
        <v>16</v>
      </c>
      <c r="G877" s="2" t="s">
        <v>66</v>
      </c>
      <c r="H877" s="2" t="s">
        <v>18</v>
      </c>
      <c r="I877" s="2" t="s">
        <v>19</v>
      </c>
      <c r="J877" s="2" t="s">
        <v>20</v>
      </c>
      <c r="K877" s="2">
        <v>140000000</v>
      </c>
      <c r="L877" s="2">
        <v>178000000</v>
      </c>
      <c r="M877" s="2">
        <v>0</v>
      </c>
      <c r="N877" s="2">
        <v>0</v>
      </c>
    </row>
    <row r="878" spans="1:14" x14ac:dyDescent="0.3">
      <c r="A878" s="2">
        <v>1396</v>
      </c>
      <c r="B878" s="2" t="s">
        <v>1477</v>
      </c>
      <c r="C878" s="3">
        <v>41960</v>
      </c>
      <c r="D878" s="2">
        <v>137</v>
      </c>
      <c r="E878" s="2" t="s">
        <v>166</v>
      </c>
      <c r="F878" s="2" t="s">
        <v>1478</v>
      </c>
      <c r="G878" s="2" t="s">
        <v>32</v>
      </c>
      <c r="H878" s="2" t="s">
        <v>18</v>
      </c>
      <c r="I878" s="2" t="s">
        <v>19</v>
      </c>
      <c r="J878" s="2">
        <v>15</v>
      </c>
      <c r="K878" s="2">
        <v>65000000</v>
      </c>
      <c r="L878" s="2">
        <v>163400000</v>
      </c>
      <c r="M878" s="2">
        <v>3</v>
      </c>
      <c r="N878" s="2">
        <v>0</v>
      </c>
    </row>
    <row r="879" spans="1:14" x14ac:dyDescent="0.3">
      <c r="A879" s="2">
        <v>1397</v>
      </c>
      <c r="B879" s="2" t="s">
        <v>1479</v>
      </c>
      <c r="C879" s="3">
        <v>41413</v>
      </c>
      <c r="D879" s="2">
        <v>105</v>
      </c>
      <c r="E879" s="2" t="s">
        <v>190</v>
      </c>
      <c r="F879" s="2" t="s">
        <v>290</v>
      </c>
      <c r="G879" s="2" t="s">
        <v>1264</v>
      </c>
      <c r="H879" s="2" t="s">
        <v>18</v>
      </c>
      <c r="I879" s="2" t="s">
        <v>19</v>
      </c>
      <c r="J879" s="2">
        <v>15</v>
      </c>
      <c r="K879" s="2">
        <v>11000000</v>
      </c>
      <c r="L879" s="2">
        <v>32900000</v>
      </c>
      <c r="M879" s="2">
        <v>2</v>
      </c>
      <c r="N879" s="2">
        <v>0</v>
      </c>
    </row>
    <row r="880" spans="1:14" x14ac:dyDescent="0.3">
      <c r="A880" s="2">
        <v>1400</v>
      </c>
      <c r="B880" s="2" t="s">
        <v>1482</v>
      </c>
      <c r="C880" s="3">
        <v>38072</v>
      </c>
      <c r="D880" s="2">
        <v>104</v>
      </c>
      <c r="E880" s="2" t="s">
        <v>38</v>
      </c>
      <c r="F880" s="2" t="s">
        <v>290</v>
      </c>
      <c r="G880" s="2" t="s">
        <v>47</v>
      </c>
      <c r="H880" s="2" t="s">
        <v>18</v>
      </c>
      <c r="I880" s="2" t="s">
        <v>19</v>
      </c>
      <c r="J880" s="2">
        <v>15</v>
      </c>
      <c r="K880" s="2">
        <v>35000000</v>
      </c>
      <c r="L880" s="2">
        <v>76700000</v>
      </c>
      <c r="M880" s="2">
        <v>0</v>
      </c>
      <c r="N880" s="2">
        <v>0</v>
      </c>
    </row>
    <row r="881" spans="1:14" x14ac:dyDescent="0.3">
      <c r="A881" s="2">
        <v>1402</v>
      </c>
      <c r="B881" s="2" t="s">
        <v>1483</v>
      </c>
      <c r="C881" s="3">
        <v>35860</v>
      </c>
      <c r="D881" s="2">
        <v>117</v>
      </c>
      <c r="E881" s="2" t="s">
        <v>38</v>
      </c>
      <c r="F881" s="2" t="s">
        <v>290</v>
      </c>
      <c r="G881" s="2" t="s">
        <v>484</v>
      </c>
      <c r="H881" s="2" t="s">
        <v>18</v>
      </c>
      <c r="I881" s="2" t="s">
        <v>19</v>
      </c>
      <c r="J881" s="2">
        <v>18</v>
      </c>
      <c r="K881" s="2">
        <v>15000000</v>
      </c>
      <c r="L881" s="2">
        <v>46200000</v>
      </c>
      <c r="M881" s="2">
        <v>0</v>
      </c>
      <c r="N881" s="2">
        <v>0</v>
      </c>
    </row>
    <row r="882" spans="1:14" x14ac:dyDescent="0.3">
      <c r="A882" s="2">
        <v>1403</v>
      </c>
      <c r="B882" s="2" t="s">
        <v>1484</v>
      </c>
      <c r="C882" s="3">
        <v>33137</v>
      </c>
      <c r="D882" s="2">
        <v>115</v>
      </c>
      <c r="E882" s="2" t="s">
        <v>150</v>
      </c>
      <c r="F882" s="2" t="s">
        <v>290</v>
      </c>
      <c r="G882" s="2" t="s">
        <v>36</v>
      </c>
      <c r="H882" s="2" t="s">
        <v>18</v>
      </c>
      <c r="I882" s="2" t="s">
        <v>19</v>
      </c>
      <c r="J882" s="2">
        <v>18</v>
      </c>
      <c r="K882" s="2">
        <v>14000000</v>
      </c>
      <c r="L882" s="2">
        <v>5080000</v>
      </c>
      <c r="M882" s="2">
        <v>0</v>
      </c>
      <c r="N882" s="2">
        <v>0</v>
      </c>
    </row>
    <row r="883" spans="1:14" x14ac:dyDescent="0.3">
      <c r="A883" s="2">
        <v>1405</v>
      </c>
      <c r="B883" s="2" t="s">
        <v>1486</v>
      </c>
      <c r="C883" s="3">
        <v>39640</v>
      </c>
      <c r="D883" s="2">
        <v>115</v>
      </c>
      <c r="E883" s="2" t="s">
        <v>49</v>
      </c>
      <c r="F883" s="2" t="s">
        <v>1487</v>
      </c>
      <c r="G883" s="2" t="s">
        <v>362</v>
      </c>
      <c r="H883" s="2" t="s">
        <v>18</v>
      </c>
      <c r="I883" s="2" t="s">
        <v>19</v>
      </c>
      <c r="J883" s="2">
        <v>15</v>
      </c>
      <c r="K883" s="2">
        <v>47000000</v>
      </c>
      <c r="L883" s="2">
        <v>7033000</v>
      </c>
      <c r="M883" s="2">
        <v>0</v>
      </c>
      <c r="N883" s="2">
        <v>0</v>
      </c>
    </row>
    <row r="884" spans="1:14" x14ac:dyDescent="0.3">
      <c r="A884" s="2">
        <v>1406</v>
      </c>
      <c r="B884" s="2" t="s">
        <v>1488</v>
      </c>
      <c r="C884" s="3">
        <v>34593</v>
      </c>
      <c r="D884" s="2">
        <v>98</v>
      </c>
      <c r="E884" s="2" t="s">
        <v>49</v>
      </c>
      <c r="F884" s="2" t="s">
        <v>1420</v>
      </c>
      <c r="G884" s="2" t="s">
        <v>745</v>
      </c>
      <c r="H884" s="2" t="s">
        <v>18</v>
      </c>
      <c r="I884" s="2" t="s">
        <v>19</v>
      </c>
      <c r="J884" s="2">
        <v>18</v>
      </c>
      <c r="K884" s="2">
        <v>27000000</v>
      </c>
      <c r="L884" s="2">
        <v>101646581</v>
      </c>
      <c r="M884" s="2">
        <v>0</v>
      </c>
      <c r="N884" s="2">
        <v>0</v>
      </c>
    </row>
    <row r="885" spans="1:14" x14ac:dyDescent="0.3">
      <c r="A885" s="2">
        <v>1407</v>
      </c>
      <c r="B885" s="2" t="s">
        <v>1489</v>
      </c>
      <c r="C885" s="3">
        <v>42392</v>
      </c>
      <c r="D885" s="2">
        <v>95</v>
      </c>
      <c r="E885" s="2" t="s">
        <v>60</v>
      </c>
      <c r="F885" s="2" t="s">
        <v>592</v>
      </c>
      <c r="G885" s="2" t="s">
        <v>62</v>
      </c>
      <c r="H885" s="2" t="s">
        <v>18</v>
      </c>
      <c r="I885" s="2" t="s">
        <v>19</v>
      </c>
      <c r="J885" s="2" t="s">
        <v>20</v>
      </c>
      <c r="K885" s="2">
        <v>145000000</v>
      </c>
      <c r="L885" s="2">
        <v>519900000</v>
      </c>
      <c r="M885" s="2">
        <v>0</v>
      </c>
      <c r="N885" s="2">
        <v>0</v>
      </c>
    </row>
    <row r="886" spans="1:14" x14ac:dyDescent="0.3">
      <c r="A886" s="2">
        <v>1408</v>
      </c>
      <c r="B886" s="2" t="s">
        <v>1490</v>
      </c>
      <c r="C886" s="3">
        <v>33795</v>
      </c>
      <c r="D886" s="2">
        <v>102</v>
      </c>
      <c r="E886" s="2" t="s">
        <v>49</v>
      </c>
      <c r="F886" s="2" t="s">
        <v>123</v>
      </c>
      <c r="G886" s="2" t="s">
        <v>179</v>
      </c>
      <c r="H886" s="2" t="s">
        <v>18</v>
      </c>
      <c r="I886" s="2" t="s">
        <v>19</v>
      </c>
      <c r="J886" s="2">
        <v>18</v>
      </c>
      <c r="K886" s="2">
        <v>23000000</v>
      </c>
      <c r="L886" s="2">
        <v>36300000</v>
      </c>
      <c r="M886" s="2">
        <v>0</v>
      </c>
      <c r="N886" s="2">
        <v>0</v>
      </c>
    </row>
    <row r="887" spans="1:14" x14ac:dyDescent="0.3">
      <c r="A887" s="2">
        <v>1409</v>
      </c>
      <c r="B887" s="2" t="s">
        <v>1491</v>
      </c>
      <c r="C887" s="3">
        <v>33459</v>
      </c>
      <c r="D887" s="2">
        <v>107</v>
      </c>
      <c r="E887" s="2" t="s">
        <v>22</v>
      </c>
      <c r="F887" s="2" t="s">
        <v>1492</v>
      </c>
      <c r="G887" s="2" t="s">
        <v>213</v>
      </c>
      <c r="H887" s="2" t="s">
        <v>18</v>
      </c>
      <c r="I887" s="2" t="s">
        <v>19</v>
      </c>
      <c r="J887" s="2">
        <v>18</v>
      </c>
      <c r="K887" s="2">
        <v>18000000</v>
      </c>
      <c r="L887" s="2">
        <v>80500000</v>
      </c>
      <c r="M887" s="2">
        <v>0</v>
      </c>
      <c r="N887" s="2">
        <v>0</v>
      </c>
    </row>
    <row r="888" spans="1:14" x14ac:dyDescent="0.3">
      <c r="A888" s="2">
        <v>1410</v>
      </c>
      <c r="B888" s="2" t="s">
        <v>1493</v>
      </c>
      <c r="C888" s="3">
        <v>33130</v>
      </c>
      <c r="D888" s="2">
        <v>89</v>
      </c>
      <c r="E888" s="2" t="s">
        <v>22</v>
      </c>
      <c r="F888" s="2" t="s">
        <v>1494</v>
      </c>
      <c r="G888" s="2" t="s">
        <v>1083</v>
      </c>
      <c r="H888" s="2" t="s">
        <v>18</v>
      </c>
      <c r="I888" s="2" t="s">
        <v>19</v>
      </c>
      <c r="J888" s="2">
        <v>18</v>
      </c>
      <c r="K888" s="2">
        <v>6000000</v>
      </c>
      <c r="L888" s="2">
        <v>46700000</v>
      </c>
      <c r="M888" s="2">
        <v>0</v>
      </c>
      <c r="N888" s="2">
        <v>0</v>
      </c>
    </row>
    <row r="889" spans="1:14" x14ac:dyDescent="0.3">
      <c r="A889" s="2">
        <v>1411</v>
      </c>
      <c r="B889" s="2" t="s">
        <v>1495</v>
      </c>
      <c r="C889" s="3">
        <v>32759</v>
      </c>
      <c r="D889" s="2">
        <v>103</v>
      </c>
      <c r="E889" s="2" t="s">
        <v>200</v>
      </c>
      <c r="F889" s="2" t="s">
        <v>1496</v>
      </c>
      <c r="G889" s="2" t="s">
        <v>1497</v>
      </c>
      <c r="H889" s="2" t="s">
        <v>18</v>
      </c>
      <c r="I889" s="2" t="s">
        <v>19</v>
      </c>
      <c r="J889" s="2">
        <v>18</v>
      </c>
      <c r="K889" s="2">
        <v>2700000</v>
      </c>
      <c r="L889" s="2">
        <v>14700000</v>
      </c>
      <c r="M889" s="2">
        <v>0</v>
      </c>
      <c r="N889" s="2">
        <v>0</v>
      </c>
    </row>
    <row r="890" spans="1:14" x14ac:dyDescent="0.3">
      <c r="A890" s="2">
        <v>1412</v>
      </c>
      <c r="B890" s="2" t="s">
        <v>1498</v>
      </c>
      <c r="C890" s="3">
        <v>32605</v>
      </c>
      <c r="D890" s="2">
        <v>82</v>
      </c>
      <c r="E890" s="2" t="s">
        <v>49</v>
      </c>
      <c r="F890" s="2" t="s">
        <v>1499</v>
      </c>
      <c r="G890" s="2" t="s">
        <v>1500</v>
      </c>
      <c r="H890" s="2" t="s">
        <v>18</v>
      </c>
      <c r="I890" s="2" t="s">
        <v>19</v>
      </c>
      <c r="J890" s="2">
        <v>18</v>
      </c>
      <c r="K890" s="2">
        <v>500000</v>
      </c>
      <c r="L890" s="2">
        <v>10200000</v>
      </c>
      <c r="M890" s="2">
        <v>0</v>
      </c>
      <c r="N890" s="2">
        <v>0</v>
      </c>
    </row>
    <row r="891" spans="1:14" x14ac:dyDescent="0.3">
      <c r="A891" s="2">
        <v>1413</v>
      </c>
      <c r="B891" s="2" t="s">
        <v>1501</v>
      </c>
      <c r="C891" s="3">
        <v>32199</v>
      </c>
      <c r="D891" s="2">
        <v>92</v>
      </c>
      <c r="E891" s="2" t="s">
        <v>200</v>
      </c>
      <c r="F891" s="2" t="s">
        <v>1502</v>
      </c>
      <c r="G891" s="2" t="s">
        <v>1500</v>
      </c>
      <c r="H891" s="2" t="s">
        <v>18</v>
      </c>
      <c r="I891" s="2" t="s">
        <v>19</v>
      </c>
      <c r="J891" s="2">
        <v>18</v>
      </c>
      <c r="K891" s="2">
        <v>2300000</v>
      </c>
      <c r="L891" s="2">
        <v>65000000</v>
      </c>
      <c r="M891" s="2">
        <v>0</v>
      </c>
      <c r="N891" s="2">
        <v>0</v>
      </c>
    </row>
    <row r="892" spans="1:14" x14ac:dyDescent="0.3">
      <c r="A892" s="2">
        <v>1414</v>
      </c>
      <c r="B892" s="2" t="s">
        <v>1503</v>
      </c>
      <c r="C892" s="3">
        <v>39829</v>
      </c>
      <c r="D892" s="2">
        <v>132</v>
      </c>
      <c r="E892" s="2" t="s">
        <v>150</v>
      </c>
      <c r="F892" s="2" t="s">
        <v>1504</v>
      </c>
      <c r="G892" s="2" t="s">
        <v>278</v>
      </c>
      <c r="H892" s="2" t="s">
        <v>18</v>
      </c>
      <c r="I892" s="2" t="s">
        <v>19</v>
      </c>
      <c r="J892" s="2">
        <v>18</v>
      </c>
      <c r="K892" s="2">
        <v>17000000</v>
      </c>
      <c r="L892" s="2">
        <v>36400000</v>
      </c>
      <c r="M892" s="2">
        <v>0</v>
      </c>
      <c r="N892" s="2">
        <v>0</v>
      </c>
    </row>
    <row r="893" spans="1:14" x14ac:dyDescent="0.3">
      <c r="A893" s="2">
        <v>1419</v>
      </c>
      <c r="B893" s="2" t="s">
        <v>1509</v>
      </c>
      <c r="C893" s="3">
        <v>21179</v>
      </c>
      <c r="D893" s="2">
        <v>88</v>
      </c>
      <c r="E893" s="2" t="s">
        <v>45</v>
      </c>
      <c r="F893" s="2" t="s">
        <v>1007</v>
      </c>
      <c r="G893" s="2" t="s">
        <v>1086</v>
      </c>
      <c r="H893" s="2" t="s">
        <v>18</v>
      </c>
      <c r="I893" s="2" t="s">
        <v>19</v>
      </c>
      <c r="J893" s="2" t="s">
        <v>20</v>
      </c>
      <c r="K893" s="2">
        <v>900000</v>
      </c>
      <c r="L893" s="2">
        <v>900000</v>
      </c>
      <c r="M893" s="2">
        <v>0</v>
      </c>
      <c r="N893" s="2">
        <v>0</v>
      </c>
    </row>
    <row r="894" spans="1:14" x14ac:dyDescent="0.3">
      <c r="A894" s="2">
        <v>1420</v>
      </c>
      <c r="B894" s="2" t="s">
        <v>1510</v>
      </c>
      <c r="C894" s="3">
        <v>17538</v>
      </c>
      <c r="D894" s="2">
        <v>126</v>
      </c>
      <c r="E894" s="2" t="s">
        <v>360</v>
      </c>
      <c r="F894" s="2" t="s">
        <v>894</v>
      </c>
      <c r="G894" s="2" t="s">
        <v>130</v>
      </c>
      <c r="H894" s="2" t="s">
        <v>18</v>
      </c>
      <c r="I894" s="2" t="s">
        <v>19</v>
      </c>
      <c r="J894" s="2" t="s">
        <v>20</v>
      </c>
      <c r="K894" s="2">
        <v>3000000</v>
      </c>
      <c r="L894" s="2">
        <v>4307000</v>
      </c>
      <c r="M894" s="2">
        <v>4</v>
      </c>
      <c r="N894" s="2">
        <v>3</v>
      </c>
    </row>
    <row r="895" spans="1:14" x14ac:dyDescent="0.3">
      <c r="A895" s="2">
        <v>1422</v>
      </c>
      <c r="B895" s="2" t="s">
        <v>1511</v>
      </c>
      <c r="C895" s="3">
        <v>22012</v>
      </c>
      <c r="D895" s="2">
        <v>125</v>
      </c>
      <c r="E895" s="2" t="s">
        <v>360</v>
      </c>
      <c r="F895" s="2" t="s">
        <v>894</v>
      </c>
      <c r="G895" s="2" t="s">
        <v>417</v>
      </c>
      <c r="H895" s="2" t="s">
        <v>18</v>
      </c>
      <c r="I895" s="2" t="s">
        <v>19</v>
      </c>
      <c r="J895" s="2" t="s">
        <v>20</v>
      </c>
      <c r="K895" s="2">
        <v>5000000</v>
      </c>
      <c r="L895" s="2">
        <v>3200000</v>
      </c>
      <c r="M895" s="2">
        <v>0</v>
      </c>
      <c r="N895" s="2">
        <v>0</v>
      </c>
    </row>
    <row r="896" spans="1:14" x14ac:dyDescent="0.3">
      <c r="A896" s="2">
        <v>1423</v>
      </c>
      <c r="B896" s="2" t="s">
        <v>1512</v>
      </c>
      <c r="C896" s="3">
        <v>33819</v>
      </c>
      <c r="D896" s="2">
        <v>131</v>
      </c>
      <c r="E896" s="2" t="s">
        <v>360</v>
      </c>
      <c r="F896" s="2" t="s">
        <v>311</v>
      </c>
      <c r="G896" s="2" t="s">
        <v>429</v>
      </c>
      <c r="H896" s="2" t="s">
        <v>18</v>
      </c>
      <c r="I896" s="2" t="s">
        <v>19</v>
      </c>
      <c r="J896" s="2">
        <v>15</v>
      </c>
      <c r="K896" s="2">
        <v>14400000</v>
      </c>
      <c r="L896" s="2">
        <v>159200000</v>
      </c>
      <c r="M896" s="2">
        <v>9</v>
      </c>
      <c r="N896" s="2">
        <v>4</v>
      </c>
    </row>
    <row r="897" spans="1:14" x14ac:dyDescent="0.3">
      <c r="A897" s="2">
        <v>1431</v>
      </c>
      <c r="B897" s="2" t="s">
        <v>1516</v>
      </c>
      <c r="C897" s="3">
        <v>25053</v>
      </c>
      <c r="D897" s="2">
        <v>114</v>
      </c>
      <c r="E897" s="2" t="s">
        <v>360</v>
      </c>
      <c r="F897" s="2" t="s">
        <v>989</v>
      </c>
      <c r="G897" s="2" t="s">
        <v>429</v>
      </c>
      <c r="H897" s="2" t="s">
        <v>18</v>
      </c>
      <c r="I897" s="2" t="s">
        <v>19</v>
      </c>
      <c r="J897" s="2">
        <v>18</v>
      </c>
      <c r="K897" s="2">
        <v>1600000</v>
      </c>
      <c r="L897" s="2">
        <v>6800000</v>
      </c>
      <c r="M897" s="2">
        <v>0</v>
      </c>
      <c r="N897" s="2">
        <v>0</v>
      </c>
    </row>
    <row r="898" spans="1:14" x14ac:dyDescent="0.3">
      <c r="A898" s="2">
        <v>1432</v>
      </c>
      <c r="B898" s="2" t="s">
        <v>1517</v>
      </c>
      <c r="C898" s="3">
        <v>25113</v>
      </c>
      <c r="D898" s="2">
        <v>93</v>
      </c>
      <c r="E898" s="2" t="s">
        <v>22</v>
      </c>
      <c r="F898" s="2" t="s">
        <v>1005</v>
      </c>
      <c r="G898" s="2" t="s">
        <v>429</v>
      </c>
      <c r="H898" s="2" t="s">
        <v>18</v>
      </c>
      <c r="I898" s="2" t="s">
        <v>19</v>
      </c>
      <c r="J898" s="2">
        <v>15</v>
      </c>
      <c r="K898" s="2">
        <v>1500000</v>
      </c>
      <c r="L898" s="2">
        <v>3110000</v>
      </c>
      <c r="M898" s="2">
        <v>0</v>
      </c>
      <c r="N898" s="2">
        <v>0</v>
      </c>
    </row>
    <row r="899" spans="1:14" x14ac:dyDescent="0.3">
      <c r="A899" s="2">
        <v>1434</v>
      </c>
      <c r="B899" s="2" t="s">
        <v>1520</v>
      </c>
      <c r="C899" s="3">
        <v>25742</v>
      </c>
      <c r="D899" s="2">
        <v>146</v>
      </c>
      <c r="E899" s="2" t="s">
        <v>45</v>
      </c>
      <c r="F899" s="2" t="s">
        <v>1519</v>
      </c>
      <c r="G899" s="2" t="s">
        <v>834</v>
      </c>
      <c r="H899" s="2" t="s">
        <v>18</v>
      </c>
      <c r="I899" s="2" t="s">
        <v>19</v>
      </c>
      <c r="J899" s="2" t="s">
        <v>20</v>
      </c>
      <c r="K899" s="2">
        <v>4000000</v>
      </c>
      <c r="L899" s="2">
        <v>5200000</v>
      </c>
      <c r="M899" s="2">
        <v>0</v>
      </c>
      <c r="N899" s="2">
        <v>0</v>
      </c>
    </row>
    <row r="900" spans="1:14" x14ac:dyDescent="0.3">
      <c r="A900" s="2">
        <v>1436</v>
      </c>
      <c r="B900" s="2" t="s">
        <v>1521</v>
      </c>
      <c r="C900" s="3">
        <v>27941</v>
      </c>
      <c r="D900" s="2">
        <v>135</v>
      </c>
      <c r="E900" s="2" t="s">
        <v>360</v>
      </c>
      <c r="F900" s="2" t="s">
        <v>311</v>
      </c>
      <c r="G900" s="2" t="s">
        <v>429</v>
      </c>
      <c r="H900" s="2" t="s">
        <v>18</v>
      </c>
      <c r="I900" s="2" t="s">
        <v>19</v>
      </c>
      <c r="J900" s="2">
        <v>18</v>
      </c>
      <c r="K900" s="2">
        <v>3700000</v>
      </c>
      <c r="L900" s="2">
        <v>31800000</v>
      </c>
      <c r="M900" s="2">
        <v>1</v>
      </c>
      <c r="N900" s="2">
        <v>0</v>
      </c>
    </row>
    <row r="901" spans="1:14" x14ac:dyDescent="0.3">
      <c r="A901" s="2">
        <v>1437</v>
      </c>
      <c r="B901" s="2" t="s">
        <v>1522</v>
      </c>
      <c r="C901" s="3">
        <v>31751</v>
      </c>
      <c r="D901" s="2">
        <v>130</v>
      </c>
      <c r="E901" s="2" t="s">
        <v>45</v>
      </c>
      <c r="F901" s="2" t="s">
        <v>311</v>
      </c>
      <c r="G901" s="2" t="s">
        <v>429</v>
      </c>
      <c r="H901" s="2" t="s">
        <v>18</v>
      </c>
      <c r="I901" s="2" t="s">
        <v>19</v>
      </c>
      <c r="J901" s="2">
        <v>15</v>
      </c>
      <c r="K901" s="2">
        <v>15000000</v>
      </c>
      <c r="L901" s="2">
        <v>121700000</v>
      </c>
      <c r="M901" s="2">
        <v>1</v>
      </c>
      <c r="N901" s="2">
        <v>0</v>
      </c>
    </row>
    <row r="902" spans="1:14" x14ac:dyDescent="0.3">
      <c r="A902" s="2">
        <v>1438</v>
      </c>
      <c r="B902" s="2" t="s">
        <v>1523</v>
      </c>
      <c r="C902" s="3">
        <v>32337</v>
      </c>
      <c r="D902" s="2">
        <v>91</v>
      </c>
      <c r="E902" s="2" t="s">
        <v>84</v>
      </c>
      <c r="F902" s="2" t="s">
        <v>912</v>
      </c>
      <c r="G902" s="2" t="s">
        <v>429</v>
      </c>
      <c r="H902" s="2" t="s">
        <v>18</v>
      </c>
      <c r="I902" s="2" t="s">
        <v>19</v>
      </c>
      <c r="J902" s="2">
        <v>18</v>
      </c>
      <c r="K902" s="2">
        <v>31000000</v>
      </c>
      <c r="L902" s="2">
        <v>37903000</v>
      </c>
      <c r="M902" s="2">
        <v>0</v>
      </c>
      <c r="N902" s="2">
        <v>0</v>
      </c>
    </row>
    <row r="903" spans="1:14" x14ac:dyDescent="0.3">
      <c r="A903" s="2">
        <v>1439</v>
      </c>
      <c r="B903" s="2" t="s">
        <v>1524</v>
      </c>
      <c r="C903" s="3">
        <v>36739</v>
      </c>
      <c r="D903" s="2">
        <v>130</v>
      </c>
      <c r="E903" s="2" t="s">
        <v>84</v>
      </c>
      <c r="F903" s="2" t="s">
        <v>311</v>
      </c>
      <c r="G903" s="2" t="s">
        <v>429</v>
      </c>
      <c r="H903" s="2" t="s">
        <v>18</v>
      </c>
      <c r="I903" s="2" t="s">
        <v>19</v>
      </c>
      <c r="J903" s="2" t="s">
        <v>20</v>
      </c>
      <c r="K903" s="2">
        <v>60000000</v>
      </c>
      <c r="L903" s="2">
        <v>128900000</v>
      </c>
      <c r="M903" s="2">
        <v>1</v>
      </c>
      <c r="N903" s="2">
        <v>0</v>
      </c>
    </row>
    <row r="904" spans="1:14" x14ac:dyDescent="0.3">
      <c r="A904" s="2">
        <v>1440</v>
      </c>
      <c r="B904" s="2" t="s">
        <v>1525</v>
      </c>
      <c r="C904" s="3">
        <v>39794</v>
      </c>
      <c r="D904" s="2">
        <v>116</v>
      </c>
      <c r="E904" s="2" t="s">
        <v>190</v>
      </c>
      <c r="F904" s="2" t="s">
        <v>311</v>
      </c>
      <c r="G904" s="2" t="s">
        <v>429</v>
      </c>
      <c r="H904" s="2" t="s">
        <v>18</v>
      </c>
      <c r="I904" s="2" t="s">
        <v>19</v>
      </c>
      <c r="J904" s="2">
        <v>15</v>
      </c>
      <c r="K904" s="2">
        <v>33000000</v>
      </c>
      <c r="L904" s="2">
        <v>270000000</v>
      </c>
      <c r="M904" s="2">
        <v>0</v>
      </c>
      <c r="N904" s="2">
        <v>0</v>
      </c>
    </row>
    <row r="905" spans="1:14" x14ac:dyDescent="0.3">
      <c r="A905" s="2">
        <v>1441</v>
      </c>
      <c r="B905" s="2" t="s">
        <v>1526</v>
      </c>
      <c r="C905" s="3">
        <v>40158</v>
      </c>
      <c r="D905" s="2">
        <v>133</v>
      </c>
      <c r="E905" s="2" t="s">
        <v>364</v>
      </c>
      <c r="F905" s="2" t="s">
        <v>311</v>
      </c>
      <c r="G905" s="2" t="s">
        <v>429</v>
      </c>
      <c r="H905" s="2" t="s">
        <v>18</v>
      </c>
      <c r="I905" s="2" t="s">
        <v>19</v>
      </c>
      <c r="J905" s="2" t="s">
        <v>25</v>
      </c>
      <c r="K905" s="2">
        <v>60000000</v>
      </c>
      <c r="L905" s="2">
        <v>122200000</v>
      </c>
      <c r="M905" s="2">
        <v>0</v>
      </c>
      <c r="N905" s="2">
        <v>0</v>
      </c>
    </row>
    <row r="906" spans="1:14" x14ac:dyDescent="0.3">
      <c r="A906" s="2">
        <v>1442</v>
      </c>
      <c r="B906" s="2" t="s">
        <v>1527</v>
      </c>
      <c r="C906" s="3">
        <v>41954</v>
      </c>
      <c r="D906" s="2">
        <v>132</v>
      </c>
      <c r="E906" s="2" t="s">
        <v>166</v>
      </c>
      <c r="F906" s="2" t="s">
        <v>311</v>
      </c>
      <c r="G906" s="2" t="s">
        <v>70</v>
      </c>
      <c r="H906" s="2" t="s">
        <v>18</v>
      </c>
      <c r="I906" s="2" t="s">
        <v>19</v>
      </c>
      <c r="J906" s="2">
        <v>15</v>
      </c>
      <c r="K906" s="2">
        <v>58800000</v>
      </c>
      <c r="L906" s="2">
        <v>547400000</v>
      </c>
      <c r="M906" s="2">
        <v>6</v>
      </c>
      <c r="N906" s="2">
        <v>1</v>
      </c>
    </row>
    <row r="907" spans="1:14" x14ac:dyDescent="0.3">
      <c r="A907" s="2">
        <v>1443</v>
      </c>
      <c r="B907" s="2" t="s">
        <v>1528</v>
      </c>
      <c r="C907" s="3">
        <v>42615</v>
      </c>
      <c r="D907" s="2">
        <v>96</v>
      </c>
      <c r="E907" s="2" t="s">
        <v>166</v>
      </c>
      <c r="F907" s="2" t="s">
        <v>311</v>
      </c>
      <c r="G907" s="2" t="s">
        <v>70</v>
      </c>
      <c r="H907" s="2" t="s">
        <v>18</v>
      </c>
      <c r="I907" s="2" t="s">
        <v>19</v>
      </c>
      <c r="J907" s="2" t="s">
        <v>25</v>
      </c>
      <c r="K907" s="2">
        <v>60000000</v>
      </c>
      <c r="L907" s="2">
        <v>200700000</v>
      </c>
      <c r="M907" s="2">
        <v>0</v>
      </c>
      <c r="N907" s="2">
        <v>0</v>
      </c>
    </row>
    <row r="908" spans="1:14" x14ac:dyDescent="0.3">
      <c r="A908" s="2">
        <v>1444</v>
      </c>
      <c r="B908" s="2" t="s">
        <v>1529</v>
      </c>
      <c r="C908" s="3">
        <v>40850</v>
      </c>
      <c r="D908" s="2">
        <v>137</v>
      </c>
      <c r="E908" s="2" t="s">
        <v>166</v>
      </c>
      <c r="F908" s="2" t="s">
        <v>311</v>
      </c>
      <c r="G908" s="2" t="s">
        <v>119</v>
      </c>
      <c r="H908" s="2" t="s">
        <v>18</v>
      </c>
      <c r="I908" s="2" t="s">
        <v>19</v>
      </c>
      <c r="J908" s="2">
        <v>15</v>
      </c>
      <c r="K908" s="2">
        <v>35000000</v>
      </c>
      <c r="L908" s="2">
        <v>84600000</v>
      </c>
      <c r="M908" s="2">
        <v>0</v>
      </c>
      <c r="N908" s="2">
        <v>0</v>
      </c>
    </row>
    <row r="909" spans="1:14" x14ac:dyDescent="0.3">
      <c r="A909" s="2">
        <v>1445</v>
      </c>
      <c r="B909" s="2" t="s">
        <v>1530</v>
      </c>
      <c r="C909" s="3">
        <v>39745</v>
      </c>
      <c r="D909" s="2">
        <v>141</v>
      </c>
      <c r="E909" s="2" t="s">
        <v>166</v>
      </c>
      <c r="F909" s="2" t="s">
        <v>311</v>
      </c>
      <c r="G909" s="2" t="s">
        <v>119</v>
      </c>
      <c r="H909" s="2" t="s">
        <v>18</v>
      </c>
      <c r="I909" s="2" t="s">
        <v>19</v>
      </c>
      <c r="J909" s="2">
        <v>15</v>
      </c>
      <c r="K909" s="2">
        <v>55000000</v>
      </c>
      <c r="L909" s="2">
        <v>113000000</v>
      </c>
      <c r="M909" s="2">
        <v>3</v>
      </c>
      <c r="N909" s="2">
        <v>0</v>
      </c>
    </row>
    <row r="910" spans="1:14" x14ac:dyDescent="0.3">
      <c r="A910" s="2">
        <v>1446</v>
      </c>
      <c r="B910" s="2" t="s">
        <v>1531</v>
      </c>
      <c r="C910" s="3">
        <v>38329</v>
      </c>
      <c r="D910" s="2">
        <v>113</v>
      </c>
      <c r="E910" s="2" t="s">
        <v>22</v>
      </c>
      <c r="F910" s="2" t="s">
        <v>1532</v>
      </c>
      <c r="G910" s="2" t="s">
        <v>24</v>
      </c>
      <c r="H910" s="2" t="s">
        <v>18</v>
      </c>
      <c r="I910" s="2" t="s">
        <v>19</v>
      </c>
      <c r="J910" s="2">
        <v>15</v>
      </c>
      <c r="K910" s="2">
        <v>65000000</v>
      </c>
      <c r="L910" s="2">
        <v>128900000</v>
      </c>
      <c r="M910" s="2">
        <v>0</v>
      </c>
      <c r="N910" s="2">
        <v>0</v>
      </c>
    </row>
    <row r="911" spans="1:14" x14ac:dyDescent="0.3">
      <c r="A911" s="2">
        <v>1447</v>
      </c>
      <c r="B911" s="2" t="s">
        <v>1533</v>
      </c>
      <c r="C911" s="3">
        <v>35860</v>
      </c>
      <c r="D911" s="2">
        <v>131</v>
      </c>
      <c r="E911" s="2" t="s">
        <v>84</v>
      </c>
      <c r="F911" s="2" t="s">
        <v>293</v>
      </c>
      <c r="G911" s="2" t="s">
        <v>732</v>
      </c>
      <c r="H911" s="2" t="s">
        <v>18</v>
      </c>
      <c r="I911" s="2" t="s">
        <v>19</v>
      </c>
      <c r="J911" s="2">
        <v>15</v>
      </c>
      <c r="K911" s="2">
        <v>45000000</v>
      </c>
      <c r="L911" s="2">
        <v>102400000</v>
      </c>
      <c r="M911" s="2">
        <v>0</v>
      </c>
      <c r="N911" s="2">
        <v>0</v>
      </c>
    </row>
    <row r="912" spans="1:14" x14ac:dyDescent="0.3">
      <c r="A912" s="2">
        <v>1448</v>
      </c>
      <c r="B912" s="2" t="s">
        <v>1534</v>
      </c>
      <c r="C912" s="3">
        <v>34677</v>
      </c>
      <c r="D912" s="2">
        <v>101</v>
      </c>
      <c r="E912" s="2" t="s">
        <v>22</v>
      </c>
      <c r="F912" s="2" t="s">
        <v>839</v>
      </c>
      <c r="G912" s="2" t="s">
        <v>257</v>
      </c>
      <c r="H912" s="2" t="s">
        <v>18</v>
      </c>
      <c r="I912" s="2" t="s">
        <v>19</v>
      </c>
      <c r="J912" s="2">
        <v>15</v>
      </c>
      <c r="K912" s="2">
        <v>45000000</v>
      </c>
      <c r="L912" s="2">
        <v>28735000</v>
      </c>
      <c r="M912" s="2">
        <v>0</v>
      </c>
      <c r="N912" s="2">
        <v>0</v>
      </c>
    </row>
    <row r="913" spans="1:14" x14ac:dyDescent="0.3">
      <c r="A913" s="2">
        <v>1449</v>
      </c>
      <c r="B913" s="2" t="s">
        <v>1535</v>
      </c>
      <c r="C913" s="3">
        <v>34250</v>
      </c>
      <c r="D913" s="2">
        <v>115</v>
      </c>
      <c r="E913" s="2" t="s">
        <v>22</v>
      </c>
      <c r="F913" s="2" t="s">
        <v>1536</v>
      </c>
      <c r="G913" s="2" t="s">
        <v>89</v>
      </c>
      <c r="H913" s="2" t="s">
        <v>18</v>
      </c>
      <c r="I913" s="2" t="s">
        <v>19</v>
      </c>
      <c r="J913" s="2">
        <v>15</v>
      </c>
      <c r="K913" s="2">
        <v>57000000</v>
      </c>
      <c r="L913" s="2">
        <v>159100000</v>
      </c>
      <c r="M913" s="2">
        <v>0</v>
      </c>
      <c r="N913" s="2">
        <v>0</v>
      </c>
    </row>
    <row r="914" spans="1:14" x14ac:dyDescent="0.3">
      <c r="A914" s="2">
        <v>1450</v>
      </c>
      <c r="B914" s="2" t="s">
        <v>1537</v>
      </c>
      <c r="C914" s="3">
        <v>33914</v>
      </c>
      <c r="D914" s="2">
        <v>84</v>
      </c>
      <c r="E914" s="2" t="s">
        <v>22</v>
      </c>
      <c r="F914" s="2" t="s">
        <v>1538</v>
      </c>
      <c r="G914" s="2" t="s">
        <v>130</v>
      </c>
      <c r="H914" s="2" t="s">
        <v>18</v>
      </c>
      <c r="I914" s="2" t="s">
        <v>19</v>
      </c>
      <c r="J914" s="2">
        <v>15</v>
      </c>
      <c r="K914" s="2">
        <v>15000000</v>
      </c>
      <c r="L914" s="2">
        <v>44065000</v>
      </c>
      <c r="M914" s="2">
        <v>0</v>
      </c>
      <c r="N914" s="2">
        <v>0</v>
      </c>
    </row>
    <row r="915" spans="1:14" x14ac:dyDescent="0.3">
      <c r="A915" s="2">
        <v>1451</v>
      </c>
      <c r="B915" s="2" t="s">
        <v>1539</v>
      </c>
      <c r="C915" s="3">
        <v>32045</v>
      </c>
      <c r="D915" s="2">
        <v>98</v>
      </c>
      <c r="E915" s="2" t="s">
        <v>52</v>
      </c>
      <c r="F915" s="2" t="s">
        <v>778</v>
      </c>
      <c r="G915" s="2" t="s">
        <v>1540</v>
      </c>
      <c r="H915" s="2" t="s">
        <v>18</v>
      </c>
      <c r="I915" s="2" t="s">
        <v>19</v>
      </c>
      <c r="J915" s="2" t="s">
        <v>20</v>
      </c>
      <c r="K915" s="2">
        <v>16000000</v>
      </c>
      <c r="L915" s="2">
        <v>30900000</v>
      </c>
      <c r="M915" s="2">
        <v>1</v>
      </c>
      <c r="N915" s="2">
        <v>0</v>
      </c>
    </row>
    <row r="916" spans="1:14" x14ac:dyDescent="0.3">
      <c r="A916" s="2">
        <v>1452</v>
      </c>
      <c r="B916" s="2" t="s">
        <v>1541</v>
      </c>
      <c r="C916" s="3">
        <v>29357</v>
      </c>
      <c r="D916" s="2">
        <v>99</v>
      </c>
      <c r="E916" s="2" t="s">
        <v>360</v>
      </c>
      <c r="F916" s="2" t="s">
        <v>890</v>
      </c>
      <c r="G916" s="2" t="s">
        <v>417</v>
      </c>
      <c r="H916" s="2" t="s">
        <v>18</v>
      </c>
      <c r="I916" s="2" t="s">
        <v>19</v>
      </c>
      <c r="J916" s="2">
        <v>18</v>
      </c>
      <c r="K916" s="2">
        <v>8000000</v>
      </c>
      <c r="L916" s="2">
        <v>15795000</v>
      </c>
      <c r="M916" s="2">
        <v>0</v>
      </c>
      <c r="N916" s="2">
        <v>0</v>
      </c>
    </row>
    <row r="917" spans="1:14" x14ac:dyDescent="0.3">
      <c r="A917" s="2">
        <v>1453</v>
      </c>
      <c r="B917" s="2" t="s">
        <v>1542</v>
      </c>
      <c r="C917" s="3">
        <v>25372</v>
      </c>
      <c r="D917" s="2">
        <v>143</v>
      </c>
      <c r="E917" s="2" t="s">
        <v>360</v>
      </c>
      <c r="F917" s="2" t="s">
        <v>1543</v>
      </c>
      <c r="G917" s="2" t="s">
        <v>1214</v>
      </c>
      <c r="H917" s="2" t="s">
        <v>18</v>
      </c>
      <c r="I917" s="2" t="s">
        <v>19</v>
      </c>
      <c r="J917" s="2">
        <v>18</v>
      </c>
      <c r="K917" s="2">
        <v>6000000</v>
      </c>
      <c r="L917" s="2">
        <v>11138000</v>
      </c>
      <c r="M917" s="2">
        <v>2</v>
      </c>
      <c r="N917" s="2">
        <v>0</v>
      </c>
    </row>
    <row r="918" spans="1:14" x14ac:dyDescent="0.3">
      <c r="A918" s="2">
        <v>1454</v>
      </c>
      <c r="B918" s="2" t="s">
        <v>1544</v>
      </c>
      <c r="C918" s="3">
        <v>36098</v>
      </c>
      <c r="D918" s="2">
        <v>119</v>
      </c>
      <c r="E918" s="2" t="s">
        <v>190</v>
      </c>
      <c r="F918" s="2" t="s">
        <v>1545</v>
      </c>
      <c r="G918" s="2" t="s">
        <v>204</v>
      </c>
      <c r="H918" s="2" t="s">
        <v>18</v>
      </c>
      <c r="I918" s="2" t="s">
        <v>19</v>
      </c>
      <c r="J918" s="2">
        <v>18</v>
      </c>
      <c r="K918" s="2">
        <v>20000000</v>
      </c>
      <c r="L918" s="2">
        <v>23900000</v>
      </c>
      <c r="M918" s="2">
        <v>1</v>
      </c>
      <c r="N918" s="2">
        <v>0</v>
      </c>
    </row>
    <row r="919" spans="1:14" x14ac:dyDescent="0.3">
      <c r="A919" s="2">
        <v>1455</v>
      </c>
      <c r="B919" s="2" t="s">
        <v>1546</v>
      </c>
      <c r="C919" s="3">
        <v>28669</v>
      </c>
      <c r="D919" s="2">
        <v>112</v>
      </c>
      <c r="E919" s="2" t="s">
        <v>22</v>
      </c>
      <c r="F919" s="2" t="s">
        <v>1543</v>
      </c>
      <c r="G919" s="2" t="s">
        <v>944</v>
      </c>
      <c r="H919" s="2" t="s">
        <v>18</v>
      </c>
      <c r="I919" s="2" t="s">
        <v>19</v>
      </c>
      <c r="J919" s="2">
        <v>15</v>
      </c>
      <c r="K919" s="2">
        <v>12000000</v>
      </c>
      <c r="L919" s="2">
        <v>45000000</v>
      </c>
      <c r="M919" s="2">
        <v>0</v>
      </c>
      <c r="N919" s="2">
        <v>0</v>
      </c>
    </row>
    <row r="920" spans="1:14" x14ac:dyDescent="0.3">
      <c r="A920" s="2">
        <v>1457</v>
      </c>
      <c r="B920" s="2" t="s">
        <v>1548</v>
      </c>
      <c r="C920" s="3">
        <v>26646</v>
      </c>
      <c r="D920" s="2">
        <v>122</v>
      </c>
      <c r="E920" s="2" t="s">
        <v>150</v>
      </c>
      <c r="F920" s="2" t="s">
        <v>1543</v>
      </c>
      <c r="G920" s="2" t="s">
        <v>1549</v>
      </c>
      <c r="H920" s="2" t="s">
        <v>18</v>
      </c>
      <c r="I920" s="2" t="s">
        <v>19</v>
      </c>
      <c r="J920" s="2">
        <v>18</v>
      </c>
      <c r="K920" s="2">
        <v>3350000</v>
      </c>
      <c r="L920" s="2">
        <v>36734000</v>
      </c>
      <c r="M920" s="2">
        <v>0</v>
      </c>
      <c r="N920" s="2">
        <v>0</v>
      </c>
    </row>
    <row r="921" spans="1:14" x14ac:dyDescent="0.3">
      <c r="A921" s="2">
        <v>1458</v>
      </c>
      <c r="B921" s="2" t="s">
        <v>1550</v>
      </c>
      <c r="C921" s="3">
        <v>26296</v>
      </c>
      <c r="D921" s="2">
        <v>117</v>
      </c>
      <c r="E921" s="2" t="s">
        <v>84</v>
      </c>
      <c r="F921" s="2" t="s">
        <v>1543</v>
      </c>
      <c r="G921" s="2" t="s">
        <v>1551</v>
      </c>
      <c r="H921" s="2" t="s">
        <v>18</v>
      </c>
      <c r="I921" s="2" t="s">
        <v>19</v>
      </c>
      <c r="J921" s="2">
        <v>18</v>
      </c>
      <c r="K921" s="2">
        <v>2200000</v>
      </c>
      <c r="L921" s="2">
        <v>8000000</v>
      </c>
      <c r="M921" s="2">
        <v>1</v>
      </c>
      <c r="N921" s="2">
        <v>0</v>
      </c>
    </row>
    <row r="922" spans="1:14" x14ac:dyDescent="0.3">
      <c r="A922" s="2">
        <v>1459</v>
      </c>
      <c r="B922" s="2" t="s">
        <v>1552</v>
      </c>
      <c r="C922" s="3">
        <v>22634</v>
      </c>
      <c r="D922" s="2">
        <v>179</v>
      </c>
      <c r="E922" s="2" t="s">
        <v>190</v>
      </c>
      <c r="F922" s="2" t="s">
        <v>1063</v>
      </c>
      <c r="G922" s="2" t="s">
        <v>417</v>
      </c>
      <c r="H922" s="2" t="s">
        <v>18</v>
      </c>
      <c r="I922" s="2" t="s">
        <v>19</v>
      </c>
      <c r="J922" s="2" t="s">
        <v>20</v>
      </c>
      <c r="K922" s="2">
        <v>3000000</v>
      </c>
      <c r="L922" s="2">
        <v>10000000</v>
      </c>
      <c r="M922" s="2">
        <v>11</v>
      </c>
      <c r="N922" s="2">
        <v>2</v>
      </c>
    </row>
    <row r="923" spans="1:14" x14ac:dyDescent="0.3">
      <c r="A923" s="2">
        <v>1460</v>
      </c>
      <c r="B923" s="2" t="s">
        <v>1553</v>
      </c>
      <c r="C923" s="3">
        <v>23182</v>
      </c>
      <c r="D923" s="2">
        <v>172</v>
      </c>
      <c r="E923" s="2" t="s">
        <v>45</v>
      </c>
      <c r="F923" s="2" t="s">
        <v>1108</v>
      </c>
      <c r="G923" s="2" t="s">
        <v>1002</v>
      </c>
      <c r="H923" s="2" t="s">
        <v>18</v>
      </c>
      <c r="I923" s="2" t="s">
        <v>19</v>
      </c>
      <c r="J923" s="2" t="s">
        <v>20</v>
      </c>
      <c r="K923" s="2">
        <v>3800000</v>
      </c>
      <c r="L923" s="2">
        <v>11744000</v>
      </c>
      <c r="M923" s="2">
        <v>1</v>
      </c>
      <c r="N923" s="2">
        <v>0</v>
      </c>
    </row>
    <row r="924" spans="1:14" x14ac:dyDescent="0.3">
      <c r="A924" s="2">
        <v>1463</v>
      </c>
      <c r="B924" s="2" t="s">
        <v>1558</v>
      </c>
      <c r="C924" s="3">
        <v>42558</v>
      </c>
      <c r="D924" s="2">
        <v>122</v>
      </c>
      <c r="E924" s="2" t="s">
        <v>49</v>
      </c>
      <c r="F924" s="2" t="s">
        <v>561</v>
      </c>
      <c r="G924" s="2" t="s">
        <v>590</v>
      </c>
      <c r="H924" s="2" t="s">
        <v>18</v>
      </c>
      <c r="I924" s="2" t="s">
        <v>19</v>
      </c>
      <c r="J924" s="2" t="s">
        <v>25</v>
      </c>
      <c r="K924" s="2">
        <v>185000000</v>
      </c>
      <c r="L924" s="2">
        <v>343500000</v>
      </c>
      <c r="M924" s="2">
        <v>0</v>
      </c>
      <c r="N924" s="2">
        <v>0</v>
      </c>
    </row>
    <row r="925" spans="1:14" x14ac:dyDescent="0.3">
      <c r="A925" s="2">
        <v>1464</v>
      </c>
      <c r="B925" s="2" t="s">
        <v>1559</v>
      </c>
      <c r="C925" s="3">
        <v>41387</v>
      </c>
      <c r="D925" s="2">
        <v>133</v>
      </c>
      <c r="E925" s="2" t="s">
        <v>49</v>
      </c>
      <c r="F925" s="2" t="s">
        <v>132</v>
      </c>
      <c r="G925" s="2" t="s">
        <v>590</v>
      </c>
      <c r="H925" s="2" t="s">
        <v>18</v>
      </c>
      <c r="I925" s="2" t="s">
        <v>19</v>
      </c>
      <c r="J925" s="2">
        <v>12</v>
      </c>
      <c r="K925" s="2">
        <v>185000000</v>
      </c>
      <c r="L925" s="2">
        <v>467400000</v>
      </c>
      <c r="M925" s="2">
        <v>1</v>
      </c>
      <c r="N925" s="2">
        <v>0</v>
      </c>
    </row>
    <row r="926" spans="1:14" x14ac:dyDescent="0.3">
      <c r="A926" s="2">
        <v>1465</v>
      </c>
      <c r="B926" s="2" t="s">
        <v>1560</v>
      </c>
      <c r="C926" s="3">
        <v>39910</v>
      </c>
      <c r="D926" s="2">
        <v>127</v>
      </c>
      <c r="E926" s="2" t="s">
        <v>49</v>
      </c>
      <c r="F926" s="2" t="s">
        <v>132</v>
      </c>
      <c r="G926" s="2" t="s">
        <v>590</v>
      </c>
      <c r="H926" s="2" t="s">
        <v>18</v>
      </c>
      <c r="I926" s="2" t="s">
        <v>19</v>
      </c>
      <c r="J926" s="2">
        <v>12</v>
      </c>
      <c r="K926" s="2">
        <v>150000000</v>
      </c>
      <c r="L926" s="2">
        <v>385700000</v>
      </c>
      <c r="M926" s="2">
        <v>4</v>
      </c>
      <c r="N926" s="2">
        <v>1</v>
      </c>
    </row>
    <row r="927" spans="1:14" x14ac:dyDescent="0.3">
      <c r="A927" s="2">
        <v>1466</v>
      </c>
      <c r="B927" s="2" t="s">
        <v>1561</v>
      </c>
      <c r="C927" s="3">
        <v>31975</v>
      </c>
      <c r="D927" s="2">
        <v>101</v>
      </c>
      <c r="E927" s="2" t="s">
        <v>49</v>
      </c>
      <c r="F927" s="2" t="s">
        <v>272</v>
      </c>
      <c r="G927" s="2" t="s">
        <v>793</v>
      </c>
      <c r="H927" s="2" t="s">
        <v>18</v>
      </c>
      <c r="I927" s="2" t="s">
        <v>19</v>
      </c>
      <c r="J927" s="2">
        <v>18</v>
      </c>
      <c r="K927" s="2">
        <v>13000000</v>
      </c>
      <c r="L927" s="2">
        <v>53400000</v>
      </c>
      <c r="M927" s="2">
        <v>2</v>
      </c>
      <c r="N927" s="2">
        <v>0</v>
      </c>
    </row>
    <row r="928" spans="1:14" x14ac:dyDescent="0.3">
      <c r="A928" s="2">
        <v>1467</v>
      </c>
      <c r="B928" s="2" t="s">
        <v>1561</v>
      </c>
      <c r="C928" s="3">
        <v>41682</v>
      </c>
      <c r="D928" s="2">
        <v>118</v>
      </c>
      <c r="E928" s="2" t="s">
        <v>49</v>
      </c>
      <c r="F928" s="2" t="s">
        <v>1562</v>
      </c>
      <c r="G928" s="2" t="s">
        <v>834</v>
      </c>
      <c r="H928" s="2" t="s">
        <v>18</v>
      </c>
      <c r="I928" s="2" t="s">
        <v>19</v>
      </c>
      <c r="J928" s="2" t="s">
        <v>25</v>
      </c>
      <c r="K928" s="2">
        <v>100000000</v>
      </c>
      <c r="L928" s="2">
        <v>242700000</v>
      </c>
      <c r="M928" s="2">
        <v>0</v>
      </c>
      <c r="N928" s="2">
        <v>0</v>
      </c>
    </row>
    <row r="929" spans="1:14" x14ac:dyDescent="0.3">
      <c r="A929" s="2">
        <v>1468</v>
      </c>
      <c r="B929" s="2" t="s">
        <v>1563</v>
      </c>
      <c r="C929" s="3">
        <v>34626</v>
      </c>
      <c r="D929" s="2">
        <v>92</v>
      </c>
      <c r="E929" s="2" t="s">
        <v>38</v>
      </c>
      <c r="F929" s="2" t="s">
        <v>1564</v>
      </c>
      <c r="G929" s="2" t="s">
        <v>1565</v>
      </c>
      <c r="H929" s="2" t="s">
        <v>18</v>
      </c>
      <c r="I929" s="2" t="s">
        <v>19</v>
      </c>
      <c r="J929" s="2">
        <v>18</v>
      </c>
      <c r="K929" s="2">
        <v>230000</v>
      </c>
      <c r="L929" s="2">
        <v>3200000</v>
      </c>
      <c r="M929" s="2">
        <v>0</v>
      </c>
      <c r="N929" s="2">
        <v>0</v>
      </c>
    </row>
    <row r="930" spans="1:14" x14ac:dyDescent="0.3">
      <c r="A930" s="2">
        <v>1469</v>
      </c>
      <c r="B930" s="2" t="s">
        <v>1566</v>
      </c>
      <c r="C930" s="3">
        <v>34992</v>
      </c>
      <c r="D930" s="2">
        <v>94</v>
      </c>
      <c r="E930" s="2" t="s">
        <v>38</v>
      </c>
      <c r="F930" s="2" t="s">
        <v>1564</v>
      </c>
      <c r="G930" s="2" t="s">
        <v>1565</v>
      </c>
      <c r="H930" s="2" t="s">
        <v>18</v>
      </c>
      <c r="I930" s="2" t="s">
        <v>19</v>
      </c>
      <c r="J930" s="2">
        <v>18</v>
      </c>
      <c r="K930" s="2">
        <v>6100000</v>
      </c>
      <c r="L930" s="2">
        <v>22100000</v>
      </c>
      <c r="M930" s="2">
        <v>0</v>
      </c>
      <c r="N930" s="2">
        <v>0</v>
      </c>
    </row>
    <row r="931" spans="1:14" x14ac:dyDescent="0.3">
      <c r="A931" s="2">
        <v>1470</v>
      </c>
      <c r="B931" s="2" t="s">
        <v>1567</v>
      </c>
      <c r="C931" s="3">
        <v>35524</v>
      </c>
      <c r="D931" s="2">
        <v>113</v>
      </c>
      <c r="E931" s="2" t="s">
        <v>697</v>
      </c>
      <c r="F931" s="2" t="s">
        <v>1564</v>
      </c>
      <c r="G931" s="2" t="s">
        <v>1565</v>
      </c>
      <c r="H931" s="2" t="s">
        <v>18</v>
      </c>
      <c r="I931" s="2" t="s">
        <v>19</v>
      </c>
      <c r="J931" s="2">
        <v>18</v>
      </c>
      <c r="K931" s="2">
        <v>250000</v>
      </c>
      <c r="L931" s="2">
        <v>12000000</v>
      </c>
      <c r="M931" s="2">
        <v>0</v>
      </c>
      <c r="N931" s="2">
        <v>0</v>
      </c>
    </row>
    <row r="932" spans="1:14" x14ac:dyDescent="0.3">
      <c r="A932" s="2">
        <v>1471</v>
      </c>
      <c r="B932" s="2" t="s">
        <v>1568</v>
      </c>
      <c r="C932" s="3">
        <v>36301</v>
      </c>
      <c r="D932" s="2">
        <v>128</v>
      </c>
      <c r="E932" s="2" t="s">
        <v>38</v>
      </c>
      <c r="F932" s="2" t="s">
        <v>1564</v>
      </c>
      <c r="G932" s="2" t="s">
        <v>1565</v>
      </c>
      <c r="H932" s="2" t="s">
        <v>18</v>
      </c>
      <c r="I932" s="2" t="s">
        <v>19</v>
      </c>
      <c r="J932" s="2">
        <v>15</v>
      </c>
      <c r="K932" s="2">
        <v>10000000</v>
      </c>
      <c r="L932" s="2">
        <v>31400000</v>
      </c>
      <c r="M932" s="2">
        <v>0</v>
      </c>
      <c r="N932" s="2">
        <v>0</v>
      </c>
    </row>
    <row r="933" spans="1:14" x14ac:dyDescent="0.3">
      <c r="A933" s="2">
        <v>1473</v>
      </c>
      <c r="B933" s="2" t="s">
        <v>1572</v>
      </c>
      <c r="C933" s="3">
        <v>40683</v>
      </c>
      <c r="D933" s="2">
        <v>100</v>
      </c>
      <c r="E933" s="2" t="s">
        <v>150</v>
      </c>
      <c r="F933" s="2" t="s">
        <v>1570</v>
      </c>
      <c r="G933" s="2" t="s">
        <v>1573</v>
      </c>
      <c r="H933" s="2" t="s">
        <v>18</v>
      </c>
      <c r="I933" s="2" t="s">
        <v>19</v>
      </c>
      <c r="J933" s="2">
        <v>18</v>
      </c>
      <c r="K933" s="2">
        <v>1500000</v>
      </c>
      <c r="L933" s="2">
        <v>78100000</v>
      </c>
      <c r="M933" s="2">
        <v>1</v>
      </c>
      <c r="N933" s="2">
        <v>0</v>
      </c>
    </row>
    <row r="934" spans="1:14" x14ac:dyDescent="0.3">
      <c r="A934" s="2">
        <v>1475</v>
      </c>
      <c r="B934" s="2" t="s">
        <v>1576</v>
      </c>
      <c r="C934" s="3">
        <v>27798</v>
      </c>
      <c r="D934" s="2">
        <v>113</v>
      </c>
      <c r="E934" s="2" t="s">
        <v>190</v>
      </c>
      <c r="F934" s="2" t="s">
        <v>167</v>
      </c>
      <c r="G934" s="2" t="s">
        <v>213</v>
      </c>
      <c r="H934" s="2" t="s">
        <v>18</v>
      </c>
      <c r="I934" s="2" t="s">
        <v>19</v>
      </c>
      <c r="J934" s="2">
        <v>18</v>
      </c>
      <c r="K934" s="2">
        <v>1300000</v>
      </c>
      <c r="L934" s="2">
        <v>28300000</v>
      </c>
      <c r="M934" s="2">
        <v>4</v>
      </c>
      <c r="N934" s="2">
        <v>0</v>
      </c>
    </row>
    <row r="935" spans="1:14" x14ac:dyDescent="0.3">
      <c r="A935" s="2">
        <v>1476</v>
      </c>
      <c r="B935" s="2" t="s">
        <v>1577</v>
      </c>
      <c r="C935" s="3">
        <v>26939</v>
      </c>
      <c r="D935" s="2">
        <v>112</v>
      </c>
      <c r="E935" s="2" t="s">
        <v>150</v>
      </c>
      <c r="F935" s="2" t="s">
        <v>167</v>
      </c>
      <c r="G935" s="2" t="s">
        <v>130</v>
      </c>
      <c r="H935" s="2" t="s">
        <v>18</v>
      </c>
      <c r="I935" s="2" t="s">
        <v>19</v>
      </c>
      <c r="J935" s="2">
        <v>18</v>
      </c>
      <c r="K935" s="2">
        <v>500000</v>
      </c>
      <c r="L935" s="2">
        <v>3000000</v>
      </c>
      <c r="M935" s="2">
        <v>0</v>
      </c>
      <c r="N935" s="2">
        <v>0</v>
      </c>
    </row>
    <row r="936" spans="1:14" x14ac:dyDescent="0.3">
      <c r="A936" s="2">
        <v>1478</v>
      </c>
      <c r="B936" s="2" t="s">
        <v>1578</v>
      </c>
      <c r="C936" s="3">
        <v>28297</v>
      </c>
      <c r="D936" s="2">
        <v>163</v>
      </c>
      <c r="E936" s="2" t="s">
        <v>636</v>
      </c>
      <c r="F936" s="2" t="s">
        <v>167</v>
      </c>
      <c r="G936" s="2" t="s">
        <v>417</v>
      </c>
      <c r="H936" s="2" t="s">
        <v>18</v>
      </c>
      <c r="I936" s="2" t="s">
        <v>19</v>
      </c>
      <c r="J936" s="2" t="s">
        <v>20</v>
      </c>
      <c r="K936" s="2">
        <v>14000000</v>
      </c>
      <c r="L936" s="2">
        <v>13800000</v>
      </c>
      <c r="M936" s="2">
        <v>0</v>
      </c>
      <c r="N936" s="2">
        <v>0</v>
      </c>
    </row>
    <row r="937" spans="1:14" x14ac:dyDescent="0.3">
      <c r="A937" s="2">
        <v>1479</v>
      </c>
      <c r="B937" s="2" t="s">
        <v>1579</v>
      </c>
      <c r="C937" s="3">
        <v>30303</v>
      </c>
      <c r="D937" s="2">
        <v>109</v>
      </c>
      <c r="E937" s="2" t="s">
        <v>38</v>
      </c>
      <c r="F937" s="2" t="s">
        <v>167</v>
      </c>
      <c r="G937" s="2" t="s">
        <v>1580</v>
      </c>
      <c r="H937" s="2" t="s">
        <v>18</v>
      </c>
      <c r="I937" s="2" t="s">
        <v>19</v>
      </c>
      <c r="J937" s="2" t="s">
        <v>20</v>
      </c>
      <c r="K937" s="2">
        <v>19000000</v>
      </c>
      <c r="L937" s="2">
        <v>2500000</v>
      </c>
      <c r="M937" s="2">
        <v>0</v>
      </c>
      <c r="N937" s="2">
        <v>0</v>
      </c>
    </row>
    <row r="938" spans="1:14" x14ac:dyDescent="0.3">
      <c r="A938" s="2">
        <v>1480</v>
      </c>
      <c r="B938" s="2" t="s">
        <v>1581</v>
      </c>
      <c r="C938" s="3">
        <v>31702</v>
      </c>
      <c r="D938" s="2">
        <v>120</v>
      </c>
      <c r="E938" s="2" t="s">
        <v>190</v>
      </c>
      <c r="F938" s="2" t="s">
        <v>167</v>
      </c>
      <c r="G938" s="2" t="s">
        <v>47</v>
      </c>
      <c r="H938" s="2" t="s">
        <v>18</v>
      </c>
      <c r="I938" s="2" t="s">
        <v>19</v>
      </c>
      <c r="J938" s="2">
        <v>15</v>
      </c>
      <c r="K938" s="2">
        <v>13800000</v>
      </c>
      <c r="L938" s="2">
        <v>52200000</v>
      </c>
      <c r="M938" s="2">
        <v>4</v>
      </c>
      <c r="N938" s="2">
        <v>1</v>
      </c>
    </row>
    <row r="939" spans="1:14" x14ac:dyDescent="0.3">
      <c r="A939" s="2">
        <v>1481</v>
      </c>
      <c r="B939" s="2" t="s">
        <v>1582</v>
      </c>
      <c r="C939" s="3">
        <v>32367</v>
      </c>
      <c r="D939" s="2">
        <v>162</v>
      </c>
      <c r="E939" s="2" t="s">
        <v>190</v>
      </c>
      <c r="F939" s="2" t="s">
        <v>167</v>
      </c>
      <c r="G939" s="2" t="s">
        <v>103</v>
      </c>
      <c r="H939" s="2" t="s">
        <v>18</v>
      </c>
      <c r="I939" s="2" t="s">
        <v>19</v>
      </c>
      <c r="J939" s="2">
        <v>18</v>
      </c>
      <c r="K939" s="2">
        <v>7000000</v>
      </c>
      <c r="L939" s="2">
        <v>8900000</v>
      </c>
      <c r="M939" s="2">
        <v>1</v>
      </c>
      <c r="N939" s="2">
        <v>0</v>
      </c>
    </row>
    <row r="940" spans="1:14" x14ac:dyDescent="0.3">
      <c r="A940" s="2">
        <v>1482</v>
      </c>
      <c r="B940" s="2" t="s">
        <v>1583</v>
      </c>
      <c r="C940" s="3">
        <v>34229</v>
      </c>
      <c r="D940" s="2">
        <v>139</v>
      </c>
      <c r="E940" s="2" t="s">
        <v>34</v>
      </c>
      <c r="F940" s="2" t="s">
        <v>167</v>
      </c>
      <c r="G940" s="2" t="s">
        <v>213</v>
      </c>
      <c r="H940" s="2" t="s">
        <v>18</v>
      </c>
      <c r="I940" s="2" t="s">
        <v>19</v>
      </c>
      <c r="J940" s="2" t="s">
        <v>63</v>
      </c>
      <c r="K940" s="2">
        <v>34000000</v>
      </c>
      <c r="L940" s="2">
        <v>32300000</v>
      </c>
      <c r="M940" s="2">
        <v>5</v>
      </c>
      <c r="N940" s="2">
        <v>1</v>
      </c>
    </row>
    <row r="941" spans="1:14" x14ac:dyDescent="0.3">
      <c r="A941" s="2">
        <v>1483</v>
      </c>
      <c r="B941" s="2" t="s">
        <v>1584</v>
      </c>
      <c r="C941" s="3">
        <v>42703</v>
      </c>
      <c r="D941" s="2">
        <v>159</v>
      </c>
      <c r="E941" s="2" t="s">
        <v>190</v>
      </c>
      <c r="F941" s="2" t="s">
        <v>167</v>
      </c>
      <c r="G941" s="2" t="s">
        <v>257</v>
      </c>
      <c r="H941" s="2" t="s">
        <v>18</v>
      </c>
      <c r="I941" s="2" t="s">
        <v>19</v>
      </c>
      <c r="J941" s="2">
        <v>15</v>
      </c>
      <c r="K941" s="2">
        <v>50000000</v>
      </c>
      <c r="L941" s="2">
        <v>50000000</v>
      </c>
      <c r="M941" s="2">
        <v>0</v>
      </c>
      <c r="N941" s="2">
        <v>0</v>
      </c>
    </row>
    <row r="942" spans="1:14" x14ac:dyDescent="0.3">
      <c r="A942" s="2">
        <v>1484</v>
      </c>
      <c r="B942" s="2" t="s">
        <v>1585</v>
      </c>
      <c r="C942" s="3">
        <v>41625</v>
      </c>
      <c r="D942" s="2">
        <v>179</v>
      </c>
      <c r="E942" s="2" t="s">
        <v>166</v>
      </c>
      <c r="F942" s="2" t="s">
        <v>167</v>
      </c>
      <c r="G942" s="2" t="s">
        <v>257</v>
      </c>
      <c r="H942" s="2" t="s">
        <v>18</v>
      </c>
      <c r="I942" s="2" t="s">
        <v>19</v>
      </c>
      <c r="J942" s="2">
        <v>18</v>
      </c>
      <c r="K942" s="2">
        <v>155000000</v>
      </c>
      <c r="L942" s="2">
        <v>392000000</v>
      </c>
      <c r="M942" s="2">
        <v>5</v>
      </c>
      <c r="N942" s="2">
        <v>0</v>
      </c>
    </row>
    <row r="943" spans="1:14" x14ac:dyDescent="0.3">
      <c r="A943" s="2">
        <v>1486</v>
      </c>
      <c r="B943" s="2" t="s">
        <v>1587</v>
      </c>
      <c r="C943" s="3">
        <v>40228</v>
      </c>
      <c r="D943" s="2">
        <v>138</v>
      </c>
      <c r="E943" s="2" t="s">
        <v>84</v>
      </c>
      <c r="F943" s="2" t="s">
        <v>167</v>
      </c>
      <c r="G943" s="2" t="s">
        <v>257</v>
      </c>
      <c r="H943" s="2" t="s">
        <v>18</v>
      </c>
      <c r="I943" s="2" t="s">
        <v>19</v>
      </c>
      <c r="J943" s="2">
        <v>15</v>
      </c>
      <c r="K943" s="2">
        <v>80000000</v>
      </c>
      <c r="L943" s="2">
        <v>294800000</v>
      </c>
      <c r="M943" s="2">
        <v>0</v>
      </c>
      <c r="N943" s="2">
        <v>0</v>
      </c>
    </row>
    <row r="944" spans="1:14" x14ac:dyDescent="0.3">
      <c r="A944" s="2">
        <v>1487</v>
      </c>
      <c r="B944" s="2" t="s">
        <v>1588</v>
      </c>
      <c r="C944" s="3">
        <v>37162</v>
      </c>
      <c r="D944" s="2">
        <v>89</v>
      </c>
      <c r="E944" s="2" t="s">
        <v>38</v>
      </c>
      <c r="F944" s="2" t="s">
        <v>1589</v>
      </c>
      <c r="G944" s="2" t="s">
        <v>70</v>
      </c>
      <c r="H944" s="2" t="s">
        <v>18</v>
      </c>
      <c r="I944" s="2" t="s">
        <v>19</v>
      </c>
      <c r="J944" s="2">
        <v>12</v>
      </c>
      <c r="K944" s="2">
        <v>28000000</v>
      </c>
      <c r="L944" s="2">
        <v>60800000</v>
      </c>
      <c r="M944" s="2">
        <v>0</v>
      </c>
      <c r="N944" s="2">
        <v>0</v>
      </c>
    </row>
    <row r="945" spans="1:14" x14ac:dyDescent="0.3">
      <c r="A945" s="2">
        <v>1489</v>
      </c>
      <c r="B945" s="2" t="s">
        <v>1592</v>
      </c>
      <c r="C945" s="3">
        <v>32283</v>
      </c>
      <c r="D945" s="2">
        <v>126</v>
      </c>
      <c r="E945" s="2" t="s">
        <v>52</v>
      </c>
      <c r="F945" s="2" t="s">
        <v>118</v>
      </c>
      <c r="G945" s="2" t="s">
        <v>140</v>
      </c>
      <c r="H945" s="2" t="s">
        <v>18</v>
      </c>
      <c r="I945" s="2" t="s">
        <v>19</v>
      </c>
      <c r="J945" s="2" t="s">
        <v>20</v>
      </c>
      <c r="K945" s="2">
        <v>35000000</v>
      </c>
      <c r="L945" s="2">
        <v>57300000</v>
      </c>
      <c r="M945" s="2">
        <v>2</v>
      </c>
      <c r="N945" s="2">
        <v>0</v>
      </c>
    </row>
    <row r="946" spans="1:14" x14ac:dyDescent="0.3">
      <c r="A946" s="2">
        <v>1494</v>
      </c>
      <c r="B946" s="2" t="s">
        <v>1597</v>
      </c>
      <c r="C946" s="3">
        <v>40865</v>
      </c>
      <c r="D946" s="2">
        <v>100</v>
      </c>
      <c r="E946" s="2" t="s">
        <v>60</v>
      </c>
      <c r="F946" s="2" t="s">
        <v>655</v>
      </c>
      <c r="G946" s="2" t="s">
        <v>70</v>
      </c>
      <c r="H946" s="2" t="s">
        <v>18</v>
      </c>
      <c r="I946" s="2" t="s">
        <v>19</v>
      </c>
      <c r="J946" s="2" t="s">
        <v>63</v>
      </c>
      <c r="K946" s="2">
        <v>135000000</v>
      </c>
      <c r="L946" s="2">
        <v>150400000</v>
      </c>
      <c r="M946" s="2">
        <v>0</v>
      </c>
      <c r="N946" s="2">
        <v>0</v>
      </c>
    </row>
    <row r="947" spans="1:14" x14ac:dyDescent="0.3">
      <c r="A947" s="2">
        <v>1495</v>
      </c>
      <c r="B947" s="2" t="s">
        <v>1598</v>
      </c>
      <c r="C947" s="3">
        <v>42404</v>
      </c>
      <c r="D947" s="2">
        <v>102</v>
      </c>
      <c r="E947" s="2" t="s">
        <v>38</v>
      </c>
      <c r="F947" s="2" t="s">
        <v>1589</v>
      </c>
      <c r="G947" s="2" t="s">
        <v>257</v>
      </c>
      <c r="H947" s="2" t="s">
        <v>18</v>
      </c>
      <c r="I947" s="2" t="s">
        <v>19</v>
      </c>
      <c r="J947" s="2" t="s">
        <v>25</v>
      </c>
      <c r="K947" s="2">
        <v>50000000</v>
      </c>
      <c r="L947" s="2">
        <v>56000000</v>
      </c>
      <c r="M947" s="2">
        <v>0</v>
      </c>
      <c r="N947" s="2">
        <v>0</v>
      </c>
    </row>
    <row r="948" spans="1:14" x14ac:dyDescent="0.3">
      <c r="A948" s="2">
        <v>1496</v>
      </c>
      <c r="B948" s="2" t="s">
        <v>1599</v>
      </c>
      <c r="C948" s="3">
        <v>31030</v>
      </c>
      <c r="D948" s="2">
        <v>136</v>
      </c>
      <c r="E948" s="2" t="s">
        <v>49</v>
      </c>
      <c r="F948" s="2" t="s">
        <v>1600</v>
      </c>
      <c r="G948" s="2" t="s">
        <v>399</v>
      </c>
      <c r="H948" s="2" t="s">
        <v>18</v>
      </c>
      <c r="I948" s="2" t="s">
        <v>19</v>
      </c>
      <c r="J948" s="2" t="s">
        <v>20</v>
      </c>
      <c r="K948" s="2">
        <v>40000000</v>
      </c>
      <c r="L948" s="2">
        <v>30900000</v>
      </c>
      <c r="M948" s="2">
        <v>1</v>
      </c>
      <c r="N948" s="2">
        <v>0</v>
      </c>
    </row>
    <row r="949" spans="1:14" x14ac:dyDescent="0.3">
      <c r="A949" s="2">
        <v>1498</v>
      </c>
      <c r="B949" s="2" t="s">
        <v>1601</v>
      </c>
      <c r="C949" s="3">
        <v>42505</v>
      </c>
      <c r="D949" s="2">
        <v>116</v>
      </c>
      <c r="E949" s="2" t="s">
        <v>38</v>
      </c>
      <c r="F949" s="2" t="s">
        <v>554</v>
      </c>
      <c r="G949" s="2" t="s">
        <v>89</v>
      </c>
      <c r="H949" s="2" t="s">
        <v>18</v>
      </c>
      <c r="I949" s="2" t="s">
        <v>19</v>
      </c>
      <c r="J949" s="2">
        <v>15</v>
      </c>
      <c r="K949" s="2">
        <v>50000000</v>
      </c>
      <c r="L949" s="2">
        <v>57300000</v>
      </c>
      <c r="M949" s="2">
        <v>0</v>
      </c>
      <c r="N949" s="2">
        <v>0</v>
      </c>
    </row>
    <row r="950" spans="1:14" x14ac:dyDescent="0.3">
      <c r="A950" s="2">
        <v>1499</v>
      </c>
      <c r="B950" s="2" t="s">
        <v>1602</v>
      </c>
      <c r="C950" s="3">
        <v>38486</v>
      </c>
      <c r="D950" s="2">
        <v>103</v>
      </c>
      <c r="E950" s="2" t="s">
        <v>38</v>
      </c>
      <c r="F950" s="2" t="s">
        <v>554</v>
      </c>
      <c r="G950" s="2" t="s">
        <v>89</v>
      </c>
      <c r="H950" s="2" t="s">
        <v>18</v>
      </c>
      <c r="I950" s="2" t="s">
        <v>19</v>
      </c>
      <c r="J950" s="2">
        <v>15</v>
      </c>
      <c r="K950" s="2">
        <v>15000000</v>
      </c>
      <c r="L950" s="2">
        <v>15800000</v>
      </c>
      <c r="M950" s="2">
        <v>0</v>
      </c>
      <c r="N950" s="2">
        <v>0</v>
      </c>
    </row>
    <row r="951" spans="1:14" x14ac:dyDescent="0.3">
      <c r="A951" s="2">
        <v>1500</v>
      </c>
      <c r="B951" s="2" t="s">
        <v>1603</v>
      </c>
      <c r="C951" s="3">
        <v>42541</v>
      </c>
      <c r="D951" s="2">
        <v>120</v>
      </c>
      <c r="E951" s="2" t="s">
        <v>49</v>
      </c>
      <c r="F951" s="2" t="s">
        <v>123</v>
      </c>
      <c r="G951" s="2" t="s">
        <v>124</v>
      </c>
      <c r="H951" s="2" t="s">
        <v>18</v>
      </c>
      <c r="I951" s="2" t="s">
        <v>19</v>
      </c>
      <c r="J951" s="2" t="s">
        <v>25</v>
      </c>
      <c r="K951" s="2">
        <v>165000000</v>
      </c>
      <c r="L951" s="2">
        <v>389700000</v>
      </c>
      <c r="M951" s="2">
        <v>0</v>
      </c>
      <c r="N951" s="2">
        <v>0</v>
      </c>
    </row>
    <row r="952" spans="1:14" x14ac:dyDescent="0.3">
      <c r="A952" s="2">
        <v>1501</v>
      </c>
      <c r="B952" s="2" t="s">
        <v>369</v>
      </c>
      <c r="C952" s="3">
        <v>42560</v>
      </c>
      <c r="D952" s="2">
        <v>116</v>
      </c>
      <c r="E952" s="2" t="s">
        <v>38</v>
      </c>
      <c r="F952" s="2" t="s">
        <v>1604</v>
      </c>
      <c r="G952" s="2" t="s">
        <v>70</v>
      </c>
      <c r="H952" s="2" t="s">
        <v>18</v>
      </c>
      <c r="I952" s="2" t="s">
        <v>19</v>
      </c>
      <c r="J952" s="2" t="s">
        <v>25</v>
      </c>
      <c r="K952" s="2">
        <v>144000000</v>
      </c>
      <c r="L952" s="2">
        <v>229100000</v>
      </c>
      <c r="M952" s="2">
        <v>0</v>
      </c>
      <c r="N952" s="2">
        <v>0</v>
      </c>
    </row>
    <row r="953" spans="1:14" x14ac:dyDescent="0.3">
      <c r="A953" s="2">
        <v>1503</v>
      </c>
      <c r="B953" s="2" t="s">
        <v>1605</v>
      </c>
      <c r="C953" s="3">
        <v>42562</v>
      </c>
      <c r="D953" s="2">
        <v>123</v>
      </c>
      <c r="E953" s="2" t="s">
        <v>84</v>
      </c>
      <c r="F953" s="2" t="s">
        <v>110</v>
      </c>
      <c r="G953" s="2" t="s">
        <v>111</v>
      </c>
      <c r="H953" s="2" t="s">
        <v>18</v>
      </c>
      <c r="I953" s="2" t="s">
        <v>19</v>
      </c>
      <c r="J953" s="2" t="s">
        <v>25</v>
      </c>
      <c r="K953" s="2">
        <v>120000000</v>
      </c>
      <c r="L953" s="2">
        <v>415200000</v>
      </c>
      <c r="M953" s="2">
        <v>0</v>
      </c>
      <c r="N953" s="2">
        <v>0</v>
      </c>
    </row>
    <row r="954" spans="1:14" x14ac:dyDescent="0.3">
      <c r="A954" s="2">
        <v>1504</v>
      </c>
      <c r="B954" s="2" t="s">
        <v>1606</v>
      </c>
      <c r="C954" s="3">
        <v>42443</v>
      </c>
      <c r="D954" s="2">
        <v>88</v>
      </c>
      <c r="E954" s="2" t="s">
        <v>60</v>
      </c>
      <c r="F954" s="2" t="s">
        <v>1607</v>
      </c>
      <c r="G954" s="2" t="s">
        <v>213</v>
      </c>
      <c r="H954" s="2" t="s">
        <v>18</v>
      </c>
      <c r="I954" s="2" t="s">
        <v>19</v>
      </c>
      <c r="J954" s="2">
        <v>15</v>
      </c>
      <c r="K954" s="2">
        <v>19000000</v>
      </c>
      <c r="L954" s="2">
        <v>140200000</v>
      </c>
      <c r="M954" s="2">
        <v>0</v>
      </c>
      <c r="N954" s="2">
        <v>0</v>
      </c>
    </row>
    <row r="955" spans="1:14" x14ac:dyDescent="0.3">
      <c r="A955" s="2">
        <v>1507</v>
      </c>
      <c r="B955" s="2" t="s">
        <v>1609</v>
      </c>
      <c r="C955" s="3">
        <v>35789</v>
      </c>
      <c r="D955" s="2">
        <v>154</v>
      </c>
      <c r="E955" s="2" t="s">
        <v>150</v>
      </c>
      <c r="F955" s="2" t="s">
        <v>302</v>
      </c>
      <c r="G955" s="2" t="s">
        <v>303</v>
      </c>
      <c r="H955" s="2" t="s">
        <v>18</v>
      </c>
      <c r="I955" s="2" t="s">
        <v>19</v>
      </c>
      <c r="J955" s="2">
        <v>15</v>
      </c>
      <c r="K955" s="2">
        <v>12000000</v>
      </c>
      <c r="L955" s="2">
        <v>74700000</v>
      </c>
      <c r="M955" s="2">
        <v>1</v>
      </c>
      <c r="N955" s="2">
        <v>0</v>
      </c>
    </row>
    <row r="956" spans="1:14" x14ac:dyDescent="0.3">
      <c r="A956" s="2">
        <v>1508</v>
      </c>
      <c r="B956" s="2" t="s">
        <v>1610</v>
      </c>
      <c r="C956" s="3">
        <v>39953</v>
      </c>
      <c r="D956" s="2">
        <v>153</v>
      </c>
      <c r="E956" s="2" t="s">
        <v>45</v>
      </c>
      <c r="F956" s="2" t="s">
        <v>302</v>
      </c>
      <c r="G956" s="2" t="s">
        <v>303</v>
      </c>
      <c r="H956" s="2" t="s">
        <v>18</v>
      </c>
      <c r="I956" s="2" t="s">
        <v>19</v>
      </c>
      <c r="J956" s="2">
        <v>18</v>
      </c>
      <c r="K956" s="2">
        <v>70000000</v>
      </c>
      <c r="L956" s="2">
        <v>321500000</v>
      </c>
      <c r="M956" s="2">
        <v>8</v>
      </c>
      <c r="N956" s="2">
        <v>1</v>
      </c>
    </row>
    <row r="957" spans="1:14" x14ac:dyDescent="0.3">
      <c r="A957" s="2">
        <v>1509</v>
      </c>
      <c r="B957" s="2" t="s">
        <v>1611</v>
      </c>
      <c r="C957" s="3">
        <v>41254</v>
      </c>
      <c r="D957" s="2">
        <v>165</v>
      </c>
      <c r="E957" s="2" t="s">
        <v>360</v>
      </c>
      <c r="F957" s="2" t="s">
        <v>302</v>
      </c>
      <c r="G957" s="2" t="s">
        <v>213</v>
      </c>
      <c r="H957" s="2" t="s">
        <v>18</v>
      </c>
      <c r="I957" s="2" t="s">
        <v>19</v>
      </c>
      <c r="J957" s="2">
        <v>18</v>
      </c>
      <c r="K957" s="2">
        <v>100000000</v>
      </c>
      <c r="L957" s="2">
        <v>425400000</v>
      </c>
      <c r="M957" s="2">
        <v>5</v>
      </c>
      <c r="N957" s="2">
        <v>2</v>
      </c>
    </row>
    <row r="958" spans="1:14" x14ac:dyDescent="0.3">
      <c r="A958" s="2">
        <v>1510</v>
      </c>
      <c r="B958" s="2" t="s">
        <v>1612</v>
      </c>
      <c r="C958" s="3">
        <v>42345</v>
      </c>
      <c r="D958" s="2">
        <v>168</v>
      </c>
      <c r="E958" s="2" t="s">
        <v>360</v>
      </c>
      <c r="F958" s="2" t="s">
        <v>302</v>
      </c>
      <c r="G958" s="2" t="s">
        <v>1613</v>
      </c>
      <c r="H958" s="2" t="s">
        <v>18</v>
      </c>
      <c r="I958" s="2" t="s">
        <v>19</v>
      </c>
      <c r="J958" s="2">
        <v>18</v>
      </c>
      <c r="K958" s="2">
        <v>54000000</v>
      </c>
      <c r="L958" s="2">
        <v>155800000</v>
      </c>
      <c r="M958" s="2">
        <v>3</v>
      </c>
      <c r="N958" s="2">
        <v>1</v>
      </c>
    </row>
    <row r="959" spans="1:14" x14ac:dyDescent="0.3">
      <c r="A959" s="2">
        <v>1511</v>
      </c>
      <c r="B959" s="2" t="s">
        <v>1614</v>
      </c>
      <c r="C959" s="3">
        <v>32556</v>
      </c>
      <c r="D959" s="2">
        <v>89</v>
      </c>
      <c r="E959" s="2" t="s">
        <v>15</v>
      </c>
      <c r="F959" s="2" t="s">
        <v>725</v>
      </c>
      <c r="G959" s="2" t="s">
        <v>741</v>
      </c>
      <c r="H959" s="2" t="s">
        <v>18</v>
      </c>
      <c r="I959" s="2" t="s">
        <v>19</v>
      </c>
      <c r="J959" s="2" t="s">
        <v>20</v>
      </c>
      <c r="K959" s="2">
        <v>10000000</v>
      </c>
      <c r="L959" s="2">
        <v>40500000</v>
      </c>
      <c r="M959" s="2">
        <v>0</v>
      </c>
      <c r="N959" s="2">
        <v>0</v>
      </c>
    </row>
    <row r="960" spans="1:14" x14ac:dyDescent="0.3">
      <c r="A960" s="2">
        <v>1512</v>
      </c>
      <c r="B960" s="2" t="s">
        <v>1615</v>
      </c>
      <c r="C960" s="3">
        <v>33438</v>
      </c>
      <c r="D960" s="2">
        <v>93</v>
      </c>
      <c r="E960" s="2" t="s">
        <v>15</v>
      </c>
      <c r="F960" s="2" t="s">
        <v>1616</v>
      </c>
      <c r="G960" s="2" t="s">
        <v>741</v>
      </c>
      <c r="H960" s="2" t="s">
        <v>18</v>
      </c>
      <c r="I960" s="2" t="s">
        <v>19</v>
      </c>
      <c r="J960" s="2" t="s">
        <v>20</v>
      </c>
      <c r="K960" s="2">
        <v>20000000</v>
      </c>
      <c r="L960" s="2">
        <v>38000000</v>
      </c>
      <c r="M960" s="2">
        <v>0</v>
      </c>
      <c r="N960" s="2">
        <v>0</v>
      </c>
    </row>
    <row r="961" spans="1:14" x14ac:dyDescent="0.3">
      <c r="A961" s="2">
        <v>1513</v>
      </c>
      <c r="B961" s="2" t="s">
        <v>1617</v>
      </c>
      <c r="C961" s="3">
        <v>22212</v>
      </c>
      <c r="D961" s="2">
        <v>128</v>
      </c>
      <c r="E961" s="2" t="s">
        <v>360</v>
      </c>
      <c r="F961" s="2" t="s">
        <v>1108</v>
      </c>
      <c r="G961" s="2" t="s">
        <v>1002</v>
      </c>
      <c r="H961" s="2" t="s">
        <v>18</v>
      </c>
      <c r="I961" s="2" t="s">
        <v>19</v>
      </c>
      <c r="J961" s="2" t="s">
        <v>63</v>
      </c>
      <c r="K961" s="2">
        <v>2000000</v>
      </c>
      <c r="L961" s="2">
        <v>2250000</v>
      </c>
      <c r="M961" s="2">
        <v>1</v>
      </c>
      <c r="N961" s="2">
        <v>0</v>
      </c>
    </row>
    <row r="962" spans="1:14" x14ac:dyDescent="0.3">
      <c r="A962" s="2">
        <v>1514</v>
      </c>
      <c r="B962" s="2" t="s">
        <v>1617</v>
      </c>
      <c r="C962" s="3">
        <v>42621</v>
      </c>
      <c r="D962" s="2">
        <v>133</v>
      </c>
      <c r="E962" s="2" t="s">
        <v>360</v>
      </c>
      <c r="F962" s="2" t="s">
        <v>1504</v>
      </c>
      <c r="G962" s="2" t="s">
        <v>70</v>
      </c>
      <c r="H962" s="2" t="s">
        <v>18</v>
      </c>
      <c r="I962" s="2" t="s">
        <v>19</v>
      </c>
      <c r="J962" s="2" t="s">
        <v>25</v>
      </c>
      <c r="K962" s="2">
        <v>107600000</v>
      </c>
      <c r="L962" s="2">
        <v>161000000</v>
      </c>
      <c r="M962" s="2">
        <v>0</v>
      </c>
      <c r="N962" s="2">
        <v>0</v>
      </c>
    </row>
    <row r="963" spans="1:14" x14ac:dyDescent="0.3">
      <c r="A963" s="2">
        <v>1515</v>
      </c>
      <c r="B963" s="2" t="s">
        <v>1618</v>
      </c>
      <c r="C963" s="3">
        <v>35832</v>
      </c>
      <c r="D963" s="2">
        <v>87</v>
      </c>
      <c r="E963" s="2" t="s">
        <v>84</v>
      </c>
      <c r="F963" s="2" t="s">
        <v>1504</v>
      </c>
      <c r="G963" s="2" t="s">
        <v>213</v>
      </c>
      <c r="H963" s="2" t="s">
        <v>18</v>
      </c>
      <c r="I963" s="2" t="s">
        <v>19</v>
      </c>
      <c r="J963" s="2">
        <v>18</v>
      </c>
      <c r="K963" s="2">
        <v>30000000</v>
      </c>
      <c r="L963" s="2">
        <v>19200000</v>
      </c>
      <c r="M963" s="2">
        <v>0</v>
      </c>
      <c r="N963" s="2">
        <v>0</v>
      </c>
    </row>
    <row r="964" spans="1:14" x14ac:dyDescent="0.3">
      <c r="A964" s="2">
        <v>1516</v>
      </c>
      <c r="B964" s="2" t="s">
        <v>1619</v>
      </c>
      <c r="C964" s="3">
        <v>37169</v>
      </c>
      <c r="D964" s="2">
        <v>122</v>
      </c>
      <c r="E964" s="2" t="s">
        <v>150</v>
      </c>
      <c r="F964" s="2" t="s">
        <v>1504</v>
      </c>
      <c r="G964" s="2" t="s">
        <v>70</v>
      </c>
      <c r="H964" s="2" t="s">
        <v>18</v>
      </c>
      <c r="I964" s="2" t="s">
        <v>19</v>
      </c>
      <c r="J964" s="2">
        <v>18</v>
      </c>
      <c r="K964" s="2">
        <v>45000000</v>
      </c>
      <c r="L964" s="2">
        <v>104900000</v>
      </c>
      <c r="M964" s="2">
        <v>2</v>
      </c>
      <c r="N964" s="2">
        <v>1</v>
      </c>
    </row>
    <row r="965" spans="1:14" x14ac:dyDescent="0.3">
      <c r="A965" s="2">
        <v>1517</v>
      </c>
      <c r="B965" s="2" t="s">
        <v>1620</v>
      </c>
      <c r="C965" s="3">
        <v>37687</v>
      </c>
      <c r="D965" s="2">
        <v>121</v>
      </c>
      <c r="E965" s="2" t="s">
        <v>45</v>
      </c>
      <c r="F965" s="2" t="s">
        <v>1504</v>
      </c>
      <c r="G965" s="2" t="s">
        <v>192</v>
      </c>
      <c r="H965" s="2" t="s">
        <v>18</v>
      </c>
      <c r="I965" s="2" t="s">
        <v>19</v>
      </c>
      <c r="J965" s="2">
        <v>15</v>
      </c>
      <c r="K965" s="2">
        <v>75000000</v>
      </c>
      <c r="L965" s="2">
        <v>86500000</v>
      </c>
      <c r="M965" s="2">
        <v>0</v>
      </c>
      <c r="N965" s="2">
        <v>0</v>
      </c>
    </row>
    <row r="966" spans="1:14" x14ac:dyDescent="0.3">
      <c r="A966" s="2">
        <v>1518</v>
      </c>
      <c r="B966" s="2" t="s">
        <v>1621</v>
      </c>
      <c r="C966" s="3">
        <v>38175</v>
      </c>
      <c r="D966" s="2">
        <v>142</v>
      </c>
      <c r="E966" s="2" t="s">
        <v>15</v>
      </c>
      <c r="F966" s="2" t="s">
        <v>1504</v>
      </c>
      <c r="G966" s="2" t="s">
        <v>47</v>
      </c>
      <c r="H966" s="2" t="s">
        <v>18</v>
      </c>
      <c r="I966" s="2" t="s">
        <v>19</v>
      </c>
      <c r="J966" s="2" t="s">
        <v>25</v>
      </c>
      <c r="K966" s="2">
        <v>120000000</v>
      </c>
      <c r="L966" s="2">
        <v>203600000</v>
      </c>
      <c r="M966" s="2">
        <v>0</v>
      </c>
      <c r="N966" s="2">
        <v>0</v>
      </c>
    </row>
    <row r="967" spans="1:14" x14ac:dyDescent="0.3">
      <c r="A967" s="2">
        <v>1519</v>
      </c>
      <c r="B967" s="2" t="s">
        <v>1622</v>
      </c>
      <c r="C967" s="3">
        <v>39164</v>
      </c>
      <c r="D967" s="2">
        <v>125</v>
      </c>
      <c r="E967" s="2" t="s">
        <v>22</v>
      </c>
      <c r="F967" s="2" t="s">
        <v>1504</v>
      </c>
      <c r="G967" s="2" t="s">
        <v>50</v>
      </c>
      <c r="H967" s="2" t="s">
        <v>18</v>
      </c>
      <c r="I967" s="2" t="s">
        <v>19</v>
      </c>
      <c r="J967" s="2">
        <v>15</v>
      </c>
      <c r="K967" s="2">
        <v>61000000</v>
      </c>
      <c r="L967" s="2">
        <v>95700000</v>
      </c>
      <c r="M967" s="2">
        <v>0</v>
      </c>
      <c r="N967" s="2">
        <v>0</v>
      </c>
    </row>
    <row r="968" spans="1:14" x14ac:dyDescent="0.3">
      <c r="A968" s="2">
        <v>1520</v>
      </c>
      <c r="B968" s="2" t="s">
        <v>1623</v>
      </c>
      <c r="C968" s="3">
        <v>41353</v>
      </c>
      <c r="D968" s="2">
        <v>119</v>
      </c>
      <c r="E968" s="2" t="s">
        <v>22</v>
      </c>
      <c r="F968" s="2" t="s">
        <v>1504</v>
      </c>
      <c r="G968" s="2" t="s">
        <v>278</v>
      </c>
      <c r="H968" s="2" t="s">
        <v>18</v>
      </c>
      <c r="I968" s="2" t="s">
        <v>19</v>
      </c>
      <c r="J968" s="2">
        <v>15</v>
      </c>
      <c r="K968" s="2">
        <v>70000000</v>
      </c>
      <c r="L968" s="2">
        <v>161000000</v>
      </c>
      <c r="M968" s="2">
        <v>0</v>
      </c>
      <c r="N968" s="2">
        <v>0</v>
      </c>
    </row>
    <row r="969" spans="1:14" x14ac:dyDescent="0.3">
      <c r="A969" s="2">
        <v>1521</v>
      </c>
      <c r="B969" s="2" t="s">
        <v>1624</v>
      </c>
      <c r="C969" s="3">
        <v>41889</v>
      </c>
      <c r="D969" s="2">
        <v>132</v>
      </c>
      <c r="E969" s="2" t="s">
        <v>84</v>
      </c>
      <c r="F969" s="2" t="s">
        <v>1504</v>
      </c>
      <c r="G969" s="2" t="s">
        <v>70</v>
      </c>
      <c r="H969" s="2" t="s">
        <v>18</v>
      </c>
      <c r="I969" s="2" t="s">
        <v>19</v>
      </c>
      <c r="J969" s="2">
        <v>15</v>
      </c>
      <c r="K969" s="2">
        <v>55000000</v>
      </c>
      <c r="L969" s="2">
        <v>192300000</v>
      </c>
      <c r="M969" s="2">
        <v>0</v>
      </c>
      <c r="N969" s="2">
        <v>0</v>
      </c>
    </row>
    <row r="970" spans="1:14" x14ac:dyDescent="0.3">
      <c r="A970" s="2">
        <v>1522</v>
      </c>
      <c r="B970" s="2" t="s">
        <v>1625</v>
      </c>
      <c r="C970" s="3">
        <v>42170</v>
      </c>
      <c r="D970" s="2">
        <v>123</v>
      </c>
      <c r="E970" s="2" t="s">
        <v>190</v>
      </c>
      <c r="F970" s="2" t="s">
        <v>1504</v>
      </c>
      <c r="G970" s="2" t="s">
        <v>1626</v>
      </c>
      <c r="H970" s="2" t="s">
        <v>18</v>
      </c>
      <c r="I970" s="2" t="s">
        <v>19</v>
      </c>
      <c r="J970" s="2">
        <v>15</v>
      </c>
      <c r="K970" s="2">
        <v>30000000</v>
      </c>
      <c r="L970" s="2">
        <v>92000000</v>
      </c>
      <c r="M970" s="2">
        <v>0</v>
      </c>
      <c r="N970" s="2">
        <v>0</v>
      </c>
    </row>
    <row r="971" spans="1:14" x14ac:dyDescent="0.3">
      <c r="A971" s="2">
        <v>1523</v>
      </c>
      <c r="B971" s="2" t="s">
        <v>1627</v>
      </c>
      <c r="C971" s="3">
        <v>42638</v>
      </c>
      <c r="D971" s="2">
        <v>127</v>
      </c>
      <c r="E971" s="2" t="s">
        <v>52</v>
      </c>
      <c r="F971" s="2" t="s">
        <v>81</v>
      </c>
      <c r="G971" s="2" t="s">
        <v>1474</v>
      </c>
      <c r="H971" s="2" t="s">
        <v>18</v>
      </c>
      <c r="I971" s="2" t="s">
        <v>19</v>
      </c>
      <c r="J971" s="2" t="s">
        <v>25</v>
      </c>
      <c r="K971" s="2">
        <v>110000000</v>
      </c>
      <c r="L971" s="2">
        <v>271900000</v>
      </c>
      <c r="M971" s="2">
        <v>0</v>
      </c>
      <c r="N971" s="2">
        <v>0</v>
      </c>
    </row>
    <row r="972" spans="1:14" x14ac:dyDescent="0.3">
      <c r="A972" s="2">
        <v>1524</v>
      </c>
      <c r="B972" s="2" t="s">
        <v>1628</v>
      </c>
      <c r="C972" s="3">
        <v>35412</v>
      </c>
      <c r="D972" s="2">
        <v>106</v>
      </c>
      <c r="E972" s="2" t="s">
        <v>49</v>
      </c>
      <c r="F972" s="2" t="s">
        <v>81</v>
      </c>
      <c r="G972" s="2" t="s">
        <v>1474</v>
      </c>
      <c r="H972" s="2" t="s">
        <v>18</v>
      </c>
      <c r="I972" s="2" t="s">
        <v>19</v>
      </c>
      <c r="J972" s="2">
        <v>12</v>
      </c>
      <c r="K972" s="2">
        <v>70000000</v>
      </c>
      <c r="L972" s="2">
        <v>101400000</v>
      </c>
      <c r="M972" s="2">
        <v>0</v>
      </c>
      <c r="N972" s="2">
        <v>0</v>
      </c>
    </row>
    <row r="973" spans="1:14" x14ac:dyDescent="0.3">
      <c r="A973" s="2">
        <v>1525</v>
      </c>
      <c r="B973" s="2" t="s">
        <v>1035</v>
      </c>
      <c r="C973" s="3">
        <v>37099</v>
      </c>
      <c r="D973" s="2">
        <v>120</v>
      </c>
      <c r="E973" s="2" t="s">
        <v>49</v>
      </c>
      <c r="F973" s="2" t="s">
        <v>81</v>
      </c>
      <c r="G973" s="2" t="s">
        <v>225</v>
      </c>
      <c r="H973" s="2" t="s">
        <v>18</v>
      </c>
      <c r="I973" s="2" t="s">
        <v>19</v>
      </c>
      <c r="J973" s="2">
        <v>12</v>
      </c>
      <c r="K973" s="2">
        <v>100000000</v>
      </c>
      <c r="L973" s="2">
        <v>362200000</v>
      </c>
      <c r="M973" s="2">
        <v>0</v>
      </c>
      <c r="N973" s="2">
        <v>0</v>
      </c>
    </row>
    <row r="974" spans="1:14" x14ac:dyDescent="0.3">
      <c r="A974" s="2">
        <v>1526</v>
      </c>
      <c r="B974" s="2" t="s">
        <v>1629</v>
      </c>
      <c r="C974" s="3">
        <v>37965</v>
      </c>
      <c r="D974" s="2">
        <v>125</v>
      </c>
      <c r="E974" s="2" t="s">
        <v>52</v>
      </c>
      <c r="F974" s="2" t="s">
        <v>81</v>
      </c>
      <c r="G974" s="2" t="s">
        <v>225</v>
      </c>
      <c r="H974" s="2" t="s">
        <v>18</v>
      </c>
      <c r="I974" s="2" t="s">
        <v>19</v>
      </c>
      <c r="J974" s="2" t="s">
        <v>20</v>
      </c>
      <c r="K974" s="2">
        <v>70000000</v>
      </c>
      <c r="L974" s="2">
        <v>122900000</v>
      </c>
      <c r="M974" s="2">
        <v>1</v>
      </c>
      <c r="N974" s="2">
        <v>0</v>
      </c>
    </row>
    <row r="975" spans="1:14" x14ac:dyDescent="0.3">
      <c r="A975" s="2">
        <v>1527</v>
      </c>
      <c r="B975" s="2" t="s">
        <v>1630</v>
      </c>
      <c r="C975" s="3">
        <v>41040</v>
      </c>
      <c r="D975" s="2">
        <v>113</v>
      </c>
      <c r="E975" s="2" t="s">
        <v>38</v>
      </c>
      <c r="F975" s="2" t="s">
        <v>81</v>
      </c>
      <c r="G975" s="2" t="s">
        <v>70</v>
      </c>
      <c r="H975" s="2" t="s">
        <v>18</v>
      </c>
      <c r="I975" s="2" t="s">
        <v>19</v>
      </c>
      <c r="J975" s="2" t="s">
        <v>25</v>
      </c>
      <c r="K975" s="2">
        <v>150000000</v>
      </c>
      <c r="L975" s="2">
        <v>245500000</v>
      </c>
      <c r="M975" s="2">
        <v>0</v>
      </c>
      <c r="N975" s="2">
        <v>0</v>
      </c>
    </row>
    <row r="976" spans="1:14" x14ac:dyDescent="0.3">
      <c r="A976" s="2">
        <v>1528</v>
      </c>
      <c r="B976" s="2" t="s">
        <v>1631</v>
      </c>
      <c r="C976" s="3">
        <v>39867</v>
      </c>
      <c r="D976" s="2">
        <v>163</v>
      </c>
      <c r="E976" s="2" t="s">
        <v>22</v>
      </c>
      <c r="F976" s="2" t="s">
        <v>291</v>
      </c>
      <c r="G976" s="2" t="s">
        <v>32</v>
      </c>
      <c r="H976" s="2" t="s">
        <v>18</v>
      </c>
      <c r="I976" s="2" t="s">
        <v>19</v>
      </c>
      <c r="J976" s="2">
        <v>18</v>
      </c>
      <c r="K976" s="2">
        <v>130000000</v>
      </c>
      <c r="L976" s="2">
        <v>185300000</v>
      </c>
      <c r="M976" s="2">
        <v>0</v>
      </c>
      <c r="N976" s="2">
        <v>0</v>
      </c>
    </row>
    <row r="977" spans="1:14" x14ac:dyDescent="0.3">
      <c r="A977" s="2">
        <v>1529</v>
      </c>
      <c r="B977" s="2" t="s">
        <v>565</v>
      </c>
      <c r="C977" s="3">
        <v>41435</v>
      </c>
      <c r="D977" s="2">
        <v>143</v>
      </c>
      <c r="E977" s="2" t="s">
        <v>22</v>
      </c>
      <c r="F977" s="2" t="s">
        <v>291</v>
      </c>
      <c r="G977" s="2" t="s">
        <v>32</v>
      </c>
      <c r="H977" s="2" t="s">
        <v>18</v>
      </c>
      <c r="I977" s="2" t="s">
        <v>19</v>
      </c>
      <c r="J977" s="2" t="s">
        <v>25</v>
      </c>
      <c r="K977" s="2">
        <v>225000000</v>
      </c>
      <c r="L977" s="2">
        <v>668000000</v>
      </c>
      <c r="M977" s="2">
        <v>0</v>
      </c>
      <c r="N977" s="2">
        <v>0</v>
      </c>
    </row>
    <row r="978" spans="1:14" x14ac:dyDescent="0.3">
      <c r="A978" s="2">
        <v>1530</v>
      </c>
      <c r="B978" s="2" t="s">
        <v>1632</v>
      </c>
      <c r="C978" s="3">
        <v>40627</v>
      </c>
      <c r="D978" s="2">
        <v>109</v>
      </c>
      <c r="E978" s="2" t="s">
        <v>22</v>
      </c>
      <c r="F978" s="2" t="s">
        <v>291</v>
      </c>
      <c r="G978" s="2" t="s">
        <v>32</v>
      </c>
      <c r="H978" s="2" t="s">
        <v>18</v>
      </c>
      <c r="I978" s="2" t="s">
        <v>19</v>
      </c>
      <c r="J978" s="2" t="s">
        <v>25</v>
      </c>
      <c r="K978" s="2">
        <v>82000000</v>
      </c>
      <c r="L978" s="2">
        <v>89800000</v>
      </c>
      <c r="M978" s="2">
        <v>0</v>
      </c>
      <c r="N978" s="2">
        <v>0</v>
      </c>
    </row>
    <row r="979" spans="1:14" x14ac:dyDescent="0.3">
      <c r="A979" s="2">
        <v>1531</v>
      </c>
      <c r="B979" s="2" t="s">
        <v>937</v>
      </c>
      <c r="C979" s="3">
        <v>38065</v>
      </c>
      <c r="D979" s="2">
        <v>100</v>
      </c>
      <c r="E979" s="2" t="s">
        <v>68</v>
      </c>
      <c r="F979" s="2" t="s">
        <v>291</v>
      </c>
      <c r="G979" s="2" t="s">
        <v>228</v>
      </c>
      <c r="H979" s="2" t="s">
        <v>18</v>
      </c>
      <c r="I979" s="2" t="s">
        <v>19</v>
      </c>
      <c r="J979" s="2">
        <v>18</v>
      </c>
      <c r="K979" s="2">
        <v>26000000</v>
      </c>
      <c r="L979" s="2">
        <v>102400000</v>
      </c>
      <c r="M979" s="2">
        <v>0</v>
      </c>
      <c r="N979" s="2">
        <v>0</v>
      </c>
    </row>
    <row r="980" spans="1:14" x14ac:dyDescent="0.3">
      <c r="A980" s="2">
        <v>1532</v>
      </c>
      <c r="B980" s="2" t="s">
        <v>1633</v>
      </c>
      <c r="C980" s="3">
        <v>42659</v>
      </c>
      <c r="D980" s="2">
        <v>118</v>
      </c>
      <c r="E980" s="2" t="s">
        <v>84</v>
      </c>
      <c r="F980" s="2" t="s">
        <v>127</v>
      </c>
      <c r="G980" s="2" t="s">
        <v>257</v>
      </c>
      <c r="H980" s="2" t="s">
        <v>18</v>
      </c>
      <c r="I980" s="2" t="s">
        <v>19</v>
      </c>
      <c r="J980" s="2" t="s">
        <v>25</v>
      </c>
      <c r="K980" s="2">
        <v>60000000</v>
      </c>
      <c r="L980" s="2">
        <v>156200000</v>
      </c>
      <c r="M980" s="2">
        <v>0</v>
      </c>
      <c r="N980" s="2">
        <v>0</v>
      </c>
    </row>
    <row r="981" spans="1:14" x14ac:dyDescent="0.3">
      <c r="A981" s="2">
        <v>1533</v>
      </c>
      <c r="B981" s="2" t="s">
        <v>1634</v>
      </c>
      <c r="C981" s="3">
        <v>41264</v>
      </c>
      <c r="D981" s="2">
        <v>130</v>
      </c>
      <c r="E981" s="2" t="s">
        <v>84</v>
      </c>
      <c r="F981" s="2" t="s">
        <v>1182</v>
      </c>
      <c r="G981" s="2" t="s">
        <v>257</v>
      </c>
      <c r="H981" s="2" t="s">
        <v>18</v>
      </c>
      <c r="I981" s="2" t="s">
        <v>19</v>
      </c>
      <c r="J981" s="2">
        <v>15</v>
      </c>
      <c r="K981" s="2">
        <v>60000000</v>
      </c>
      <c r="L981" s="2">
        <v>218300000</v>
      </c>
      <c r="M981" s="2">
        <v>0</v>
      </c>
      <c r="N981" s="2">
        <v>0</v>
      </c>
    </row>
    <row r="982" spans="1:14" x14ac:dyDescent="0.3">
      <c r="A982" s="2">
        <v>1534</v>
      </c>
      <c r="B982" s="2" t="s">
        <v>1635</v>
      </c>
      <c r="C982" s="3">
        <v>36777</v>
      </c>
      <c r="D982" s="2">
        <v>119</v>
      </c>
      <c r="E982" s="2" t="s">
        <v>22</v>
      </c>
      <c r="F982" s="2" t="s">
        <v>1182</v>
      </c>
      <c r="G982" s="2" t="s">
        <v>1636</v>
      </c>
      <c r="H982" s="2" t="s">
        <v>18</v>
      </c>
      <c r="I982" s="2" t="s">
        <v>19</v>
      </c>
      <c r="J982" s="2">
        <v>18</v>
      </c>
      <c r="K982" s="2">
        <v>8500000</v>
      </c>
      <c r="L982" s="2">
        <v>13069000</v>
      </c>
      <c r="M982" s="2">
        <v>0</v>
      </c>
      <c r="N982" s="2">
        <v>0</v>
      </c>
    </row>
    <row r="983" spans="1:14" x14ac:dyDescent="0.3">
      <c r="A983" s="2">
        <v>1536</v>
      </c>
      <c r="B983" s="2" t="s">
        <v>1638</v>
      </c>
      <c r="C983" s="3">
        <v>42688</v>
      </c>
      <c r="D983" s="2">
        <v>107</v>
      </c>
      <c r="E983" s="2" t="s">
        <v>60</v>
      </c>
      <c r="F983" s="2" t="s">
        <v>770</v>
      </c>
      <c r="G983" s="2" t="s">
        <v>66</v>
      </c>
      <c r="H983" s="2" t="s">
        <v>18</v>
      </c>
      <c r="I983" s="2" t="s">
        <v>19</v>
      </c>
      <c r="J983" s="2" t="s">
        <v>20</v>
      </c>
      <c r="K983" s="2">
        <v>150000000</v>
      </c>
      <c r="L983" s="2">
        <v>190100000</v>
      </c>
      <c r="M983" s="2">
        <v>0</v>
      </c>
      <c r="N983" s="2">
        <v>0</v>
      </c>
    </row>
    <row r="984" spans="1:14" x14ac:dyDescent="0.3">
      <c r="A984" s="2">
        <v>1537</v>
      </c>
      <c r="B984" s="2" t="s">
        <v>1639</v>
      </c>
      <c r="C984" s="3">
        <v>37951</v>
      </c>
      <c r="D984" s="2">
        <v>91</v>
      </c>
      <c r="E984" s="2" t="s">
        <v>38</v>
      </c>
      <c r="F984" s="2" t="s">
        <v>1640</v>
      </c>
      <c r="G984" s="2" t="s">
        <v>339</v>
      </c>
      <c r="H984" s="2" t="s">
        <v>18</v>
      </c>
      <c r="I984" s="2" t="s">
        <v>19</v>
      </c>
      <c r="J984" s="2">
        <v>15</v>
      </c>
      <c r="K984" s="2">
        <v>23000000</v>
      </c>
      <c r="L984" s="2">
        <v>76500000</v>
      </c>
      <c r="M984" s="2">
        <v>0</v>
      </c>
      <c r="N984" s="2">
        <v>0</v>
      </c>
    </row>
    <row r="985" spans="1:14" x14ac:dyDescent="0.3">
      <c r="A985" s="2">
        <v>1538</v>
      </c>
      <c r="B985" s="2" t="s">
        <v>1641</v>
      </c>
      <c r="C985" s="3">
        <v>42689</v>
      </c>
      <c r="D985" s="2">
        <v>92</v>
      </c>
      <c r="E985" s="2" t="s">
        <v>38</v>
      </c>
      <c r="F985" s="2" t="s">
        <v>1642</v>
      </c>
      <c r="G985" s="2" t="s">
        <v>1481</v>
      </c>
      <c r="H985" s="2" t="s">
        <v>18</v>
      </c>
      <c r="I985" s="2" t="s">
        <v>19</v>
      </c>
      <c r="J985" s="2">
        <v>15</v>
      </c>
      <c r="K985" s="2">
        <v>26000000</v>
      </c>
      <c r="L985" s="2">
        <v>22800000</v>
      </c>
      <c r="M985" s="2">
        <v>0</v>
      </c>
      <c r="N985" s="2">
        <v>0</v>
      </c>
    </row>
    <row r="986" spans="1:14" x14ac:dyDescent="0.3">
      <c r="A986" s="2">
        <v>1539</v>
      </c>
      <c r="B986" s="2" t="s">
        <v>1643</v>
      </c>
      <c r="C986" s="3">
        <v>42714</v>
      </c>
      <c r="D986" s="2">
        <v>133</v>
      </c>
      <c r="E986" s="2" t="s">
        <v>49</v>
      </c>
      <c r="F986" s="2" t="s">
        <v>1644</v>
      </c>
      <c r="G986" s="2" t="s">
        <v>140</v>
      </c>
      <c r="H986" s="2" t="s">
        <v>18</v>
      </c>
      <c r="I986" s="2" t="s">
        <v>19</v>
      </c>
      <c r="J986" s="2" t="s">
        <v>25</v>
      </c>
      <c r="K986" s="2">
        <v>200000000</v>
      </c>
      <c r="L986" s="2">
        <v>388100000</v>
      </c>
      <c r="M986" s="2">
        <v>0</v>
      </c>
      <c r="N986" s="2">
        <v>0</v>
      </c>
    </row>
    <row r="987" spans="1:14" x14ac:dyDescent="0.3">
      <c r="A987" s="2">
        <v>1540</v>
      </c>
      <c r="B987" s="2" t="s">
        <v>1645</v>
      </c>
      <c r="C987" s="3">
        <v>42725</v>
      </c>
      <c r="D987" s="2">
        <v>116</v>
      </c>
      <c r="E987" s="2" t="s">
        <v>49</v>
      </c>
      <c r="F987" s="2" t="s">
        <v>1646</v>
      </c>
      <c r="G987" s="2" t="s">
        <v>70</v>
      </c>
      <c r="H987" s="2" t="s">
        <v>18</v>
      </c>
      <c r="I987" s="2" t="s">
        <v>19</v>
      </c>
      <c r="J987" s="2" t="s">
        <v>25</v>
      </c>
      <c r="K987" s="2">
        <v>110000000</v>
      </c>
      <c r="L987" s="2">
        <v>110000000</v>
      </c>
      <c r="M987" s="2">
        <v>0</v>
      </c>
      <c r="N987" s="2">
        <v>0</v>
      </c>
    </row>
    <row r="988" spans="1:14" x14ac:dyDescent="0.3">
      <c r="A988" s="2">
        <v>1541</v>
      </c>
      <c r="B988" s="2" t="s">
        <v>1647</v>
      </c>
      <c r="C988" s="3">
        <v>41880</v>
      </c>
      <c r="D988" s="2">
        <v>114</v>
      </c>
      <c r="E988" s="2" t="s">
        <v>166</v>
      </c>
      <c r="F988" s="2" t="s">
        <v>1646</v>
      </c>
      <c r="G988" s="2" t="s">
        <v>1648</v>
      </c>
      <c r="H988" s="2" t="s">
        <v>18</v>
      </c>
      <c r="I988" s="2" t="s">
        <v>19</v>
      </c>
      <c r="J988" s="2" t="s">
        <v>25</v>
      </c>
      <c r="K988" s="2">
        <v>14000000</v>
      </c>
      <c r="L988" s="2">
        <v>233600000</v>
      </c>
      <c r="M988" s="2">
        <v>8</v>
      </c>
      <c r="N988" s="2">
        <v>1</v>
      </c>
    </row>
    <row r="989" spans="1:14" x14ac:dyDescent="0.3">
      <c r="A989" s="2">
        <v>1545</v>
      </c>
      <c r="B989" s="2" t="s">
        <v>701</v>
      </c>
      <c r="C989" s="3">
        <v>41767</v>
      </c>
      <c r="D989" s="2">
        <v>123</v>
      </c>
      <c r="E989" s="2" t="s">
        <v>22</v>
      </c>
      <c r="F989" s="2" t="s">
        <v>1644</v>
      </c>
      <c r="G989" s="2" t="s">
        <v>32</v>
      </c>
      <c r="H989" s="2" t="s">
        <v>18</v>
      </c>
      <c r="I989" s="2" t="s">
        <v>19</v>
      </c>
      <c r="J989" s="2" t="s">
        <v>25</v>
      </c>
      <c r="K989" s="2">
        <v>160000000</v>
      </c>
      <c r="L989" s="2">
        <v>529100000</v>
      </c>
      <c r="M989" s="2">
        <v>0</v>
      </c>
      <c r="N989" s="2">
        <v>0</v>
      </c>
    </row>
    <row r="990" spans="1:14" x14ac:dyDescent="0.3">
      <c r="A990" s="2">
        <v>1548</v>
      </c>
      <c r="B990" s="2" t="s">
        <v>1656</v>
      </c>
      <c r="C990" s="3">
        <v>32052</v>
      </c>
      <c r="D990" s="2">
        <v>95</v>
      </c>
      <c r="E990" s="2" t="s">
        <v>68</v>
      </c>
      <c r="F990" s="2" t="s">
        <v>1657</v>
      </c>
      <c r="G990" s="2" t="s">
        <v>399</v>
      </c>
      <c r="H990" s="2" t="s">
        <v>18</v>
      </c>
      <c r="I990" s="2" t="s">
        <v>19</v>
      </c>
      <c r="J990" s="2">
        <v>18</v>
      </c>
      <c r="K990" s="2">
        <v>5000000</v>
      </c>
      <c r="L990" s="2">
        <v>3400000</v>
      </c>
      <c r="M990" s="2">
        <v>0</v>
      </c>
      <c r="N990" s="2">
        <v>0</v>
      </c>
    </row>
    <row r="991" spans="1:14" x14ac:dyDescent="0.3">
      <c r="A991" s="2">
        <v>1550</v>
      </c>
      <c r="B991" s="2" t="s">
        <v>1658</v>
      </c>
      <c r="C991" s="3">
        <v>33431</v>
      </c>
      <c r="D991" s="2">
        <v>122</v>
      </c>
      <c r="E991" s="2" t="s">
        <v>22</v>
      </c>
      <c r="F991" s="2" t="s">
        <v>1657</v>
      </c>
      <c r="G991" s="2" t="s">
        <v>36</v>
      </c>
      <c r="H991" s="2" t="s">
        <v>18</v>
      </c>
      <c r="I991" s="2" t="s">
        <v>19</v>
      </c>
      <c r="J991" s="2">
        <v>18</v>
      </c>
      <c r="K991" s="2">
        <v>24000000</v>
      </c>
      <c r="L991" s="2">
        <v>83500000</v>
      </c>
      <c r="M991" s="2">
        <v>0</v>
      </c>
      <c r="N991" s="2">
        <v>0</v>
      </c>
    </row>
    <row r="992" spans="1:14" x14ac:dyDescent="0.3">
      <c r="A992" s="2">
        <v>1551</v>
      </c>
      <c r="B992" s="2" t="s">
        <v>1658</v>
      </c>
      <c r="C992" s="3">
        <v>42342</v>
      </c>
      <c r="D992" s="2">
        <v>114</v>
      </c>
      <c r="E992" s="2" t="s">
        <v>22</v>
      </c>
      <c r="F992" s="2" t="s">
        <v>1659</v>
      </c>
      <c r="G992" s="2" t="s">
        <v>497</v>
      </c>
      <c r="H992" s="2" t="s">
        <v>18</v>
      </c>
      <c r="I992" s="2" t="s">
        <v>19</v>
      </c>
      <c r="J992" s="2" t="s">
        <v>25</v>
      </c>
      <c r="K992" s="2">
        <v>105000000</v>
      </c>
      <c r="L992" s="2">
        <v>133700000</v>
      </c>
      <c r="M992" s="2">
        <v>0</v>
      </c>
      <c r="N992" s="2">
        <v>0</v>
      </c>
    </row>
    <row r="993" spans="1:14" x14ac:dyDescent="0.3">
      <c r="A993" s="2">
        <v>1552</v>
      </c>
      <c r="B993" s="2" t="s">
        <v>1660</v>
      </c>
      <c r="C993" s="3">
        <v>38954</v>
      </c>
      <c r="D993" s="2">
        <v>104</v>
      </c>
      <c r="E993" s="2" t="s">
        <v>364</v>
      </c>
      <c r="F993" s="2" t="s">
        <v>1659</v>
      </c>
      <c r="G993" s="2" t="s">
        <v>66</v>
      </c>
      <c r="H993" s="2" t="s">
        <v>18</v>
      </c>
      <c r="I993" s="2" t="s">
        <v>19</v>
      </c>
      <c r="J993" s="2" t="s">
        <v>20</v>
      </c>
      <c r="K993" s="2">
        <v>30000000</v>
      </c>
      <c r="L993" s="2">
        <v>58500000</v>
      </c>
      <c r="M993" s="2">
        <v>0</v>
      </c>
      <c r="N993" s="2">
        <v>0</v>
      </c>
    </row>
    <row r="994" spans="1:14" x14ac:dyDescent="0.3">
      <c r="A994" s="2">
        <v>1553</v>
      </c>
      <c r="B994" s="2" t="s">
        <v>1661</v>
      </c>
      <c r="C994" s="3">
        <v>34985</v>
      </c>
      <c r="D994" s="2">
        <v>145</v>
      </c>
      <c r="E994" s="2" t="s">
        <v>49</v>
      </c>
      <c r="F994" s="2" t="s">
        <v>1657</v>
      </c>
      <c r="G994" s="2" t="s">
        <v>188</v>
      </c>
      <c r="H994" s="2" t="s">
        <v>18</v>
      </c>
      <c r="I994" s="2" t="s">
        <v>19</v>
      </c>
      <c r="J994" s="2">
        <v>18</v>
      </c>
      <c r="K994" s="2">
        <v>42000000</v>
      </c>
      <c r="L994" s="2">
        <v>8000000</v>
      </c>
      <c r="M994" s="2">
        <v>0</v>
      </c>
      <c r="N994" s="2">
        <v>0</v>
      </c>
    </row>
    <row r="995" spans="1:14" x14ac:dyDescent="0.3">
      <c r="A995" s="2">
        <v>1554</v>
      </c>
      <c r="B995" s="2" t="s">
        <v>1662</v>
      </c>
      <c r="C995" s="3">
        <v>37456</v>
      </c>
      <c r="D995" s="2">
        <v>138</v>
      </c>
      <c r="E995" s="2" t="s">
        <v>84</v>
      </c>
      <c r="F995" s="2" t="s">
        <v>1657</v>
      </c>
      <c r="G995" s="2" t="s">
        <v>671</v>
      </c>
      <c r="H995" s="2" t="s">
        <v>18</v>
      </c>
      <c r="I995" s="2" t="s">
        <v>19</v>
      </c>
      <c r="J995" s="2" t="s">
        <v>25</v>
      </c>
      <c r="K995" s="2">
        <v>100000000</v>
      </c>
      <c r="L995" s="2">
        <v>65700000</v>
      </c>
      <c r="M995" s="2">
        <v>0</v>
      </c>
      <c r="N995" s="2">
        <v>0</v>
      </c>
    </row>
    <row r="996" spans="1:14" x14ac:dyDescent="0.3">
      <c r="A996" s="2">
        <v>1555</v>
      </c>
      <c r="B996" s="2" t="s">
        <v>1663</v>
      </c>
      <c r="C996" s="3">
        <v>39695</v>
      </c>
      <c r="D996" s="2">
        <v>131</v>
      </c>
      <c r="E996" s="2" t="s">
        <v>45</v>
      </c>
      <c r="F996" s="2" t="s">
        <v>1657</v>
      </c>
      <c r="G996" s="2" t="s">
        <v>497</v>
      </c>
      <c r="H996" s="2" t="s">
        <v>18</v>
      </c>
      <c r="I996" s="2" t="s">
        <v>19</v>
      </c>
      <c r="J996" s="2">
        <v>15</v>
      </c>
      <c r="K996" s="2">
        <v>15000000</v>
      </c>
      <c r="L996" s="2">
        <v>49200000</v>
      </c>
      <c r="M996" s="2">
        <v>9</v>
      </c>
      <c r="N996" s="2">
        <v>6</v>
      </c>
    </row>
    <row r="997" spans="1:14" x14ac:dyDescent="0.3">
      <c r="A997" s="2">
        <v>1556</v>
      </c>
      <c r="B997" s="2" t="s">
        <v>1664</v>
      </c>
      <c r="C997" s="3">
        <v>41262</v>
      </c>
      <c r="D997" s="2">
        <v>157</v>
      </c>
      <c r="E997" s="2" t="s">
        <v>84</v>
      </c>
      <c r="F997" s="2" t="s">
        <v>1657</v>
      </c>
      <c r="G997" s="2" t="s">
        <v>213</v>
      </c>
      <c r="H997" s="2" t="s">
        <v>18</v>
      </c>
      <c r="I997" s="2" t="s">
        <v>19</v>
      </c>
      <c r="J997" s="2">
        <v>15</v>
      </c>
      <c r="K997" s="2">
        <v>40000000</v>
      </c>
      <c r="L997" s="2">
        <v>132800000</v>
      </c>
      <c r="M997" s="2">
        <v>5</v>
      </c>
      <c r="N997" s="2">
        <v>1</v>
      </c>
    </row>
    <row r="998" spans="1:14" x14ac:dyDescent="0.3">
      <c r="A998" s="2">
        <v>1562</v>
      </c>
      <c r="B998" s="2" t="s">
        <v>1669</v>
      </c>
      <c r="C998" s="3">
        <v>42218</v>
      </c>
      <c r="D998" s="2">
        <v>116</v>
      </c>
      <c r="E998" s="2" t="s">
        <v>22</v>
      </c>
      <c r="F998" s="2" t="s">
        <v>626</v>
      </c>
      <c r="G998" s="2" t="s">
        <v>174</v>
      </c>
      <c r="H998" s="2" t="s">
        <v>18</v>
      </c>
      <c r="I998" s="2" t="s">
        <v>19</v>
      </c>
      <c r="J998" s="2" t="s">
        <v>25</v>
      </c>
      <c r="K998" s="2">
        <v>75000000</v>
      </c>
      <c r="L998" s="2">
        <v>109800000</v>
      </c>
      <c r="M998" s="2">
        <v>0</v>
      </c>
      <c r="N998" s="2">
        <v>0</v>
      </c>
    </row>
    <row r="999" spans="1:14" x14ac:dyDescent="0.3">
      <c r="A999" s="2">
        <v>1563</v>
      </c>
      <c r="B999" s="2" t="s">
        <v>1670</v>
      </c>
      <c r="C999" s="3">
        <v>41059</v>
      </c>
      <c r="D999" s="2">
        <v>124</v>
      </c>
      <c r="E999" s="2" t="s">
        <v>49</v>
      </c>
      <c r="F999" s="2" t="s">
        <v>160</v>
      </c>
      <c r="G999" s="2" t="s">
        <v>161</v>
      </c>
      <c r="H999" s="2" t="s">
        <v>18</v>
      </c>
      <c r="I999" s="2" t="s">
        <v>19</v>
      </c>
      <c r="J999" s="2">
        <v>15</v>
      </c>
      <c r="K999" s="2">
        <v>130000000</v>
      </c>
      <c r="L999" s="2">
        <v>403400000</v>
      </c>
      <c r="M999" s="2">
        <v>1</v>
      </c>
      <c r="N999" s="2">
        <v>0</v>
      </c>
    </row>
    <row r="1000" spans="1:14" x14ac:dyDescent="0.3">
      <c r="A1000" s="2">
        <v>1564</v>
      </c>
      <c r="B1000" s="2" t="s">
        <v>1671</v>
      </c>
      <c r="C1000" s="3">
        <v>31394</v>
      </c>
      <c r="D1000" s="2">
        <v>125</v>
      </c>
      <c r="E1000" s="2" t="s">
        <v>52</v>
      </c>
      <c r="F1000" s="2" t="s">
        <v>160</v>
      </c>
      <c r="G1000" s="2" t="s">
        <v>1580</v>
      </c>
      <c r="H1000" s="2" t="s">
        <v>18</v>
      </c>
      <c r="I1000" s="2" t="s">
        <v>19</v>
      </c>
      <c r="J1000" s="2" t="s">
        <v>20</v>
      </c>
      <c r="K1000" s="2">
        <v>24500000</v>
      </c>
      <c r="L1000" s="2">
        <v>15500000</v>
      </c>
      <c r="M1000" s="2">
        <v>1</v>
      </c>
      <c r="N1000" s="2">
        <v>0</v>
      </c>
    </row>
    <row r="1001" spans="1:14" x14ac:dyDescent="0.3">
      <c r="A1001" s="2">
        <v>1565</v>
      </c>
      <c r="B1001" s="2" t="s">
        <v>1672</v>
      </c>
      <c r="C1001" s="3">
        <v>32773</v>
      </c>
      <c r="D1001" s="2">
        <v>125</v>
      </c>
      <c r="E1001" s="2" t="s">
        <v>84</v>
      </c>
      <c r="F1001" s="2" t="s">
        <v>160</v>
      </c>
      <c r="G1001" s="2" t="s">
        <v>257</v>
      </c>
      <c r="H1001" s="2" t="s">
        <v>18</v>
      </c>
      <c r="I1001" s="2" t="s">
        <v>19</v>
      </c>
      <c r="J1001" s="2">
        <v>18</v>
      </c>
      <c r="K1001" s="2">
        <v>30000000</v>
      </c>
      <c r="L1001" s="2">
        <v>134200000</v>
      </c>
      <c r="M1001" s="2">
        <v>2</v>
      </c>
      <c r="N1001" s="2">
        <v>0</v>
      </c>
    </row>
    <row r="1002" spans="1:14" x14ac:dyDescent="0.3">
      <c r="A1002" s="2">
        <v>1566</v>
      </c>
      <c r="B1002" s="2" t="s">
        <v>1673</v>
      </c>
      <c r="C1002" s="3">
        <v>33382</v>
      </c>
      <c r="D1002" s="2">
        <v>129</v>
      </c>
      <c r="E1002" s="2" t="s">
        <v>15</v>
      </c>
      <c r="F1002" s="2" t="s">
        <v>160</v>
      </c>
      <c r="G1002" s="2" t="s">
        <v>1083</v>
      </c>
      <c r="H1002" s="2" t="s">
        <v>18</v>
      </c>
      <c r="I1002" s="2" t="s">
        <v>19</v>
      </c>
      <c r="J1002" s="2">
        <v>15</v>
      </c>
      <c r="K1002" s="2">
        <v>16500000</v>
      </c>
      <c r="L1002" s="2">
        <v>45400000</v>
      </c>
      <c r="M1002" s="2">
        <v>6</v>
      </c>
      <c r="N1002" s="2">
        <v>1</v>
      </c>
    </row>
    <row r="1003" spans="1:14" x14ac:dyDescent="0.3">
      <c r="A1003" s="2">
        <v>1567</v>
      </c>
      <c r="B1003" s="2" t="s">
        <v>1674</v>
      </c>
      <c r="C1003" s="3">
        <v>33886</v>
      </c>
      <c r="D1003" s="2">
        <v>142</v>
      </c>
      <c r="E1003" s="2" t="s">
        <v>15</v>
      </c>
      <c r="F1003" s="2" t="s">
        <v>160</v>
      </c>
      <c r="G1003" s="2" t="s">
        <v>257</v>
      </c>
      <c r="H1003" s="2" t="s">
        <v>18</v>
      </c>
      <c r="I1003" s="2" t="s">
        <v>19</v>
      </c>
      <c r="J1003" s="2">
        <v>15</v>
      </c>
      <c r="K1003" s="2">
        <v>47000000</v>
      </c>
      <c r="L1003" s="2">
        <v>7200000</v>
      </c>
      <c r="M1003" s="2">
        <v>0</v>
      </c>
      <c r="N1003" s="2">
        <v>0</v>
      </c>
    </row>
    <row r="1004" spans="1:14" x14ac:dyDescent="0.3">
      <c r="A1004" s="2">
        <v>1568</v>
      </c>
      <c r="B1004" s="2" t="s">
        <v>1675</v>
      </c>
      <c r="C1004" s="3">
        <v>35664</v>
      </c>
      <c r="D1004" s="2">
        <v>124</v>
      </c>
      <c r="E1004" s="2" t="s">
        <v>45</v>
      </c>
      <c r="F1004" s="2" t="s">
        <v>160</v>
      </c>
      <c r="G1004" s="2" t="s">
        <v>161</v>
      </c>
      <c r="H1004" s="2" t="s">
        <v>18</v>
      </c>
      <c r="I1004" s="2" t="s">
        <v>19</v>
      </c>
      <c r="J1004" s="2">
        <v>15</v>
      </c>
      <c r="K1004" s="2">
        <v>50000000</v>
      </c>
      <c r="L1004" s="2">
        <v>97100000</v>
      </c>
      <c r="M1004" s="2">
        <v>0</v>
      </c>
      <c r="N1004" s="2">
        <v>0</v>
      </c>
    </row>
    <row r="1005" spans="1:14" x14ac:dyDescent="0.3">
      <c r="A1005" s="2">
        <v>1569</v>
      </c>
      <c r="B1005" s="2" t="s">
        <v>1676</v>
      </c>
      <c r="C1005" s="3">
        <v>37876</v>
      </c>
      <c r="D1005" s="2">
        <v>116</v>
      </c>
      <c r="E1005" s="2" t="s">
        <v>150</v>
      </c>
      <c r="F1005" s="2" t="s">
        <v>160</v>
      </c>
      <c r="G1005" s="2" t="s">
        <v>161</v>
      </c>
      <c r="H1005" s="2" t="s">
        <v>18</v>
      </c>
      <c r="I1005" s="2" t="s">
        <v>19</v>
      </c>
      <c r="J1005" s="2" t="s">
        <v>25</v>
      </c>
      <c r="K1005" s="2">
        <v>62000000</v>
      </c>
      <c r="L1005" s="2">
        <v>65600000</v>
      </c>
      <c r="M1005" s="2">
        <v>0</v>
      </c>
      <c r="N1005" s="2">
        <v>0</v>
      </c>
    </row>
    <row r="1006" spans="1:14" x14ac:dyDescent="0.3">
      <c r="A1006" s="2">
        <v>1570</v>
      </c>
      <c r="B1006" s="2" t="s">
        <v>1677</v>
      </c>
      <c r="C1006" s="3">
        <v>39731</v>
      </c>
      <c r="D1006" s="2">
        <v>128</v>
      </c>
      <c r="E1006" s="2" t="s">
        <v>22</v>
      </c>
      <c r="F1006" s="2" t="s">
        <v>160</v>
      </c>
      <c r="G1006" s="2" t="s">
        <v>161</v>
      </c>
      <c r="H1006" s="2" t="s">
        <v>18</v>
      </c>
      <c r="I1006" s="2" t="s">
        <v>19</v>
      </c>
      <c r="J1006" s="2">
        <v>15</v>
      </c>
      <c r="K1006" s="2">
        <v>70000000</v>
      </c>
      <c r="L1006" s="2">
        <v>115100000</v>
      </c>
      <c r="M1006" s="2">
        <v>0</v>
      </c>
      <c r="N1006" s="2">
        <v>0</v>
      </c>
    </row>
    <row r="1007" spans="1:14" x14ac:dyDescent="0.3">
      <c r="A1007" s="2">
        <v>1571</v>
      </c>
      <c r="B1007" s="2" t="s">
        <v>991</v>
      </c>
      <c r="C1007" s="3">
        <v>40310</v>
      </c>
      <c r="D1007" s="2">
        <v>140</v>
      </c>
      <c r="E1007" s="2" t="s">
        <v>15</v>
      </c>
      <c r="F1007" s="2" t="s">
        <v>160</v>
      </c>
      <c r="G1007" s="2" t="s">
        <v>161</v>
      </c>
      <c r="H1007" s="2" t="s">
        <v>18</v>
      </c>
      <c r="I1007" s="2" t="s">
        <v>19</v>
      </c>
      <c r="J1007" s="2" t="s">
        <v>25</v>
      </c>
      <c r="K1007" s="2">
        <v>200000000</v>
      </c>
      <c r="L1007" s="2">
        <v>321700000</v>
      </c>
      <c r="M1007" s="2">
        <v>0</v>
      </c>
      <c r="N1007" s="2">
        <v>0</v>
      </c>
    </row>
    <row r="1008" spans="1:14" x14ac:dyDescent="0.3">
      <c r="A1008" s="2">
        <v>1573</v>
      </c>
      <c r="B1008" s="2" t="s">
        <v>1679</v>
      </c>
      <c r="C1008" s="3">
        <v>41985</v>
      </c>
      <c r="D1008" s="2">
        <v>150</v>
      </c>
      <c r="E1008" s="2" t="s">
        <v>15</v>
      </c>
      <c r="F1008" s="2" t="s">
        <v>160</v>
      </c>
      <c r="G1008" s="2" t="s">
        <v>161</v>
      </c>
      <c r="H1008" s="2" t="s">
        <v>18</v>
      </c>
      <c r="I1008" s="2" t="s">
        <v>19</v>
      </c>
      <c r="J1008" s="2" t="s">
        <v>25</v>
      </c>
      <c r="K1008" s="2">
        <v>145000000</v>
      </c>
      <c r="L1008" s="2">
        <v>268200000</v>
      </c>
      <c r="M1008" s="2">
        <v>0</v>
      </c>
      <c r="N1008" s="2">
        <v>0</v>
      </c>
    </row>
    <row r="1009" spans="1:14" x14ac:dyDescent="0.3">
      <c r="A1009" s="2">
        <v>1574</v>
      </c>
      <c r="B1009" s="2" t="s">
        <v>1680</v>
      </c>
      <c r="C1009" s="3">
        <v>39769</v>
      </c>
      <c r="D1009" s="2">
        <v>121</v>
      </c>
      <c r="E1009" s="2" t="s">
        <v>575</v>
      </c>
      <c r="F1009" s="2" t="s">
        <v>1681</v>
      </c>
      <c r="G1009" s="2" t="s">
        <v>588</v>
      </c>
      <c r="H1009" s="2" t="s">
        <v>18</v>
      </c>
      <c r="I1009" s="2" t="s">
        <v>19</v>
      </c>
      <c r="J1009" s="2" t="s">
        <v>25</v>
      </c>
      <c r="K1009" s="2">
        <v>37000000</v>
      </c>
      <c r="L1009" s="2">
        <v>393616000</v>
      </c>
      <c r="M1009" s="2">
        <v>0</v>
      </c>
      <c r="N1009" s="2">
        <v>0</v>
      </c>
    </row>
    <row r="1010" spans="1:14" x14ac:dyDescent="0.3">
      <c r="A1010" s="2">
        <v>1577</v>
      </c>
      <c r="B1010" s="2" t="s">
        <v>1687</v>
      </c>
      <c r="C1010" s="3">
        <v>41341</v>
      </c>
      <c r="D1010" s="2">
        <v>117</v>
      </c>
      <c r="E1010" s="2" t="s">
        <v>150</v>
      </c>
      <c r="F1010" s="2" t="s">
        <v>1683</v>
      </c>
      <c r="G1010" s="2" t="s">
        <v>97</v>
      </c>
      <c r="H1010" s="2" t="s">
        <v>18</v>
      </c>
      <c r="I1010" s="2" t="s">
        <v>19</v>
      </c>
      <c r="J1010" s="2">
        <v>15</v>
      </c>
      <c r="K1010" s="2">
        <v>30000000</v>
      </c>
      <c r="L1010" s="2">
        <v>18100000</v>
      </c>
      <c r="M1010" s="2">
        <v>0</v>
      </c>
      <c r="N1010" s="2">
        <v>0</v>
      </c>
    </row>
    <row r="1011" spans="1:14" x14ac:dyDescent="0.3">
      <c r="A1011" s="2">
        <v>1580</v>
      </c>
      <c r="B1011" s="2" t="s">
        <v>1682</v>
      </c>
      <c r="C1011" s="3">
        <v>40889</v>
      </c>
      <c r="D1011" s="2">
        <v>158</v>
      </c>
      <c r="E1011" s="2" t="s">
        <v>84</v>
      </c>
      <c r="F1011" s="2" t="s">
        <v>268</v>
      </c>
      <c r="G1011" s="2" t="s">
        <v>280</v>
      </c>
      <c r="H1011" s="2" t="s">
        <v>18</v>
      </c>
      <c r="I1011" s="2" t="s">
        <v>19</v>
      </c>
      <c r="J1011" s="2">
        <v>18</v>
      </c>
      <c r="K1011" s="2">
        <v>90000000</v>
      </c>
      <c r="L1011" s="2">
        <v>232600000</v>
      </c>
      <c r="M1011" s="2">
        <v>5</v>
      </c>
      <c r="N1011" s="2">
        <v>1</v>
      </c>
    </row>
    <row r="1012" spans="1:14" x14ac:dyDescent="0.3">
      <c r="A1012" s="2">
        <v>1581</v>
      </c>
      <c r="B1012" s="2" t="s">
        <v>1690</v>
      </c>
      <c r="C1012" s="3">
        <v>41925</v>
      </c>
      <c r="D1012" s="2">
        <v>101</v>
      </c>
      <c r="E1012" s="2" t="s">
        <v>22</v>
      </c>
      <c r="F1012" s="2" t="s">
        <v>1691</v>
      </c>
      <c r="G1012" s="2" t="s">
        <v>497</v>
      </c>
      <c r="H1012" s="2" t="s">
        <v>18</v>
      </c>
      <c r="I1012" s="2" t="s">
        <v>19</v>
      </c>
      <c r="J1012" s="2">
        <v>15</v>
      </c>
      <c r="K1012" s="2">
        <v>20000000</v>
      </c>
      <c r="L1012" s="2">
        <v>86000000</v>
      </c>
      <c r="M1012" s="2">
        <v>0</v>
      </c>
      <c r="N1012" s="2">
        <v>0</v>
      </c>
    </row>
    <row r="1013" spans="1:14" x14ac:dyDescent="0.3">
      <c r="A1013" s="2">
        <v>1583</v>
      </c>
      <c r="B1013" s="2" t="s">
        <v>1695</v>
      </c>
      <c r="C1013" s="3">
        <v>42354</v>
      </c>
      <c r="D1013" s="2">
        <v>156</v>
      </c>
      <c r="E1013" s="2" t="s">
        <v>15</v>
      </c>
      <c r="F1013" s="2" t="s">
        <v>1696</v>
      </c>
      <c r="G1013" s="2" t="s">
        <v>164</v>
      </c>
      <c r="H1013" s="2" t="s">
        <v>18</v>
      </c>
      <c r="I1013" s="2" t="s">
        <v>19</v>
      </c>
      <c r="J1013" s="2">
        <v>15</v>
      </c>
      <c r="K1013" s="2">
        <v>135000000</v>
      </c>
      <c r="L1013" s="2">
        <v>533000000</v>
      </c>
      <c r="M1013" s="2">
        <v>12</v>
      </c>
      <c r="N1013" s="2">
        <v>3</v>
      </c>
    </row>
    <row r="1014" spans="1:14" x14ac:dyDescent="0.3">
      <c r="A1014" s="2">
        <v>1584</v>
      </c>
      <c r="B1014" s="2" t="s">
        <v>1697</v>
      </c>
      <c r="C1014" s="3">
        <v>41878</v>
      </c>
      <c r="D1014" s="2">
        <v>119</v>
      </c>
      <c r="E1014" s="2" t="s">
        <v>38</v>
      </c>
      <c r="F1014" s="2" t="s">
        <v>1696</v>
      </c>
      <c r="G1014" s="2" t="s">
        <v>164</v>
      </c>
      <c r="H1014" s="2" t="s">
        <v>18</v>
      </c>
      <c r="I1014" s="2" t="s">
        <v>19</v>
      </c>
      <c r="J1014" s="2">
        <v>15</v>
      </c>
      <c r="K1014" s="2">
        <v>18000000</v>
      </c>
      <c r="L1014" s="2">
        <v>103200000</v>
      </c>
      <c r="M1014" s="2">
        <v>9</v>
      </c>
      <c r="N1014" s="2">
        <v>4</v>
      </c>
    </row>
    <row r="1015" spans="1:14" x14ac:dyDescent="0.3">
      <c r="A1015" s="2">
        <v>1585</v>
      </c>
      <c r="B1015" s="2" t="s">
        <v>1698</v>
      </c>
      <c r="C1015" s="3">
        <v>37981</v>
      </c>
      <c r="D1015" s="2">
        <v>124</v>
      </c>
      <c r="E1015" s="2" t="s">
        <v>190</v>
      </c>
      <c r="F1015" s="2" t="s">
        <v>1696</v>
      </c>
      <c r="G1015" s="2" t="s">
        <v>1699</v>
      </c>
      <c r="H1015" s="2" t="s">
        <v>18</v>
      </c>
      <c r="I1015" s="2" t="s">
        <v>19</v>
      </c>
      <c r="J1015" s="2">
        <v>15</v>
      </c>
      <c r="K1015" s="2">
        <v>20000000</v>
      </c>
      <c r="L1015" s="2">
        <v>60400000</v>
      </c>
      <c r="M1015" s="2">
        <v>2</v>
      </c>
      <c r="N1015" s="2">
        <v>0</v>
      </c>
    </row>
    <row r="1016" spans="1:14" x14ac:dyDescent="0.3">
      <c r="A1016" s="2">
        <v>1586</v>
      </c>
      <c r="B1016" s="2" t="s">
        <v>1700</v>
      </c>
      <c r="C1016" s="3">
        <v>41089</v>
      </c>
      <c r="D1016" s="2">
        <v>106</v>
      </c>
      <c r="E1016" s="2" t="s">
        <v>38</v>
      </c>
      <c r="F1016" s="2" t="s">
        <v>1701</v>
      </c>
      <c r="G1016" s="2" t="s">
        <v>103</v>
      </c>
      <c r="H1016" s="2" t="s">
        <v>18</v>
      </c>
      <c r="I1016" s="2" t="s">
        <v>19</v>
      </c>
      <c r="J1016" s="2">
        <v>15</v>
      </c>
      <c r="K1016" s="2">
        <v>51000000</v>
      </c>
      <c r="L1016" s="2">
        <v>549400000</v>
      </c>
      <c r="M1016" s="2">
        <v>1</v>
      </c>
      <c r="N1016" s="2">
        <v>0</v>
      </c>
    </row>
    <row r="1017" spans="1:14" x14ac:dyDescent="0.3">
      <c r="A1017" s="2">
        <v>1587</v>
      </c>
      <c r="B1017" s="2" t="s">
        <v>1702</v>
      </c>
      <c r="C1017" s="3">
        <v>42179</v>
      </c>
      <c r="D1017" s="2">
        <v>115</v>
      </c>
      <c r="E1017" s="2" t="s">
        <v>38</v>
      </c>
      <c r="F1017" s="2" t="s">
        <v>1701</v>
      </c>
      <c r="G1017" s="2" t="s">
        <v>103</v>
      </c>
      <c r="H1017" s="2" t="s">
        <v>18</v>
      </c>
      <c r="I1017" s="2" t="s">
        <v>19</v>
      </c>
      <c r="J1017" s="2">
        <v>15</v>
      </c>
      <c r="K1017" s="2">
        <v>68000000</v>
      </c>
      <c r="L1017" s="2">
        <v>216700000</v>
      </c>
      <c r="M1017" s="2">
        <v>0</v>
      </c>
      <c r="N1017" s="2">
        <v>0</v>
      </c>
    </row>
    <row r="1018" spans="1:14" x14ac:dyDescent="0.3">
      <c r="A1018" s="2">
        <v>1588</v>
      </c>
      <c r="B1018" s="2" t="s">
        <v>1703</v>
      </c>
      <c r="C1018" s="3">
        <v>41789</v>
      </c>
      <c r="D1018" s="2">
        <v>116</v>
      </c>
      <c r="E1018" s="2" t="s">
        <v>38</v>
      </c>
      <c r="F1018" s="2" t="s">
        <v>1701</v>
      </c>
      <c r="G1018" s="2" t="s">
        <v>103</v>
      </c>
      <c r="H1018" s="2" t="s">
        <v>18</v>
      </c>
      <c r="I1018" s="2" t="s">
        <v>19</v>
      </c>
      <c r="J1018" s="2">
        <v>15</v>
      </c>
      <c r="K1018" s="2">
        <v>40000000</v>
      </c>
      <c r="L1018" s="2">
        <v>87200000</v>
      </c>
      <c r="M1018" s="2">
        <v>0</v>
      </c>
      <c r="N1018" s="2">
        <v>0</v>
      </c>
    </row>
    <row r="1019" spans="1:14" x14ac:dyDescent="0.3">
      <c r="A1019" s="2">
        <v>1589</v>
      </c>
      <c r="B1019" s="2" t="s">
        <v>1704</v>
      </c>
      <c r="C1019" s="3">
        <v>41291</v>
      </c>
      <c r="D1019" s="2">
        <v>88</v>
      </c>
      <c r="E1019" s="2" t="s">
        <v>22</v>
      </c>
      <c r="F1019" s="2" t="s">
        <v>1705</v>
      </c>
      <c r="G1019" s="2" t="s">
        <v>257</v>
      </c>
      <c r="H1019" s="2" t="s">
        <v>18</v>
      </c>
      <c r="I1019" s="2" t="s">
        <v>19</v>
      </c>
      <c r="J1019" s="2">
        <v>15</v>
      </c>
      <c r="K1019" s="2">
        <v>50000000</v>
      </c>
      <c r="L1019" s="2">
        <v>226300000</v>
      </c>
      <c r="M1019" s="2">
        <v>0</v>
      </c>
      <c r="N1019" s="2">
        <v>0</v>
      </c>
    </row>
    <row r="1020" spans="1:14" x14ac:dyDescent="0.3">
      <c r="A1020" s="2">
        <v>1590</v>
      </c>
      <c r="B1020" s="2" t="s">
        <v>1706</v>
      </c>
      <c r="C1020" s="3">
        <v>39352</v>
      </c>
      <c r="D1020" s="2">
        <v>158</v>
      </c>
      <c r="E1020" s="2" t="s">
        <v>190</v>
      </c>
      <c r="F1020" s="2" t="s">
        <v>1707</v>
      </c>
      <c r="G1020" s="2" t="s">
        <v>1481</v>
      </c>
      <c r="H1020" s="2" t="s">
        <v>18</v>
      </c>
      <c r="I1020" s="2" t="s">
        <v>19</v>
      </c>
      <c r="J1020" s="2">
        <v>15</v>
      </c>
      <c r="K1020" s="2">
        <v>25000000</v>
      </c>
      <c r="L1020" s="2">
        <v>76200000</v>
      </c>
      <c r="M1020" s="2">
        <v>8</v>
      </c>
      <c r="N1020" s="2">
        <v>2</v>
      </c>
    </row>
    <row r="1021" spans="1:14" x14ac:dyDescent="0.3">
      <c r="A1021" s="2">
        <v>1591</v>
      </c>
      <c r="B1021" s="2" t="s">
        <v>1708</v>
      </c>
      <c r="C1021" s="3">
        <v>37395</v>
      </c>
      <c r="D1021" s="2">
        <v>95</v>
      </c>
      <c r="E1021" s="2" t="s">
        <v>34</v>
      </c>
      <c r="F1021" s="2" t="s">
        <v>1707</v>
      </c>
      <c r="G1021" s="2" t="s">
        <v>204</v>
      </c>
      <c r="H1021" s="2" t="s">
        <v>18</v>
      </c>
      <c r="I1021" s="2" t="s">
        <v>19</v>
      </c>
      <c r="J1021" s="2">
        <v>15</v>
      </c>
      <c r="K1021" s="2">
        <v>25000000</v>
      </c>
      <c r="L1021" s="2">
        <v>24700000</v>
      </c>
      <c r="M1021" s="2">
        <v>0</v>
      </c>
      <c r="N1021" s="2">
        <v>0</v>
      </c>
    </row>
    <row r="1022" spans="1:14" x14ac:dyDescent="0.3">
      <c r="A1022" s="2">
        <v>1592</v>
      </c>
      <c r="B1022" s="2" t="s">
        <v>1286</v>
      </c>
      <c r="C1022" s="3">
        <v>41153</v>
      </c>
      <c r="D1022" s="2">
        <v>137</v>
      </c>
      <c r="E1022" s="2" t="s">
        <v>190</v>
      </c>
      <c r="F1022" s="2" t="s">
        <v>1707</v>
      </c>
      <c r="G1022" s="2" t="s">
        <v>1709</v>
      </c>
      <c r="H1022" s="2" t="s">
        <v>18</v>
      </c>
      <c r="I1022" s="2" t="s">
        <v>19</v>
      </c>
      <c r="J1022" s="2">
        <v>15</v>
      </c>
      <c r="K1022" s="2">
        <v>32000000</v>
      </c>
      <c r="L1022" s="2">
        <v>28300000</v>
      </c>
      <c r="M1022" s="2">
        <v>3</v>
      </c>
      <c r="N1022" s="2">
        <v>0</v>
      </c>
    </row>
    <row r="1023" spans="1:14" x14ac:dyDescent="0.3">
      <c r="A1023" s="2">
        <v>1593</v>
      </c>
      <c r="B1023" s="2" t="s">
        <v>1710</v>
      </c>
      <c r="C1023" s="3">
        <v>41916</v>
      </c>
      <c r="D1023" s="2">
        <v>149</v>
      </c>
      <c r="E1023" s="2" t="s">
        <v>150</v>
      </c>
      <c r="F1023" s="2" t="s">
        <v>1707</v>
      </c>
      <c r="G1023" s="2" t="s">
        <v>130</v>
      </c>
      <c r="H1023" s="2" t="s">
        <v>18</v>
      </c>
      <c r="I1023" s="2" t="s">
        <v>19</v>
      </c>
      <c r="J1023" s="2">
        <v>15</v>
      </c>
      <c r="K1023" s="2">
        <v>20000000</v>
      </c>
      <c r="L1023" s="2">
        <v>14700000</v>
      </c>
      <c r="M1023" s="2">
        <v>2</v>
      </c>
      <c r="N1023" s="2">
        <v>0</v>
      </c>
    </row>
    <row r="1024" spans="1:14" x14ac:dyDescent="0.3">
      <c r="A1024" s="2">
        <v>1594</v>
      </c>
      <c r="B1024" s="2" t="s">
        <v>1711</v>
      </c>
      <c r="C1024" s="3">
        <v>35713</v>
      </c>
      <c r="D1024" s="2">
        <v>155</v>
      </c>
      <c r="E1024" s="2" t="s">
        <v>190</v>
      </c>
      <c r="F1024" s="2" t="s">
        <v>1707</v>
      </c>
      <c r="G1024" s="2" t="s">
        <v>204</v>
      </c>
      <c r="H1024" s="2" t="s">
        <v>18</v>
      </c>
      <c r="I1024" s="2" t="s">
        <v>19</v>
      </c>
      <c r="J1024" s="2">
        <v>18</v>
      </c>
      <c r="K1024" s="2">
        <v>15000000</v>
      </c>
      <c r="L1024" s="2">
        <v>43100000</v>
      </c>
      <c r="M1024" s="2">
        <v>3</v>
      </c>
      <c r="N1024" s="2">
        <v>0</v>
      </c>
    </row>
    <row r="1025" spans="1:14" x14ac:dyDescent="0.3">
      <c r="A1025" s="2">
        <v>1596</v>
      </c>
      <c r="B1025" s="2" t="s">
        <v>1712</v>
      </c>
      <c r="C1025" s="3">
        <v>33039</v>
      </c>
      <c r="D1025" s="2">
        <v>106</v>
      </c>
      <c r="E1025" s="2" t="s">
        <v>38</v>
      </c>
      <c r="F1025" s="2" t="s">
        <v>868</v>
      </c>
      <c r="G1025" s="2" t="s">
        <v>17</v>
      </c>
      <c r="H1025" s="2" t="s">
        <v>18</v>
      </c>
      <c r="I1025" s="2" t="s">
        <v>19</v>
      </c>
      <c r="J1025" s="2">
        <v>12</v>
      </c>
      <c r="K1025" s="2">
        <v>50000000</v>
      </c>
      <c r="L1025" s="2">
        <v>41500000</v>
      </c>
      <c r="M1025" s="2">
        <v>0</v>
      </c>
      <c r="N1025" s="2">
        <v>0</v>
      </c>
    </row>
    <row r="1026" spans="1:14" x14ac:dyDescent="0.3">
      <c r="A1026" s="2">
        <v>1597</v>
      </c>
      <c r="B1026" s="2" t="s">
        <v>1713</v>
      </c>
      <c r="C1026" s="3">
        <v>38093</v>
      </c>
      <c r="D1026" s="2">
        <v>123</v>
      </c>
      <c r="E1026" s="2" t="s">
        <v>22</v>
      </c>
      <c r="F1026" s="2" t="s">
        <v>1714</v>
      </c>
      <c r="G1026" s="2" t="s">
        <v>24</v>
      </c>
      <c r="H1026" s="2" t="s">
        <v>18</v>
      </c>
      <c r="I1026" s="2" t="s">
        <v>19</v>
      </c>
      <c r="J1026" s="2">
        <v>18</v>
      </c>
      <c r="K1026" s="2">
        <v>33000000</v>
      </c>
      <c r="L1026" s="2">
        <v>54700000</v>
      </c>
      <c r="M1026" s="2">
        <v>0</v>
      </c>
      <c r="N1026" s="2">
        <v>0</v>
      </c>
    </row>
    <row r="1027" spans="1:14" x14ac:dyDescent="0.3">
      <c r="A1027" s="2">
        <v>1600</v>
      </c>
      <c r="B1027" s="2" t="s">
        <v>1717</v>
      </c>
      <c r="C1027" s="3">
        <v>41158</v>
      </c>
      <c r="D1027" s="2">
        <v>118</v>
      </c>
      <c r="E1027" s="2" t="s">
        <v>49</v>
      </c>
      <c r="F1027" s="2" t="s">
        <v>1718</v>
      </c>
      <c r="G1027" s="2" t="s">
        <v>764</v>
      </c>
      <c r="H1027" s="2" t="s">
        <v>18</v>
      </c>
      <c r="I1027" s="2" t="s">
        <v>19</v>
      </c>
      <c r="J1027" s="2">
        <v>15</v>
      </c>
      <c r="K1027" s="2">
        <v>30000000</v>
      </c>
      <c r="L1027" s="2">
        <v>176500000</v>
      </c>
      <c r="M1027" s="2">
        <v>0</v>
      </c>
      <c r="N1027" s="2">
        <v>0</v>
      </c>
    </row>
    <row r="1028" spans="1:14" x14ac:dyDescent="0.3">
      <c r="A1028" s="2">
        <v>1601</v>
      </c>
      <c r="B1028" s="2" t="s">
        <v>1719</v>
      </c>
      <c r="C1028" s="3">
        <v>41516</v>
      </c>
      <c r="D1028" s="2">
        <v>134</v>
      </c>
      <c r="E1028" s="2" t="s">
        <v>166</v>
      </c>
      <c r="F1028" s="2" t="s">
        <v>1720</v>
      </c>
      <c r="G1028" s="2" t="s">
        <v>497</v>
      </c>
      <c r="H1028" s="2" t="s">
        <v>18</v>
      </c>
      <c r="I1028" s="2" t="s">
        <v>19</v>
      </c>
      <c r="J1028" s="2">
        <v>15</v>
      </c>
      <c r="K1028" s="2">
        <v>22000000</v>
      </c>
      <c r="L1028" s="2">
        <v>187700000</v>
      </c>
      <c r="M1028" s="2">
        <v>9</v>
      </c>
      <c r="N1028" s="2">
        <v>3</v>
      </c>
    </row>
    <row r="1029" spans="1:14" x14ac:dyDescent="0.3">
      <c r="A1029" s="2">
        <v>1602</v>
      </c>
      <c r="B1029" s="2" t="s">
        <v>1721</v>
      </c>
      <c r="C1029" s="3">
        <v>41516</v>
      </c>
      <c r="D1029" s="2">
        <v>153</v>
      </c>
      <c r="E1029" s="2" t="s">
        <v>84</v>
      </c>
      <c r="F1029" s="2" t="s">
        <v>1722</v>
      </c>
      <c r="G1029" s="2" t="s">
        <v>130</v>
      </c>
      <c r="H1029" s="2" t="s">
        <v>18</v>
      </c>
      <c r="I1029" s="2" t="s">
        <v>19</v>
      </c>
      <c r="J1029" s="2">
        <v>15</v>
      </c>
      <c r="K1029" s="2">
        <v>46000000</v>
      </c>
      <c r="L1029" s="2">
        <v>122100000</v>
      </c>
      <c r="M1029" s="2">
        <v>1</v>
      </c>
      <c r="N1029" s="2">
        <v>0</v>
      </c>
    </row>
    <row r="1030" spans="1:14" x14ac:dyDescent="0.3">
      <c r="A1030" s="2">
        <v>1603</v>
      </c>
      <c r="B1030" s="2" t="s">
        <v>1723</v>
      </c>
      <c r="C1030" s="3">
        <v>40753</v>
      </c>
      <c r="D1030" s="2">
        <v>118</v>
      </c>
      <c r="E1030" s="2" t="s">
        <v>49</v>
      </c>
      <c r="F1030" s="2" t="s">
        <v>610</v>
      </c>
      <c r="G1030" s="2" t="s">
        <v>62</v>
      </c>
      <c r="H1030" s="2" t="s">
        <v>18</v>
      </c>
      <c r="I1030" s="2" t="s">
        <v>19</v>
      </c>
      <c r="J1030" s="2" t="s">
        <v>25</v>
      </c>
      <c r="K1030" s="2">
        <v>163000000</v>
      </c>
      <c r="L1030" s="2">
        <v>174800000</v>
      </c>
      <c r="M1030" s="2">
        <v>0</v>
      </c>
      <c r="N1030" s="2">
        <v>0</v>
      </c>
    </row>
    <row r="1031" spans="1:14" x14ac:dyDescent="0.3">
      <c r="A1031" s="2">
        <v>1604</v>
      </c>
      <c r="B1031" s="2" t="s">
        <v>1724</v>
      </c>
      <c r="C1031" s="3">
        <v>40345</v>
      </c>
      <c r="D1031" s="2">
        <v>110</v>
      </c>
      <c r="E1031" s="2" t="s">
        <v>22</v>
      </c>
      <c r="F1031" s="2" t="s">
        <v>1725</v>
      </c>
      <c r="G1031" s="2" t="s">
        <v>164</v>
      </c>
      <c r="H1031" s="2" t="s">
        <v>18</v>
      </c>
      <c r="I1031" s="2" t="s">
        <v>19</v>
      </c>
      <c r="J1031" s="2" t="s">
        <v>25</v>
      </c>
      <c r="K1031" s="2">
        <v>125000000</v>
      </c>
      <c r="L1031" s="2">
        <v>261900000</v>
      </c>
      <c r="M1031" s="2">
        <v>0</v>
      </c>
      <c r="N1031" s="2">
        <v>0</v>
      </c>
    </row>
    <row r="1032" spans="1:14" x14ac:dyDescent="0.3">
      <c r="A1032" s="2">
        <v>1607</v>
      </c>
      <c r="B1032" s="2" t="s">
        <v>1730</v>
      </c>
      <c r="C1032" s="3">
        <v>42031</v>
      </c>
      <c r="D1032" s="2">
        <v>127</v>
      </c>
      <c r="E1032" s="2" t="s">
        <v>49</v>
      </c>
      <c r="F1032" s="2" t="s">
        <v>1731</v>
      </c>
      <c r="G1032" s="2" t="s">
        <v>70</v>
      </c>
      <c r="H1032" s="2" t="s">
        <v>18</v>
      </c>
      <c r="I1032" s="2" t="s">
        <v>19</v>
      </c>
      <c r="J1032" s="2" t="s">
        <v>25</v>
      </c>
      <c r="K1032" s="2">
        <v>176000000</v>
      </c>
      <c r="L1032" s="2">
        <v>184000000</v>
      </c>
      <c r="M1032" s="2">
        <v>0</v>
      </c>
      <c r="N1032" s="2">
        <v>0</v>
      </c>
    </row>
    <row r="1033" spans="1:14" x14ac:dyDescent="0.3">
      <c r="A1033" s="2">
        <v>1614</v>
      </c>
      <c r="B1033" s="2" t="s">
        <v>1737</v>
      </c>
      <c r="C1033" s="3">
        <v>42143</v>
      </c>
      <c r="D1033" s="2">
        <v>121</v>
      </c>
      <c r="E1033" s="2" t="s">
        <v>84</v>
      </c>
      <c r="F1033" s="2" t="s">
        <v>1722</v>
      </c>
      <c r="G1033" s="2" t="s">
        <v>1408</v>
      </c>
      <c r="H1033" s="2" t="s">
        <v>18</v>
      </c>
      <c r="I1033" s="2" t="s">
        <v>19</v>
      </c>
      <c r="J1033" s="2">
        <v>15</v>
      </c>
      <c r="K1033" s="2">
        <v>30000000</v>
      </c>
      <c r="L1033" s="2">
        <v>85000000</v>
      </c>
      <c r="M1033" s="2">
        <v>3</v>
      </c>
      <c r="N1033" s="2">
        <v>0</v>
      </c>
    </row>
    <row r="1034" spans="1:14" x14ac:dyDescent="0.3">
      <c r="A1034" s="2">
        <v>1615</v>
      </c>
      <c r="B1034" s="2" t="s">
        <v>1738</v>
      </c>
      <c r="C1034" s="3">
        <v>41787</v>
      </c>
      <c r="D1034" s="2">
        <v>113</v>
      </c>
      <c r="E1034" s="2" t="s">
        <v>49</v>
      </c>
      <c r="F1034" s="2" t="s">
        <v>163</v>
      </c>
      <c r="G1034" s="2" t="s">
        <v>70</v>
      </c>
      <c r="H1034" s="2" t="s">
        <v>18</v>
      </c>
      <c r="I1034" s="2" t="s">
        <v>19</v>
      </c>
      <c r="J1034" s="2" t="s">
        <v>25</v>
      </c>
      <c r="K1034" s="2">
        <v>178000000</v>
      </c>
      <c r="L1034" s="2">
        <v>370500000</v>
      </c>
      <c r="M1034" s="2">
        <v>0</v>
      </c>
      <c r="N1034" s="2">
        <v>0</v>
      </c>
    </row>
    <row r="1035" spans="1:14" x14ac:dyDescent="0.3">
      <c r="A1035" s="2">
        <v>1616</v>
      </c>
      <c r="B1035" s="2" t="s">
        <v>1739</v>
      </c>
      <c r="C1035" s="3">
        <v>40588</v>
      </c>
      <c r="D1035" s="2">
        <v>106</v>
      </c>
      <c r="E1035" s="2" t="s">
        <v>49</v>
      </c>
      <c r="F1035" s="2" t="s">
        <v>1740</v>
      </c>
      <c r="G1035" s="2" t="s">
        <v>103</v>
      </c>
      <c r="H1035" s="2" t="s">
        <v>18</v>
      </c>
      <c r="I1035" s="2" t="s">
        <v>19</v>
      </c>
      <c r="J1035" s="2" t="s">
        <v>25</v>
      </c>
      <c r="K1035" s="2">
        <v>50200000</v>
      </c>
      <c r="L1035" s="2">
        <v>127900000</v>
      </c>
      <c r="M1035" s="2">
        <v>0</v>
      </c>
      <c r="N1035" s="2">
        <v>0</v>
      </c>
    </row>
    <row r="1036" spans="1:14" x14ac:dyDescent="0.3">
      <c r="A1036" s="2">
        <v>1617</v>
      </c>
      <c r="B1036" s="2" t="s">
        <v>1741</v>
      </c>
      <c r="C1036" s="3">
        <v>40205</v>
      </c>
      <c r="D1036" s="2">
        <v>103</v>
      </c>
      <c r="E1036" s="2" t="s">
        <v>68</v>
      </c>
      <c r="F1036" s="2" t="s">
        <v>683</v>
      </c>
      <c r="G1036" s="2" t="s">
        <v>634</v>
      </c>
      <c r="H1036" s="2" t="s">
        <v>18</v>
      </c>
      <c r="I1036" s="2" t="s">
        <v>19</v>
      </c>
      <c r="J1036" s="2">
        <v>15</v>
      </c>
      <c r="K1036" s="2">
        <v>150000000</v>
      </c>
      <c r="L1036" s="2">
        <v>139800000</v>
      </c>
      <c r="M1036" s="2">
        <v>1</v>
      </c>
      <c r="N1036" s="2">
        <v>1</v>
      </c>
    </row>
    <row r="1037" spans="1:14" x14ac:dyDescent="0.3">
      <c r="A1037" s="2">
        <v>1618</v>
      </c>
      <c r="B1037" s="2" t="s">
        <v>1742</v>
      </c>
      <c r="C1037" s="3">
        <v>39437</v>
      </c>
      <c r="D1037" s="2">
        <v>100</v>
      </c>
      <c r="E1037" s="2" t="s">
        <v>38</v>
      </c>
      <c r="F1037" s="2" t="s">
        <v>1037</v>
      </c>
      <c r="G1037" s="2" t="s">
        <v>634</v>
      </c>
      <c r="H1037" s="2" t="s">
        <v>18</v>
      </c>
      <c r="I1037" s="2" t="s">
        <v>19</v>
      </c>
      <c r="J1037" s="2">
        <v>15</v>
      </c>
      <c r="K1037" s="2">
        <v>75000000</v>
      </c>
      <c r="L1037" s="2">
        <v>119000000</v>
      </c>
      <c r="M1037" s="2">
        <v>1</v>
      </c>
      <c r="N1037" s="2">
        <v>0</v>
      </c>
    </row>
    <row r="1038" spans="1:14" x14ac:dyDescent="0.3">
      <c r="A1038" s="2">
        <v>1619</v>
      </c>
      <c r="B1038" s="2" t="s">
        <v>1743</v>
      </c>
      <c r="C1038" s="3">
        <v>41870</v>
      </c>
      <c r="D1038" s="2">
        <v>102</v>
      </c>
      <c r="E1038" s="2" t="s">
        <v>22</v>
      </c>
      <c r="F1038" s="2" t="s">
        <v>407</v>
      </c>
      <c r="G1038" s="2" t="s">
        <v>339</v>
      </c>
      <c r="H1038" s="2" t="s">
        <v>18</v>
      </c>
      <c r="I1038" s="2" t="s">
        <v>19</v>
      </c>
      <c r="J1038" s="2">
        <v>18</v>
      </c>
      <c r="K1038" s="2">
        <v>65000000</v>
      </c>
      <c r="L1038" s="2">
        <v>39400000</v>
      </c>
      <c r="M1038" s="2">
        <v>0</v>
      </c>
      <c r="N1038" s="2">
        <v>0</v>
      </c>
    </row>
    <row r="1039" spans="1:14" x14ac:dyDescent="0.3">
      <c r="A1039" s="2">
        <v>1621</v>
      </c>
      <c r="B1039" s="2" t="s">
        <v>1745</v>
      </c>
      <c r="C1039" s="3">
        <v>42184</v>
      </c>
      <c r="D1039" s="2">
        <v>117</v>
      </c>
      <c r="E1039" s="2" t="s">
        <v>22</v>
      </c>
      <c r="F1039" s="2" t="s">
        <v>1746</v>
      </c>
      <c r="G1039" s="2" t="s">
        <v>24</v>
      </c>
      <c r="H1039" s="2" t="s">
        <v>18</v>
      </c>
      <c r="I1039" s="2" t="s">
        <v>19</v>
      </c>
      <c r="J1039" s="2" t="s">
        <v>25</v>
      </c>
      <c r="K1039" s="2">
        <v>130000000</v>
      </c>
      <c r="L1039" s="2">
        <v>519300000</v>
      </c>
      <c r="M1039" s="2">
        <v>0</v>
      </c>
      <c r="N1039" s="2">
        <v>0</v>
      </c>
    </row>
    <row r="1040" spans="1:14" x14ac:dyDescent="0.3">
      <c r="A1040" s="2">
        <v>1622</v>
      </c>
      <c r="B1040" s="2" t="s">
        <v>1747</v>
      </c>
      <c r="C1040" s="3">
        <v>39316</v>
      </c>
      <c r="D1040" s="2">
        <v>122</v>
      </c>
      <c r="E1040" s="2" t="s">
        <v>360</v>
      </c>
      <c r="F1040" s="2" t="s">
        <v>1725</v>
      </c>
      <c r="G1040" s="2" t="s">
        <v>634</v>
      </c>
      <c r="H1040" s="2" t="s">
        <v>18</v>
      </c>
      <c r="I1040" s="2" t="s">
        <v>19</v>
      </c>
      <c r="J1040" s="2">
        <v>15</v>
      </c>
      <c r="K1040" s="2">
        <v>55000000</v>
      </c>
      <c r="L1040" s="2">
        <v>70000000</v>
      </c>
      <c r="M1040" s="2">
        <v>2</v>
      </c>
      <c r="N1040" s="2">
        <v>0</v>
      </c>
    </row>
    <row r="1041" spans="1:14" x14ac:dyDescent="0.3">
      <c r="A1041" s="2">
        <v>1624</v>
      </c>
      <c r="B1041" s="2" t="s">
        <v>1748</v>
      </c>
      <c r="C1041" s="3">
        <v>41471</v>
      </c>
      <c r="D1041" s="2">
        <v>126</v>
      </c>
      <c r="E1041" s="2" t="s">
        <v>22</v>
      </c>
      <c r="F1041" s="2" t="s">
        <v>1725</v>
      </c>
      <c r="G1041" s="2" t="s">
        <v>24</v>
      </c>
      <c r="H1041" s="2" t="s">
        <v>18</v>
      </c>
      <c r="I1041" s="2" t="s">
        <v>19</v>
      </c>
      <c r="J1041" s="2" t="s">
        <v>25</v>
      </c>
      <c r="K1041" s="2">
        <v>120000000</v>
      </c>
      <c r="L1041" s="2">
        <v>414800000</v>
      </c>
      <c r="M1041" s="2">
        <v>0</v>
      </c>
      <c r="N1041" s="2">
        <v>0</v>
      </c>
    </row>
    <row r="1042" spans="1:14" x14ac:dyDescent="0.3">
      <c r="A1042" s="2">
        <v>1626</v>
      </c>
      <c r="B1042" s="2" t="s">
        <v>1750</v>
      </c>
      <c r="C1042" s="3">
        <v>37589</v>
      </c>
      <c r="D1042" s="2">
        <v>98</v>
      </c>
      <c r="E1042" s="2" t="s">
        <v>49</v>
      </c>
      <c r="F1042" s="2" t="s">
        <v>151</v>
      </c>
      <c r="G1042" s="2" t="s">
        <v>188</v>
      </c>
      <c r="H1042" s="2" t="s">
        <v>18</v>
      </c>
      <c r="I1042" s="2" t="s">
        <v>19</v>
      </c>
      <c r="J1042" s="2" t="s">
        <v>25</v>
      </c>
      <c r="K1042" s="2">
        <v>47000000</v>
      </c>
      <c r="L1042" s="2">
        <v>30000000</v>
      </c>
      <c r="M1042" s="2">
        <v>0</v>
      </c>
      <c r="N1042" s="2">
        <v>0</v>
      </c>
    </row>
    <row r="1043" spans="1:14" x14ac:dyDescent="0.3">
      <c r="A1043" s="2">
        <v>1627</v>
      </c>
      <c r="B1043" s="2" t="s">
        <v>1751</v>
      </c>
      <c r="C1043" s="3">
        <v>41084</v>
      </c>
      <c r="D1043" s="2">
        <v>110</v>
      </c>
      <c r="E1043" s="2" t="s">
        <v>190</v>
      </c>
      <c r="F1043" s="2" t="s">
        <v>151</v>
      </c>
      <c r="G1043" s="2" t="s">
        <v>130</v>
      </c>
      <c r="H1043" s="2" t="s">
        <v>18</v>
      </c>
      <c r="I1043" s="2" t="s">
        <v>19</v>
      </c>
      <c r="J1043" s="2">
        <v>15</v>
      </c>
      <c r="K1043" s="2">
        <v>7000000</v>
      </c>
      <c r="L1043" s="2">
        <v>167200000</v>
      </c>
      <c r="M1043" s="2">
        <v>0</v>
      </c>
      <c r="N1043" s="2">
        <v>0</v>
      </c>
    </row>
    <row r="1044" spans="1:14" x14ac:dyDescent="0.3">
      <c r="A1044" s="2">
        <v>1628</v>
      </c>
      <c r="B1044" s="2" t="s">
        <v>1239</v>
      </c>
      <c r="C1044" s="3">
        <v>34285</v>
      </c>
      <c r="D1044" s="2">
        <v>105</v>
      </c>
      <c r="E1044" s="2" t="s">
        <v>15</v>
      </c>
      <c r="F1044" s="2" t="s">
        <v>725</v>
      </c>
      <c r="G1044" s="2" t="s">
        <v>66</v>
      </c>
      <c r="H1044" s="2" t="s">
        <v>18</v>
      </c>
      <c r="I1044" s="2" t="s">
        <v>19</v>
      </c>
      <c r="J1044" s="2" t="s">
        <v>20</v>
      </c>
      <c r="K1044" s="2">
        <v>30000000</v>
      </c>
      <c r="L1044" s="2">
        <v>53900000</v>
      </c>
      <c r="M1044" s="2">
        <v>0</v>
      </c>
      <c r="N1044" s="2">
        <v>0</v>
      </c>
    </row>
    <row r="1045" spans="1:14" x14ac:dyDescent="0.3">
      <c r="A1045" s="2">
        <v>1629</v>
      </c>
      <c r="B1045" s="2" t="s">
        <v>1752</v>
      </c>
      <c r="C1045" s="3">
        <v>35062</v>
      </c>
      <c r="D1045" s="2">
        <v>143</v>
      </c>
      <c r="E1045" s="2" t="s">
        <v>190</v>
      </c>
      <c r="F1045" s="2" t="s">
        <v>725</v>
      </c>
      <c r="G1045" s="2" t="s">
        <v>484</v>
      </c>
      <c r="H1045" s="2" t="s">
        <v>18</v>
      </c>
      <c r="I1045" s="2" t="s">
        <v>19</v>
      </c>
      <c r="J1045" s="2" t="s">
        <v>20</v>
      </c>
      <c r="K1045" s="2">
        <v>31000000</v>
      </c>
      <c r="L1045" s="2">
        <v>106269000</v>
      </c>
      <c r="M1045" s="2">
        <v>1</v>
      </c>
      <c r="N1045" s="2">
        <v>0</v>
      </c>
    </row>
    <row r="1046" spans="1:14" x14ac:dyDescent="0.3">
      <c r="A1046" s="2">
        <v>1630</v>
      </c>
      <c r="B1046" s="2" t="s">
        <v>1753</v>
      </c>
      <c r="C1046" s="3">
        <v>33879</v>
      </c>
      <c r="D1046" s="2">
        <v>101</v>
      </c>
      <c r="E1046" s="2" t="s">
        <v>38</v>
      </c>
      <c r="F1046" s="2" t="s">
        <v>725</v>
      </c>
      <c r="G1046" s="2" t="s">
        <v>66</v>
      </c>
      <c r="H1046" s="2" t="s">
        <v>18</v>
      </c>
      <c r="I1046" s="2" t="s">
        <v>19</v>
      </c>
      <c r="J1046" s="2" t="s">
        <v>20</v>
      </c>
      <c r="K1046" s="2">
        <v>10000000</v>
      </c>
      <c r="L1046" s="2">
        <v>50700000</v>
      </c>
      <c r="M1046" s="2">
        <v>0</v>
      </c>
      <c r="N1046" s="2">
        <v>0</v>
      </c>
    </row>
    <row r="1047" spans="1:14" x14ac:dyDescent="0.3">
      <c r="A1047" s="2">
        <v>1631</v>
      </c>
      <c r="B1047" s="2" t="s">
        <v>1754</v>
      </c>
      <c r="C1047" s="3">
        <v>32367</v>
      </c>
      <c r="D1047" s="2">
        <v>103</v>
      </c>
      <c r="E1047" s="2" t="s">
        <v>360</v>
      </c>
      <c r="F1047" s="2" t="s">
        <v>1755</v>
      </c>
      <c r="G1047" s="2" t="s">
        <v>314</v>
      </c>
      <c r="H1047" s="2" t="s">
        <v>18</v>
      </c>
      <c r="I1047" s="2" t="s">
        <v>19</v>
      </c>
      <c r="J1047" s="2">
        <v>18</v>
      </c>
      <c r="K1047" s="2">
        <v>11000000</v>
      </c>
      <c r="L1047" s="2">
        <v>45661000</v>
      </c>
      <c r="M1047" s="2">
        <v>0</v>
      </c>
      <c r="N1047" s="2">
        <v>0</v>
      </c>
    </row>
    <row r="1048" spans="1:14" x14ac:dyDescent="0.3">
      <c r="A1048" s="2">
        <v>1632</v>
      </c>
      <c r="B1048" s="2" t="s">
        <v>1756</v>
      </c>
      <c r="C1048" s="3">
        <v>33086</v>
      </c>
      <c r="D1048" s="2">
        <v>104</v>
      </c>
      <c r="E1048" s="2" t="s">
        <v>360</v>
      </c>
      <c r="F1048" s="2" t="s">
        <v>1757</v>
      </c>
      <c r="G1048" s="2" t="s">
        <v>314</v>
      </c>
      <c r="H1048" s="2" t="s">
        <v>18</v>
      </c>
      <c r="I1048" s="2" t="s">
        <v>19</v>
      </c>
      <c r="J1048" s="2">
        <v>12</v>
      </c>
      <c r="K1048" s="2">
        <v>10000000</v>
      </c>
      <c r="L1048" s="2">
        <v>44143000</v>
      </c>
      <c r="M1048" s="2">
        <v>1</v>
      </c>
      <c r="N1048" s="2">
        <v>0</v>
      </c>
    </row>
    <row r="1049" spans="1:14" x14ac:dyDescent="0.3">
      <c r="A1049" s="2">
        <v>1633</v>
      </c>
      <c r="B1049" s="2" t="s">
        <v>1758</v>
      </c>
      <c r="C1049" s="3">
        <v>31989</v>
      </c>
      <c r="D1049" s="2">
        <v>98</v>
      </c>
      <c r="E1049" s="2" t="s">
        <v>68</v>
      </c>
      <c r="F1049" s="2" t="s">
        <v>737</v>
      </c>
      <c r="G1049" s="2" t="s">
        <v>130</v>
      </c>
      <c r="H1049" s="2" t="s">
        <v>18</v>
      </c>
      <c r="I1049" s="2" t="s">
        <v>19</v>
      </c>
      <c r="J1049" s="2">
        <v>15</v>
      </c>
      <c r="K1049" s="2">
        <v>8500000</v>
      </c>
      <c r="L1049" s="2">
        <v>32200000</v>
      </c>
      <c r="M1049" s="2">
        <v>0</v>
      </c>
      <c r="N1049" s="2">
        <v>0</v>
      </c>
    </row>
    <row r="1050" spans="1:14" x14ac:dyDescent="0.3">
      <c r="A1050" s="2">
        <v>1634</v>
      </c>
      <c r="B1050" s="2" t="s">
        <v>1759</v>
      </c>
      <c r="C1050" s="3">
        <v>33095</v>
      </c>
      <c r="D1050" s="2">
        <v>115</v>
      </c>
      <c r="E1050" s="2" t="s">
        <v>68</v>
      </c>
      <c r="F1050" s="2" t="s">
        <v>737</v>
      </c>
      <c r="G1050" s="2" t="s">
        <v>213</v>
      </c>
      <c r="H1050" s="2" t="s">
        <v>18</v>
      </c>
      <c r="I1050" s="2" t="s">
        <v>19</v>
      </c>
      <c r="J1050" s="2">
        <v>15</v>
      </c>
      <c r="K1050" s="2">
        <v>26000000</v>
      </c>
      <c r="L1050" s="2">
        <v>61500000</v>
      </c>
      <c r="M1050" s="2">
        <v>1</v>
      </c>
      <c r="N1050" s="2">
        <v>0</v>
      </c>
    </row>
    <row r="1051" spans="1:14" x14ac:dyDescent="0.3">
      <c r="A1051" s="2">
        <v>1635</v>
      </c>
      <c r="B1051" s="2" t="s">
        <v>1760</v>
      </c>
      <c r="C1051" s="3">
        <v>40984</v>
      </c>
      <c r="D1051" s="2">
        <v>109</v>
      </c>
      <c r="E1051" s="2" t="s">
        <v>38</v>
      </c>
      <c r="F1051" s="2" t="s">
        <v>1761</v>
      </c>
      <c r="G1051" s="2" t="s">
        <v>634</v>
      </c>
      <c r="H1051" s="2" t="s">
        <v>18</v>
      </c>
      <c r="I1051" s="2" t="s">
        <v>19</v>
      </c>
      <c r="J1051" s="2">
        <v>15</v>
      </c>
      <c r="K1051" s="2">
        <v>55000000</v>
      </c>
      <c r="L1051" s="2">
        <v>201500000</v>
      </c>
      <c r="M1051" s="2">
        <v>0</v>
      </c>
      <c r="N1051" s="2">
        <v>0</v>
      </c>
    </row>
    <row r="1052" spans="1:14" x14ac:dyDescent="0.3">
      <c r="A1052" s="2">
        <v>1636</v>
      </c>
      <c r="B1052" s="2" t="s">
        <v>1762</v>
      </c>
      <c r="C1052" s="3">
        <v>40074</v>
      </c>
      <c r="D1052" s="2">
        <v>90</v>
      </c>
      <c r="E1052" s="2" t="s">
        <v>60</v>
      </c>
      <c r="F1052" s="2" t="s">
        <v>1761</v>
      </c>
      <c r="G1052" s="2" t="s">
        <v>597</v>
      </c>
      <c r="H1052" s="2" t="s">
        <v>18</v>
      </c>
      <c r="I1052" s="2" t="s">
        <v>19</v>
      </c>
      <c r="J1052" s="2" t="s">
        <v>63</v>
      </c>
      <c r="K1052" s="2">
        <v>100000000</v>
      </c>
      <c r="L1052" s="2">
        <v>243000000</v>
      </c>
      <c r="M1052" s="2">
        <v>0</v>
      </c>
      <c r="N1052" s="2">
        <v>0</v>
      </c>
    </row>
    <row r="1053" spans="1:14" x14ac:dyDescent="0.3">
      <c r="A1053" s="2">
        <v>1637</v>
      </c>
      <c r="B1053" s="2" t="s">
        <v>1763</v>
      </c>
      <c r="C1053" s="3">
        <v>20802</v>
      </c>
      <c r="D1053" s="2">
        <v>105</v>
      </c>
      <c r="E1053" s="2" t="s">
        <v>190</v>
      </c>
      <c r="F1053" s="2" t="s">
        <v>1764</v>
      </c>
      <c r="G1053" s="2" t="s">
        <v>36</v>
      </c>
      <c r="H1053" s="2" t="s">
        <v>18</v>
      </c>
      <c r="I1053" s="2" t="s">
        <v>19</v>
      </c>
      <c r="J1053" s="2" t="s">
        <v>63</v>
      </c>
      <c r="K1053" s="2">
        <v>3520000</v>
      </c>
      <c r="L1053" s="2">
        <v>5000000</v>
      </c>
      <c r="M1053" s="2">
        <v>2</v>
      </c>
      <c r="N1053" s="2">
        <v>1</v>
      </c>
    </row>
    <row r="1054" spans="1:14" x14ac:dyDescent="0.3">
      <c r="A1054" s="2">
        <v>1638</v>
      </c>
      <c r="B1054" s="2" t="s">
        <v>1765</v>
      </c>
      <c r="C1054" s="3">
        <v>39297</v>
      </c>
      <c r="D1054" s="2">
        <v>88</v>
      </c>
      <c r="E1054" s="2" t="s">
        <v>38</v>
      </c>
      <c r="F1054" s="2" t="s">
        <v>1766</v>
      </c>
      <c r="G1054" s="2" t="s">
        <v>257</v>
      </c>
      <c r="H1054" s="2" t="s">
        <v>18</v>
      </c>
      <c r="I1054" s="2" t="s">
        <v>19</v>
      </c>
      <c r="J1054" s="2" t="s">
        <v>25</v>
      </c>
      <c r="K1054" s="2">
        <v>25300000</v>
      </c>
      <c r="L1054" s="2">
        <v>14334000</v>
      </c>
      <c r="M1054" s="2">
        <v>0</v>
      </c>
      <c r="N1054" s="2">
        <v>0</v>
      </c>
    </row>
    <row r="1055" spans="1:14" x14ac:dyDescent="0.3">
      <c r="A1055" s="2">
        <v>1639</v>
      </c>
      <c r="B1055" s="2" t="s">
        <v>1767</v>
      </c>
      <c r="C1055" s="3">
        <v>41544</v>
      </c>
      <c r="D1055" s="2">
        <v>95</v>
      </c>
      <c r="E1055" s="2" t="s">
        <v>60</v>
      </c>
      <c r="F1055" s="2" t="s">
        <v>1768</v>
      </c>
      <c r="G1055" s="2" t="s">
        <v>597</v>
      </c>
      <c r="H1055" s="2" t="s">
        <v>18</v>
      </c>
      <c r="I1055" s="2" t="s">
        <v>19</v>
      </c>
      <c r="J1055" s="2" t="s">
        <v>63</v>
      </c>
      <c r="K1055" s="2">
        <v>78000000</v>
      </c>
      <c r="L1055" s="2">
        <v>274300000</v>
      </c>
      <c r="M1055" s="2">
        <v>0</v>
      </c>
      <c r="N1055" s="2">
        <v>0</v>
      </c>
    </row>
    <row r="1056" spans="1:14" x14ac:dyDescent="0.3">
      <c r="A1056" s="2">
        <v>1640</v>
      </c>
      <c r="B1056" s="2" t="s">
        <v>1769</v>
      </c>
      <c r="C1056" s="3">
        <v>41677</v>
      </c>
      <c r="D1056" s="2">
        <v>100</v>
      </c>
      <c r="E1056" s="2" t="s">
        <v>60</v>
      </c>
      <c r="F1056" s="2" t="s">
        <v>1761</v>
      </c>
      <c r="G1056" s="2" t="s">
        <v>70</v>
      </c>
      <c r="H1056" s="2" t="s">
        <v>18</v>
      </c>
      <c r="I1056" s="2" t="s">
        <v>19</v>
      </c>
      <c r="J1056" s="2" t="s">
        <v>63</v>
      </c>
      <c r="K1056" s="2">
        <v>60000000</v>
      </c>
      <c r="L1056" s="2">
        <v>469200000</v>
      </c>
      <c r="M1056" s="2">
        <v>1</v>
      </c>
      <c r="N1056" s="2">
        <v>0</v>
      </c>
    </row>
    <row r="1057" spans="1:14" x14ac:dyDescent="0.3">
      <c r="A1057" s="2">
        <v>1641</v>
      </c>
      <c r="B1057" s="2" t="s">
        <v>1770</v>
      </c>
      <c r="C1057" s="3">
        <v>34796</v>
      </c>
      <c r="D1057" s="2">
        <v>119</v>
      </c>
      <c r="E1057" s="2" t="s">
        <v>22</v>
      </c>
      <c r="F1057" s="2" t="s">
        <v>46</v>
      </c>
      <c r="G1057" s="2" t="s">
        <v>648</v>
      </c>
      <c r="H1057" s="2" t="s">
        <v>18</v>
      </c>
      <c r="I1057" s="2" t="s">
        <v>19</v>
      </c>
      <c r="J1057" s="2">
        <v>18</v>
      </c>
      <c r="K1057" s="2">
        <v>23000000</v>
      </c>
      <c r="L1057" s="2">
        <v>141400000</v>
      </c>
      <c r="M1057" s="2">
        <v>0</v>
      </c>
      <c r="N1057" s="2">
        <v>0</v>
      </c>
    </row>
    <row r="1058" spans="1:14" x14ac:dyDescent="0.3">
      <c r="A1058" s="2">
        <v>1642</v>
      </c>
      <c r="B1058" s="2" t="s">
        <v>1771</v>
      </c>
      <c r="C1058" s="3">
        <v>41803</v>
      </c>
      <c r="D1058" s="2">
        <v>112</v>
      </c>
      <c r="E1058" s="2" t="s">
        <v>38</v>
      </c>
      <c r="F1058" s="2" t="s">
        <v>1761</v>
      </c>
      <c r="G1058" s="2" t="s">
        <v>97</v>
      </c>
      <c r="H1058" s="2" t="s">
        <v>18</v>
      </c>
      <c r="I1058" s="2" t="s">
        <v>19</v>
      </c>
      <c r="J1058" s="2">
        <v>15</v>
      </c>
      <c r="K1058" s="2">
        <v>84500000</v>
      </c>
      <c r="L1058" s="2">
        <v>331300000</v>
      </c>
      <c r="M1058" s="2">
        <v>0</v>
      </c>
      <c r="N1058" s="2">
        <v>0</v>
      </c>
    </row>
    <row r="1059" spans="1:14" x14ac:dyDescent="0.3">
      <c r="A1059" s="2">
        <v>1643</v>
      </c>
      <c r="B1059" s="2" t="s">
        <v>1772</v>
      </c>
      <c r="C1059" s="3">
        <v>42573</v>
      </c>
      <c r="D1059" s="2">
        <v>94</v>
      </c>
      <c r="E1059" s="2" t="s">
        <v>60</v>
      </c>
      <c r="F1059" s="2" t="s">
        <v>573</v>
      </c>
      <c r="G1059" s="2" t="s">
        <v>36</v>
      </c>
      <c r="H1059" s="2" t="s">
        <v>18</v>
      </c>
      <c r="I1059" s="2" t="s">
        <v>19</v>
      </c>
      <c r="J1059" s="2" t="s">
        <v>63</v>
      </c>
      <c r="K1059" s="2">
        <v>105000000</v>
      </c>
      <c r="L1059" s="2">
        <v>407700000</v>
      </c>
      <c r="M1059" s="2">
        <v>0</v>
      </c>
      <c r="N1059" s="2">
        <v>0</v>
      </c>
    </row>
    <row r="1060" spans="1:14" x14ac:dyDescent="0.3">
      <c r="A1060" s="2">
        <v>1648</v>
      </c>
      <c r="B1060" s="2" t="s">
        <v>1780</v>
      </c>
      <c r="C1060" s="3">
        <v>28432</v>
      </c>
      <c r="D1060" s="2">
        <v>134</v>
      </c>
      <c r="E1060" s="2" t="s">
        <v>52</v>
      </c>
      <c r="F1060" s="2" t="s">
        <v>1779</v>
      </c>
      <c r="G1060" s="2" t="s">
        <v>66</v>
      </c>
      <c r="H1060" s="2" t="s">
        <v>18</v>
      </c>
      <c r="I1060" s="2" t="s">
        <v>19</v>
      </c>
      <c r="J1060" s="2" t="s">
        <v>63</v>
      </c>
      <c r="K1060" s="2">
        <v>10000000</v>
      </c>
      <c r="L1060" s="2">
        <v>39600000</v>
      </c>
      <c r="M1060" s="2">
        <v>2</v>
      </c>
      <c r="N1060" s="2">
        <v>0</v>
      </c>
    </row>
    <row r="1061" spans="1:14" x14ac:dyDescent="0.3">
      <c r="A1061" s="2">
        <v>1649</v>
      </c>
      <c r="B1061" s="2" t="s">
        <v>1780</v>
      </c>
      <c r="C1061" s="3">
        <v>42594</v>
      </c>
      <c r="D1061" s="2">
        <v>102</v>
      </c>
      <c r="E1061" s="2" t="s">
        <v>52</v>
      </c>
      <c r="F1061" s="2" t="s">
        <v>1781</v>
      </c>
      <c r="G1061" s="2" t="s">
        <v>66</v>
      </c>
      <c r="H1061" s="2" t="s">
        <v>18</v>
      </c>
      <c r="I1061" s="2" t="s">
        <v>19</v>
      </c>
      <c r="J1061" s="2" t="s">
        <v>20</v>
      </c>
      <c r="K1061" s="2">
        <v>65000000</v>
      </c>
      <c r="L1061" s="2">
        <v>142400000</v>
      </c>
      <c r="M1061" s="2">
        <v>0</v>
      </c>
      <c r="N1061" s="2">
        <v>0</v>
      </c>
    </row>
    <row r="1062" spans="1:14" x14ac:dyDescent="0.3">
      <c r="A1062" s="2">
        <v>1655</v>
      </c>
      <c r="B1062" s="2" t="s">
        <v>1785</v>
      </c>
      <c r="C1062" s="3">
        <v>24343</v>
      </c>
      <c r="D1062" s="2">
        <v>100</v>
      </c>
      <c r="E1062" s="2" t="s">
        <v>49</v>
      </c>
      <c r="F1062" s="2" t="s">
        <v>1016</v>
      </c>
      <c r="G1062" s="2" t="s">
        <v>36</v>
      </c>
      <c r="H1062" s="2" t="s">
        <v>18</v>
      </c>
      <c r="I1062" s="2" t="s">
        <v>19</v>
      </c>
      <c r="J1062" s="2" t="s">
        <v>20</v>
      </c>
      <c r="K1062" s="2">
        <v>5100000</v>
      </c>
      <c r="L1062" s="2">
        <v>12000000</v>
      </c>
      <c r="M1062" s="2">
        <v>5</v>
      </c>
      <c r="N1062" s="2">
        <v>2</v>
      </c>
    </row>
    <row r="1063" spans="1:14" x14ac:dyDescent="0.3">
      <c r="A1063" s="2">
        <v>1658</v>
      </c>
      <c r="B1063" s="2" t="s">
        <v>1786</v>
      </c>
      <c r="C1063" s="3">
        <v>19514</v>
      </c>
      <c r="D1063" s="2">
        <v>121</v>
      </c>
      <c r="E1063" s="2" t="s">
        <v>245</v>
      </c>
      <c r="F1063" s="2" t="s">
        <v>1059</v>
      </c>
      <c r="G1063" s="2" t="s">
        <v>834</v>
      </c>
      <c r="H1063" s="2" t="s">
        <v>18</v>
      </c>
      <c r="I1063" s="2" t="s">
        <v>19</v>
      </c>
      <c r="J1063" s="2" t="s">
        <v>20</v>
      </c>
      <c r="K1063" s="2">
        <v>2070000</v>
      </c>
      <c r="L1063" s="2">
        <v>3920000</v>
      </c>
      <c r="M1063" s="2">
        <v>5</v>
      </c>
      <c r="N1063" s="2">
        <v>1</v>
      </c>
    </row>
    <row r="1064" spans="1:14" x14ac:dyDescent="0.3">
      <c r="A1064" s="2">
        <v>1660</v>
      </c>
      <c r="B1064" s="2" t="s">
        <v>1144</v>
      </c>
      <c r="C1064" s="3">
        <v>31373</v>
      </c>
      <c r="D1064" s="2">
        <v>100</v>
      </c>
      <c r="E1064" s="2" t="s">
        <v>15</v>
      </c>
      <c r="F1064" s="2" t="s">
        <v>1078</v>
      </c>
      <c r="G1064" s="2" t="s">
        <v>1787</v>
      </c>
      <c r="H1064" s="2" t="s">
        <v>18</v>
      </c>
      <c r="I1064" s="2" t="s">
        <v>19</v>
      </c>
      <c r="J1064" s="2" t="s">
        <v>20</v>
      </c>
      <c r="K1064" s="2">
        <v>11000000</v>
      </c>
      <c r="L1064" s="2">
        <v>15057000</v>
      </c>
      <c r="M1064" s="2">
        <v>0</v>
      </c>
      <c r="N1064" s="2">
        <v>0</v>
      </c>
    </row>
    <row r="1065" spans="1:14" x14ac:dyDescent="0.3">
      <c r="A1065" s="2">
        <v>1663</v>
      </c>
      <c r="B1065" s="2" t="s">
        <v>1788</v>
      </c>
      <c r="C1065" s="3">
        <v>20783</v>
      </c>
      <c r="D1065" s="2">
        <v>201</v>
      </c>
      <c r="E1065" s="2" t="s">
        <v>360</v>
      </c>
      <c r="F1065" s="2" t="s">
        <v>1129</v>
      </c>
      <c r="G1065" s="2" t="s">
        <v>130</v>
      </c>
      <c r="H1065" s="2" t="s">
        <v>18</v>
      </c>
      <c r="I1065" s="2" t="s">
        <v>19</v>
      </c>
      <c r="J1065" s="2" t="s">
        <v>20</v>
      </c>
      <c r="K1065" s="2">
        <v>5400000</v>
      </c>
      <c r="L1065" s="2">
        <v>39000000</v>
      </c>
      <c r="M1065" s="2">
        <v>10</v>
      </c>
      <c r="N1065" s="2">
        <v>1</v>
      </c>
    </row>
    <row r="1066" spans="1:14" x14ac:dyDescent="0.3">
      <c r="A1066" s="2">
        <v>1664</v>
      </c>
      <c r="B1066" s="2" t="s">
        <v>1789</v>
      </c>
      <c r="C1066" s="3">
        <v>20389</v>
      </c>
      <c r="D1066" s="2">
        <v>111</v>
      </c>
      <c r="E1066" s="2" t="s">
        <v>190</v>
      </c>
      <c r="F1066" s="2" t="s">
        <v>1790</v>
      </c>
      <c r="G1066" s="2" t="s">
        <v>130</v>
      </c>
      <c r="H1066" s="2" t="s">
        <v>18</v>
      </c>
      <c r="I1066" s="2" t="s">
        <v>19</v>
      </c>
      <c r="J1066" s="2" t="s">
        <v>20</v>
      </c>
      <c r="K1066" s="2">
        <v>1500000</v>
      </c>
      <c r="L1066" s="2">
        <v>4500000</v>
      </c>
      <c r="M1066" s="2">
        <v>3</v>
      </c>
      <c r="N1066" s="2">
        <v>0</v>
      </c>
    </row>
    <row r="1067" spans="1:14" x14ac:dyDescent="0.3">
      <c r="A1067" s="2">
        <v>1666</v>
      </c>
      <c r="B1067" s="2" t="s">
        <v>1791</v>
      </c>
      <c r="C1067" s="3">
        <v>17482</v>
      </c>
      <c r="D1067" s="2">
        <v>118</v>
      </c>
      <c r="E1067" s="2" t="s">
        <v>190</v>
      </c>
      <c r="F1067" s="2" t="s">
        <v>1139</v>
      </c>
      <c r="G1067" s="2" t="s">
        <v>36</v>
      </c>
      <c r="H1067" s="2" t="s">
        <v>18</v>
      </c>
      <c r="I1067" s="2" t="s">
        <v>19</v>
      </c>
      <c r="J1067" s="2" t="s">
        <v>20</v>
      </c>
      <c r="K1067" s="2">
        <v>1985000</v>
      </c>
      <c r="L1067" s="2">
        <v>7800000</v>
      </c>
      <c r="M1067" s="2">
        <v>8</v>
      </c>
      <c r="N1067" s="2">
        <v>3</v>
      </c>
    </row>
    <row r="1068" spans="1:14" x14ac:dyDescent="0.3">
      <c r="A1068" s="2">
        <v>1667</v>
      </c>
      <c r="B1068" s="2" t="s">
        <v>1792</v>
      </c>
      <c r="C1068" s="3">
        <v>19031</v>
      </c>
      <c r="D1068" s="2">
        <v>113</v>
      </c>
      <c r="E1068" s="2" t="s">
        <v>166</v>
      </c>
      <c r="F1068" s="2" t="s">
        <v>1139</v>
      </c>
      <c r="G1068" s="2" t="s">
        <v>36</v>
      </c>
      <c r="H1068" s="2" t="s">
        <v>18</v>
      </c>
      <c r="I1068" s="2" t="s">
        <v>19</v>
      </c>
      <c r="J1068" s="2" t="s">
        <v>20</v>
      </c>
      <c r="K1068" s="2">
        <v>1800000</v>
      </c>
      <c r="L1068" s="2">
        <v>1900000</v>
      </c>
      <c r="M1068" s="2">
        <v>5</v>
      </c>
      <c r="N1068" s="2">
        <v>1</v>
      </c>
    </row>
    <row r="1069" spans="1:14" x14ac:dyDescent="0.3">
      <c r="A1069" s="2">
        <v>1668</v>
      </c>
      <c r="B1069" s="2" t="s">
        <v>1793</v>
      </c>
      <c r="C1069" s="3">
        <v>19933</v>
      </c>
      <c r="D1069" s="2">
        <v>108</v>
      </c>
      <c r="E1069" s="2" t="s">
        <v>150</v>
      </c>
      <c r="F1069" s="2" t="s">
        <v>1139</v>
      </c>
      <c r="G1069" s="2" t="s">
        <v>1069</v>
      </c>
      <c r="H1069" s="2" t="s">
        <v>18</v>
      </c>
      <c r="I1069" s="2" t="s">
        <v>19</v>
      </c>
      <c r="J1069" s="2" t="s">
        <v>20</v>
      </c>
      <c r="K1069" s="2">
        <v>910000</v>
      </c>
      <c r="L1069" s="2">
        <v>9600000</v>
      </c>
      <c r="M1069" s="2">
        <v>12</v>
      </c>
      <c r="N1069" s="2">
        <v>8</v>
      </c>
    </row>
    <row r="1070" spans="1:14" x14ac:dyDescent="0.3">
      <c r="A1070" s="2">
        <v>1670</v>
      </c>
      <c r="B1070" s="2" t="s">
        <v>1794</v>
      </c>
      <c r="C1070" s="3">
        <v>21627</v>
      </c>
      <c r="D1070" s="2">
        <v>180</v>
      </c>
      <c r="E1070" s="2" t="s">
        <v>190</v>
      </c>
      <c r="F1070" s="2" t="s">
        <v>1129</v>
      </c>
      <c r="G1070" s="2" t="s">
        <v>36</v>
      </c>
      <c r="H1070" s="2" t="s">
        <v>18</v>
      </c>
      <c r="I1070" s="2" t="s">
        <v>19</v>
      </c>
      <c r="J1070" s="2" t="s">
        <v>63</v>
      </c>
      <c r="K1070" s="2">
        <v>3800000</v>
      </c>
      <c r="L1070" s="2">
        <v>2300000</v>
      </c>
      <c r="M1070" s="2">
        <v>8</v>
      </c>
      <c r="N1070" s="2">
        <v>3</v>
      </c>
    </row>
    <row r="1071" spans="1:14" x14ac:dyDescent="0.3">
      <c r="A1071" s="2">
        <v>1671</v>
      </c>
      <c r="B1071" s="2" t="s">
        <v>1795</v>
      </c>
      <c r="C1071" s="3">
        <v>23841</v>
      </c>
      <c r="D1071" s="2">
        <v>260</v>
      </c>
      <c r="E1071" s="2" t="s">
        <v>190</v>
      </c>
      <c r="F1071" s="2" t="s">
        <v>1129</v>
      </c>
      <c r="G1071" s="2" t="s">
        <v>417</v>
      </c>
      <c r="H1071" s="2" t="s">
        <v>18</v>
      </c>
      <c r="I1071" s="2" t="s">
        <v>19</v>
      </c>
      <c r="J1071" s="2" t="s">
        <v>63</v>
      </c>
      <c r="K1071" s="2">
        <v>21000000</v>
      </c>
      <c r="L1071" s="2">
        <v>15473000</v>
      </c>
      <c r="M1071" s="2">
        <v>5</v>
      </c>
      <c r="N1071" s="2">
        <v>0</v>
      </c>
    </row>
    <row r="1072" spans="1:14" x14ac:dyDescent="0.3">
      <c r="A1072" s="2">
        <v>1672</v>
      </c>
      <c r="B1072" s="2" t="s">
        <v>1796</v>
      </c>
      <c r="C1072" s="3">
        <v>18854</v>
      </c>
      <c r="D1072" s="2">
        <v>122</v>
      </c>
      <c r="E1072" s="2" t="s">
        <v>190</v>
      </c>
      <c r="F1072" s="2" t="s">
        <v>1129</v>
      </c>
      <c r="G1072" s="2" t="s">
        <v>257</v>
      </c>
      <c r="H1072" s="2" t="s">
        <v>18</v>
      </c>
      <c r="I1072" s="2" t="s">
        <v>19</v>
      </c>
      <c r="J1072" s="2" t="s">
        <v>20</v>
      </c>
      <c r="K1072" s="2">
        <v>2295000</v>
      </c>
      <c r="L1072" s="2">
        <v>7000000</v>
      </c>
      <c r="M1072" s="2">
        <v>9</v>
      </c>
      <c r="N1072" s="2">
        <v>6</v>
      </c>
    </row>
    <row r="1073" spans="1:14" x14ac:dyDescent="0.3">
      <c r="A1073" s="2">
        <v>1673</v>
      </c>
      <c r="B1073" s="2" t="s">
        <v>1797</v>
      </c>
      <c r="C1073" s="3">
        <v>15573</v>
      </c>
      <c r="D1073" s="2">
        <v>118</v>
      </c>
      <c r="E1073" s="2" t="s">
        <v>38</v>
      </c>
      <c r="F1073" s="2" t="s">
        <v>1129</v>
      </c>
      <c r="G1073" s="2" t="s">
        <v>213</v>
      </c>
      <c r="H1073" s="2" t="s">
        <v>18</v>
      </c>
      <c r="I1073" s="2" t="s">
        <v>19</v>
      </c>
      <c r="J1073" s="2" t="s">
        <v>63</v>
      </c>
      <c r="K1073" s="2">
        <v>1000000</v>
      </c>
      <c r="L1073" s="2">
        <v>1100000</v>
      </c>
      <c r="M1073" s="2">
        <v>7</v>
      </c>
      <c r="N1073" s="2">
        <v>0</v>
      </c>
    </row>
    <row r="1074" spans="1:14" x14ac:dyDescent="0.3">
      <c r="A1074" s="2">
        <v>1674</v>
      </c>
      <c r="B1074" s="2" t="s">
        <v>1798</v>
      </c>
      <c r="C1074" s="3">
        <v>18253</v>
      </c>
      <c r="D1074" s="2">
        <v>128</v>
      </c>
      <c r="E1074" s="2" t="s">
        <v>190</v>
      </c>
      <c r="F1074" s="2" t="s">
        <v>1110</v>
      </c>
      <c r="G1074" s="2" t="s">
        <v>257</v>
      </c>
      <c r="H1074" s="2" t="s">
        <v>18</v>
      </c>
      <c r="I1074" s="2" t="s">
        <v>19</v>
      </c>
      <c r="J1074" s="2" t="s">
        <v>63</v>
      </c>
      <c r="K1074" s="2">
        <v>2900000</v>
      </c>
      <c r="L1074" s="2">
        <v>25600000</v>
      </c>
      <c r="M1074" s="2">
        <v>5</v>
      </c>
      <c r="N1074" s="2">
        <v>2</v>
      </c>
    </row>
    <row r="1075" spans="1:14" x14ac:dyDescent="0.3">
      <c r="A1075" s="2">
        <v>1676</v>
      </c>
      <c r="B1075" s="2" t="s">
        <v>1800</v>
      </c>
      <c r="C1075" s="3">
        <v>31401</v>
      </c>
      <c r="D1075" s="2">
        <v>108</v>
      </c>
      <c r="E1075" s="2" t="s">
        <v>49</v>
      </c>
      <c r="F1075" s="2" t="s">
        <v>74</v>
      </c>
      <c r="G1075" s="2" t="s">
        <v>1497</v>
      </c>
      <c r="H1075" s="2" t="s">
        <v>18</v>
      </c>
      <c r="I1075" s="2" t="s">
        <v>19</v>
      </c>
      <c r="J1075" s="2">
        <v>15</v>
      </c>
      <c r="K1075" s="2">
        <v>29000000</v>
      </c>
      <c r="L1075" s="2">
        <v>12300000</v>
      </c>
      <c r="M1075" s="2">
        <v>0</v>
      </c>
      <c r="N1075" s="2">
        <v>0</v>
      </c>
    </row>
    <row r="1076" spans="1:14" x14ac:dyDescent="0.3">
      <c r="A1076" s="2">
        <v>1677</v>
      </c>
      <c r="B1076" s="2" t="s">
        <v>1801</v>
      </c>
      <c r="C1076" s="3">
        <v>34159</v>
      </c>
      <c r="D1076" s="2">
        <v>128</v>
      </c>
      <c r="E1076" s="2" t="s">
        <v>84</v>
      </c>
      <c r="F1076" s="2" t="s">
        <v>74</v>
      </c>
      <c r="G1076" s="2" t="s">
        <v>779</v>
      </c>
      <c r="H1076" s="2" t="s">
        <v>18</v>
      </c>
      <c r="I1076" s="2" t="s">
        <v>19</v>
      </c>
      <c r="J1076" s="2">
        <v>15</v>
      </c>
      <c r="K1076" s="2">
        <v>40000000</v>
      </c>
      <c r="L1076" s="2">
        <v>177000000</v>
      </c>
      <c r="M1076" s="2">
        <v>3</v>
      </c>
      <c r="N1076" s="2">
        <v>0</v>
      </c>
    </row>
    <row r="1077" spans="1:14" x14ac:dyDescent="0.3">
      <c r="A1077" s="2">
        <v>1678</v>
      </c>
      <c r="B1077" s="2" t="s">
        <v>1802</v>
      </c>
      <c r="C1077" s="3">
        <v>34768</v>
      </c>
      <c r="D1077" s="2">
        <v>128</v>
      </c>
      <c r="E1077" s="2" t="s">
        <v>84</v>
      </c>
      <c r="F1077" s="2" t="s">
        <v>74</v>
      </c>
      <c r="G1077" s="2" t="s">
        <v>130</v>
      </c>
      <c r="H1077" s="2" t="s">
        <v>18</v>
      </c>
      <c r="I1077" s="2" t="s">
        <v>19</v>
      </c>
      <c r="J1077" s="2">
        <v>15</v>
      </c>
      <c r="K1077" s="2">
        <v>50000000</v>
      </c>
      <c r="L1077" s="2">
        <v>189800000</v>
      </c>
      <c r="M1077" s="2">
        <v>0</v>
      </c>
      <c r="N1077" s="2">
        <v>0</v>
      </c>
    </row>
  </sheetData>
  <sortState xmlns:xlrd2="http://schemas.microsoft.com/office/spreadsheetml/2017/richdata2" ref="A2:N1077">
    <sortCondition ref="H1:H1077"/>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Pivot Table</vt:lpstr>
      <vt:lpstr>Vlookup</vt:lpstr>
      <vt:lpstr>Hlookup</vt:lpstr>
      <vt:lpstr>Raw Data for Hlookup</vt:lpstr>
      <vt:lpstr>Data</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ISHIKA CHAUDHARY</cp:lastModifiedBy>
  <dcterms:created xsi:type="dcterms:W3CDTF">2017-03-27T08:10:30Z</dcterms:created>
  <dcterms:modified xsi:type="dcterms:W3CDTF">2025-11-17T12:53:28Z</dcterms:modified>
</cp:coreProperties>
</file>