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ELLO\Downloads\"/>
    </mc:Choice>
  </mc:AlternateContent>
  <xr:revisionPtr revIDLastSave="0" documentId="8_{4B00BFCE-C3D5-4C6A-B15C-BC4C684AF1F5}" xr6:coauthVersionLast="47" xr6:coauthVersionMax="47" xr10:uidLastSave="{00000000-0000-0000-0000-000000000000}"/>
  <bookViews>
    <workbookView xWindow="-108" yWindow="-108" windowWidth="23256" windowHeight="12456" activeTab="3" xr2:uid="{8B6A14A8-6E1C-4BFF-B390-9D3981E1FDBE}"/>
  </bookViews>
  <sheets>
    <sheet name="Raw Data vlookup" sheetId="1" r:id="rId1"/>
    <sheet name="Raw Data Hlookup" sheetId="5" r:id="rId2"/>
    <sheet name="Q1" sheetId="2" r:id="rId3"/>
    <sheet name="Q2"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4" l="1"/>
  <c r="B17" i="4"/>
  <c r="B4" i="4"/>
  <c r="A9" i="5" a="1"/>
  <c r="A9" i="5" s="1"/>
  <c r="B30" i="2"/>
  <c r="B4" i="2"/>
  <c r="B23" i="2"/>
  <c r="B17"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<sst xmlns="http://schemas.openxmlformats.org/spreadsheetml/2006/main" count="220" uniqueCount="76">
  <si>
    <t>Name</t>
  </si>
  <si>
    <t>Department ID</t>
  </si>
  <si>
    <t>Class Teacher</t>
  </si>
  <si>
    <t>Aarav Sharma</t>
  </si>
  <si>
    <t>D01</t>
  </si>
  <si>
    <t>Ms. Kavita Singh</t>
  </si>
  <si>
    <t>Bela Verma</t>
  </si>
  <si>
    <t>D02</t>
  </si>
  <si>
    <t>Mr. Alok Jain</t>
  </si>
  <si>
    <t>Chetan Gupta</t>
  </si>
  <si>
    <t>D03</t>
  </si>
  <si>
    <t>Dr. Priya Reddy</t>
  </si>
  <si>
    <t>Divya Patel</t>
  </si>
  <si>
    <t>Esha Khan</t>
  </si>
  <si>
    <t>D04</t>
  </si>
  <si>
    <t>Dr. Suma Menon</t>
  </si>
  <si>
    <t>Mr. Rahul Sood</t>
  </si>
  <si>
    <t>Dr. Anita Desai</t>
  </si>
  <si>
    <t>Ms. Rina Kumar</t>
  </si>
  <si>
    <t>Farhan Ali</t>
  </si>
  <si>
    <t>Gayatri Rao</t>
  </si>
  <si>
    <t>Harish Nair</t>
  </si>
  <si>
    <t>Ishita Shah</t>
  </si>
  <si>
    <t>Jai Singh</t>
  </si>
  <si>
    <t>Komal Dubey</t>
  </si>
  <si>
    <t>Lucky Yadav</t>
  </si>
  <si>
    <t>Meera Iyer</t>
  </si>
  <si>
    <t>Neha Soni</t>
  </si>
  <si>
    <t>Om Prakash</t>
  </si>
  <si>
    <t>Pooja Rane</t>
  </si>
  <si>
    <t>Qasim Rizvi</t>
  </si>
  <si>
    <t>Riya Bansal</t>
  </si>
  <si>
    <t>Sohan Kulkarni</t>
  </si>
  <si>
    <t>Tanya Das</t>
  </si>
  <si>
    <t>TABLE 1</t>
  </si>
  <si>
    <t>Name of HOD</t>
  </si>
  <si>
    <t>Dr. R. K. Mishra</t>
  </si>
  <si>
    <t>Dr. L. M. Kapoor</t>
  </si>
  <si>
    <t>Name of Department</t>
  </si>
  <si>
    <t>Major Subject</t>
  </si>
  <si>
    <t>Computer Science</t>
  </si>
  <si>
    <t>Data Structures</t>
  </si>
  <si>
    <t>Mechanical Engineering</t>
  </si>
  <si>
    <t>Thermodynamics</t>
  </si>
  <si>
    <t>Business Administration</t>
  </si>
  <si>
    <t>Financial Accounting</t>
  </si>
  <si>
    <t>Electrical Engineering</t>
  </si>
  <si>
    <t>Circuit Theory</t>
  </si>
  <si>
    <t>TABLE 2</t>
  </si>
  <si>
    <t>TABLE 3</t>
  </si>
  <si>
    <t>Credits</t>
  </si>
  <si>
    <t>Duration of Course</t>
  </si>
  <si>
    <t>16 Weeks</t>
  </si>
  <si>
    <t>18 Weeks</t>
  </si>
  <si>
    <t>14 Weeks</t>
  </si>
  <si>
    <t>TABLE 4</t>
  </si>
  <si>
    <t>Used Data Validation to get all Student name.
So, that we can select the name as per drop down</t>
  </si>
  <si>
    <t>Table1</t>
  </si>
  <si>
    <t>Q2. using name of the student find the hod</t>
  </si>
  <si>
    <t>HOD</t>
  </si>
  <si>
    <t>DEPT.ID BY STUDENT NAME</t>
  </si>
  <si>
    <t>HOD BY DEPT.ID</t>
  </si>
  <si>
    <t>Q 1.)  PART 1.) According to student name get the Dept. ID</t>
  </si>
  <si>
    <t>Q 1.)  PART 2.) According to Dept. ID get the HOD</t>
  </si>
  <si>
    <t>Table1-&gt;Table2-&gt;Table3-&gt;Table4</t>
  </si>
  <si>
    <t>Uses nested Vlookup to find the subject
1. According to student name get the Dept. ID
2. According to Dept. ID get the HOD
3. According to HOD get the Major Subject
4. According to the Subject get the duration of course</t>
  </si>
  <si>
    <t>Prof. S.L Narayan</t>
  </si>
  <si>
    <t>Dr. J.B Singh</t>
  </si>
  <si>
    <t>15 Weeks</t>
  </si>
  <si>
    <t>Part 1 According to the student name get the course duration</t>
  </si>
  <si>
    <t>PART 2. According to student name get the Dept. ID</t>
  </si>
  <si>
    <t>PART 3.  According to Dept. ID get the HOD</t>
  </si>
  <si>
    <t>PART 4. According to Credit Find the Department</t>
  </si>
  <si>
    <t>CREDIT</t>
  </si>
  <si>
    <t>DEPARTMENT NAME</t>
  </si>
  <si>
    <t>Uses nested Hlookup and nested vlookup to find the DUration
1. According to student name get the Dept. ID
2. According to Dept. ID get the HOD
3. According to HOD get the Major Subject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</si>
</sst>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1B1C1D"/>
      <name val="Arial"/>
      <family val="2"/>
    </font>
    <font>
      <b/>
      <sz val="11"/>
      <color rgb="FF1B1C1D"/>
      <name val="Arial"/>
      <family val="2"/>
    </font>
    <font>
      <b/>
      <sz val="11"/>
      <color theme="1"/>
      <name val="Calibri"/>
      <family val="2"/>
    </font>
    <font>
      <sz val="11"/>
      <color theme="1"/>
      <name val="Calibri"/>
      <family val="2"/>
    </font>
    <font>
      <b/>
      <sz val="11"/>
      <color rgb="FF1B1C1D"/>
      <name val="Calibri"/>
      <family val="2"/>
    </font>
    <font>
      <sz val="11"/>
      <color theme="1"/>
      <name val="Arial"/>
      <family val="2"/>
    </font>
  </fonts>
  <fills count="7">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rgb="FFFFC000"/>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medium">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rgb="FF000000"/>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rgb="FF000000"/>
      </left>
      <right/>
      <top/>
      <bottom style="medium">
        <color rgb="FF000000"/>
      </bottom>
      <diagonal/>
    </border>
  </borders>
  <cellStyleXfs count="2">
    <xf numFmtId="0" fontId="0" fillId="0" borderId="0"/>
    <xf numFmtId="44" fontId="1" fillId="0" borderId="0" applyFont="0" applyFill="0" applyBorder="0" applyAlignment="0" applyProtection="0"/>
  </cellStyleXfs>
  <cellXfs count="44">
    <xf numFmtId="0" fontId="0" fillId="0" borderId="0" xfId="0"/>
    <xf numFmtId="0" fontId="3" fillId="0" borderId="1" xfId="0" applyFont="1" applyBorder="1" applyAlignment="1">
      <alignment horizontal="center" vertical="center" readingOrder="1"/>
    </xf>
    <xf numFmtId="0" fontId="4" fillId="2" borderId="3" xfId="0" applyFont="1" applyFill="1" applyBorder="1" applyAlignment="1">
      <alignment horizontal="center" vertical="center" readingOrder="1"/>
    </xf>
    <xf numFmtId="0" fontId="6" fillId="0" borderId="0" xfId="0" applyFont="1"/>
    <xf numFmtId="0" fontId="7" fillId="2" borderId="8" xfId="0" applyFont="1" applyFill="1" applyBorder="1" applyAlignment="1">
      <alignment horizontal="center" vertical="center" readingOrder="1"/>
    </xf>
    <xf numFmtId="0" fontId="7" fillId="2" borderId="9" xfId="0" applyFont="1" applyFill="1" applyBorder="1" applyAlignment="1">
      <alignment horizontal="center" vertical="center" readingOrder="1"/>
    </xf>
    <xf numFmtId="0" fontId="5" fillId="0" borderId="2" xfId="0" applyFont="1" applyBorder="1" applyAlignment="1">
      <alignment horizontal="center" vertical="center"/>
    </xf>
    <xf numFmtId="0" fontId="6" fillId="0" borderId="10" xfId="0" applyFont="1" applyBorder="1" applyAlignment="1">
      <alignment horizontal="left" vertical="center" wrapText="1"/>
    </xf>
    <xf numFmtId="0" fontId="5" fillId="0" borderId="11" xfId="0" applyFont="1" applyBorder="1"/>
    <xf numFmtId="0" fontId="5" fillId="0" borderId="12" xfId="0" applyFont="1" applyBorder="1"/>
    <xf numFmtId="0" fontId="5" fillId="0" borderId="0" xfId="0" applyFont="1" applyAlignment="1">
      <alignment horizontal="center" vertical="center"/>
    </xf>
    <xf numFmtId="0" fontId="5" fillId="4" borderId="2" xfId="0" applyFont="1" applyFill="1" applyBorder="1" applyAlignment="1">
      <alignment horizontal="center" vertical="center"/>
    </xf>
    <xf numFmtId="0" fontId="0" fillId="0" borderId="14" xfId="0" applyBorder="1" applyAlignment="1">
      <alignment horizontal="center"/>
    </xf>
    <xf numFmtId="0" fontId="3" fillId="0" borderId="15" xfId="0" applyFont="1" applyBorder="1" applyAlignment="1">
      <alignment horizontal="center" vertical="center" readingOrder="1"/>
    </xf>
    <xf numFmtId="0" fontId="6" fillId="0" borderId="10" xfId="0" applyFont="1" applyBorder="1" applyAlignment="1">
      <alignment horizontal="center"/>
    </xf>
    <xf numFmtId="0" fontId="8" fillId="0" borderId="14" xfId="0" applyFont="1" applyBorder="1" applyAlignment="1">
      <alignment horizontal="center"/>
    </xf>
    <xf numFmtId="0" fontId="5" fillId="0" borderId="2" xfId="0" applyFont="1" applyBorder="1"/>
    <xf numFmtId="0" fontId="6" fillId="0" borderId="2" xfId="0" applyFont="1" applyBorder="1" applyAlignment="1">
      <alignment horizontal="left" vertical="center" wrapText="1"/>
    </xf>
    <xf numFmtId="0" fontId="0" fillId="0" borderId="2" xfId="0" applyBorder="1"/>
    <xf numFmtId="0" fontId="2" fillId="2" borderId="2" xfId="0" applyFont="1" applyFill="1" applyBorder="1"/>
    <xf numFmtId="0" fontId="7" fillId="2" borderId="2" xfId="0" applyFont="1" applyFill="1" applyBorder="1" applyAlignment="1">
      <alignment horizontal="center" vertical="center" readingOrder="1"/>
    </xf>
    <xf numFmtId="0" fontId="6" fillId="0" borderId="2" xfId="0" applyFont="1" applyBorder="1" applyAlignment="1">
      <alignment horizontal="center" vertical="center"/>
    </xf>
    <xf numFmtId="0" fontId="5" fillId="2" borderId="2"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0" xfId="0" applyFont="1" applyFill="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0" fillId="6" borderId="2" xfId="0" applyFill="1" applyBorder="1" applyAlignment="1">
      <alignment horizontal="center"/>
    </xf>
    <xf numFmtId="0" fontId="2" fillId="6" borderId="2" xfId="0" applyFont="1" applyFill="1" applyBorder="1" applyAlignment="1">
      <alignment horizontal="center"/>
    </xf>
    <xf numFmtId="0" fontId="2" fillId="3" borderId="2" xfId="0" applyFont="1" applyFill="1" applyBorder="1" applyAlignment="1">
      <alignment horizontal="center" vertical="center"/>
    </xf>
    <xf numFmtId="0" fontId="6" fillId="5" borderId="11" xfId="0" applyFont="1" applyFill="1" applyBorder="1" applyAlignment="1">
      <alignment horizontal="center"/>
    </xf>
    <xf numFmtId="0" fontId="6" fillId="5" borderId="12" xfId="0" applyFont="1" applyFill="1" applyBorder="1" applyAlignment="1">
      <alignment horizontal="center"/>
    </xf>
    <xf numFmtId="0" fontId="6" fillId="5" borderId="13" xfId="0" applyFont="1" applyFill="1" applyBorder="1" applyAlignment="1">
      <alignment horizontal="center"/>
    </xf>
    <xf numFmtId="0" fontId="6" fillId="5" borderId="11" xfId="0" applyFont="1" applyFill="1" applyBorder="1" applyAlignment="1">
      <alignment horizontal="left" vertical="center"/>
    </xf>
    <xf numFmtId="0" fontId="6" fillId="5" borderId="12" xfId="0" applyFont="1" applyFill="1" applyBorder="1" applyAlignment="1">
      <alignment horizontal="left" vertical="center"/>
    </xf>
    <xf numFmtId="0" fontId="6" fillId="5" borderId="13" xfId="0" applyFont="1" applyFill="1" applyBorder="1" applyAlignment="1">
      <alignment horizontal="left" vertical="center"/>
    </xf>
    <xf numFmtId="0" fontId="5" fillId="2" borderId="11" xfId="0" applyFont="1" applyFill="1" applyBorder="1" applyAlignment="1">
      <alignment horizontal="center"/>
    </xf>
    <xf numFmtId="0" fontId="5" fillId="2" borderId="13" xfId="0" applyFont="1" applyFill="1" applyBorder="1" applyAlignment="1">
      <alignment horizontal="center"/>
    </xf>
    <xf numFmtId="44" fontId="5" fillId="3" borderId="0" xfId="1" applyFont="1" applyFill="1" applyAlignment="1">
      <alignment horizontal="left"/>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6" fillId="2" borderId="13" xfId="0" applyFont="1" applyFill="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xdr:from>
      <xdr:col>1</xdr:col>
      <xdr:colOff>1409700</xdr:colOff>
      <xdr:row>5</xdr:row>
      <xdr:rowOff>7620</xdr:rowOff>
    </xdr:from>
    <xdr:to>
      <xdr:col>1</xdr:col>
      <xdr:colOff>1409700</xdr:colOff>
      <xdr:row>7</xdr:row>
      <xdr:rowOff>158750</xdr:rowOff>
    </xdr:to>
    <xdr:cxnSp macro="">
      <xdr:nvCxnSpPr>
        <xdr:cNvPr id="4" name="Straight Arrow Connector 3">
          <a:extLst>
            <a:ext uri="{FF2B5EF4-FFF2-40B4-BE49-F238E27FC236}">
              <a16:creationId xmlns:a16="http://schemas.microsoft.com/office/drawing/2014/main" id="{AEC140A7-8B08-41B8-91AD-4509E6917B0C}"/>
            </a:ext>
          </a:extLst>
        </xdr:cNvPr>
        <xdr:cNvCxnSpPr/>
      </xdr:nvCxnSpPr>
      <xdr:spPr>
        <a:xfrm>
          <a:off x="2926080" y="929640"/>
          <a:ext cx="0" cy="51689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889000</xdr:colOff>
      <xdr:row>5</xdr:row>
      <xdr:rowOff>22860</xdr:rowOff>
    </xdr:from>
    <xdr:to>
      <xdr:col>0</xdr:col>
      <xdr:colOff>891540</xdr:colOff>
      <xdr:row>7</xdr:row>
      <xdr:rowOff>152400</xdr:rowOff>
    </xdr:to>
    <xdr:cxnSp macro="">
      <xdr:nvCxnSpPr>
        <xdr:cNvPr id="8" name="Straight Arrow Connector 7">
          <a:extLst>
            <a:ext uri="{FF2B5EF4-FFF2-40B4-BE49-F238E27FC236}">
              <a16:creationId xmlns:a16="http://schemas.microsoft.com/office/drawing/2014/main" id="{F428EFC5-3223-4291-8256-68F4F49A3888}"/>
            </a:ext>
          </a:extLst>
        </xdr:cNvPr>
        <xdr:cNvCxnSpPr/>
      </xdr:nvCxnSpPr>
      <xdr:spPr>
        <a:xfrm flipH="1">
          <a:off x="889000" y="944880"/>
          <a:ext cx="2540" cy="4953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1403350</xdr:colOff>
      <xdr:row>4</xdr:row>
      <xdr:rowOff>12700</xdr:rowOff>
    </xdr:from>
    <xdr:to>
      <xdr:col>1</xdr:col>
      <xdr:colOff>1409700</xdr:colOff>
      <xdr:row>6</xdr:row>
      <xdr:rowOff>158750</xdr:rowOff>
    </xdr:to>
    <xdr:cxnSp macro="">
      <xdr:nvCxnSpPr>
        <xdr:cNvPr id="2" name="Straight Arrow Connector 1">
          <a:extLst>
            <a:ext uri="{FF2B5EF4-FFF2-40B4-BE49-F238E27FC236}">
              <a16:creationId xmlns:a16="http://schemas.microsoft.com/office/drawing/2014/main" id="{69963183-EC3C-44A5-A797-14FC5F60369F}"/>
            </a:ext>
          </a:extLst>
        </xdr:cNvPr>
        <xdr:cNvCxnSpPr/>
      </xdr:nvCxnSpPr>
      <xdr:spPr>
        <a:xfrm>
          <a:off x="2997200" y="755650"/>
          <a:ext cx="6350" cy="5143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882650</xdr:colOff>
      <xdr:row>4</xdr:row>
      <xdr:rowOff>6350</xdr:rowOff>
    </xdr:from>
    <xdr:to>
      <xdr:col>0</xdr:col>
      <xdr:colOff>889000</xdr:colOff>
      <xdr:row>6</xdr:row>
      <xdr:rowOff>152400</xdr:rowOff>
    </xdr:to>
    <xdr:cxnSp macro="">
      <xdr:nvCxnSpPr>
        <xdr:cNvPr id="3" name="Straight Arrow Connector 2">
          <a:extLst>
            <a:ext uri="{FF2B5EF4-FFF2-40B4-BE49-F238E27FC236}">
              <a16:creationId xmlns:a16="http://schemas.microsoft.com/office/drawing/2014/main" id="{DA7FBB6F-5F33-4DED-B1C5-789369EC57F7}"/>
            </a:ext>
          </a:extLst>
        </xdr:cNvPr>
        <xdr:cNvCxnSpPr/>
      </xdr:nvCxnSpPr>
      <xdr:spPr>
        <a:xfrm>
          <a:off x="882650" y="749300"/>
          <a:ext cx="6350" cy="5143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20</v>
    <v>8</v>
    <v>2</v>
    <v>6</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A0BA4-DF18-4879-9269-54518284F624}">
  <dimension ref="A2:N22"/>
  <sheetViews>
    <sheetView zoomScale="80" zoomScaleNormal="80" workbookViewId="0">
      <selection activeCell="H3" sqref="H3:N8"/>
    </sheetView>
  </sheetViews>
  <sheetFormatPr defaultRowHeight="14.4" x14ac:dyDescent="0.3"/>
  <cols>
    <col min="1" max="1" width="14.6640625" bestFit="1" customWidth="1"/>
    <col min="2" max="2" width="15.21875" bestFit="1" customWidth="1"/>
    <col min="3" max="3" width="16.33203125" bestFit="1" customWidth="1"/>
    <col min="4" max="4" width="15.21875" customWidth="1"/>
    <col min="5" max="5" width="15.21875" bestFit="1" customWidth="1"/>
    <col min="6" max="6" width="15.77734375" bestFit="1" customWidth="1"/>
    <col min="7" max="7" width="15.44140625" bestFit="1" customWidth="1"/>
    <col min="8" max="8" width="15.77734375" bestFit="1" customWidth="1"/>
    <col min="9" max="9" width="21.5546875" bestFit="1" customWidth="1"/>
    <col min="10" max="10" width="15.44140625" bestFit="1" customWidth="1"/>
    <col min="11" max="11" width="14.77734375" customWidth="1"/>
    <col min="12" max="12" width="15.44140625" bestFit="1" customWidth="1"/>
    <col min="13" max="13" width="8.21875" bestFit="1" customWidth="1"/>
    <col min="14" max="14" width="20" bestFit="1" customWidth="1"/>
    <col min="15" max="15" width="21" bestFit="1" customWidth="1"/>
    <col min="16" max="16" width="14.6640625" customWidth="1"/>
    <col min="17" max="17" width="16.33203125" bestFit="1" customWidth="1"/>
    <col min="18" max="18" width="15.6640625" bestFit="1" customWidth="1"/>
    <col min="19" max="19" width="15" bestFit="1" customWidth="1"/>
    <col min="20" max="20" width="14.6640625" bestFit="1" customWidth="1"/>
    <col min="21" max="21" width="16.33203125" bestFit="1" customWidth="1"/>
    <col min="22" max="22" width="15.6640625" bestFit="1" customWidth="1"/>
    <col min="23" max="23" width="15" bestFit="1" customWidth="1"/>
    <col min="24" max="24" width="15.44140625" bestFit="1" customWidth="1"/>
  </cols>
  <sheetData>
    <row r="2" spans="1:14" ht="15" thickBot="1" x14ac:dyDescent="0.35"/>
    <row r="3" spans="1:14" ht="15" thickBot="1" x14ac:dyDescent="0.35">
      <c r="A3" s="25" t="e" vm="1">
        <v>#VALUE!</v>
      </c>
      <c r="B3" s="26"/>
      <c r="C3" s="27"/>
      <c r="E3" s="25" t="s">
        <v>48</v>
      </c>
      <c r="F3" s="26"/>
      <c r="H3" s="23" t="s">
        <v>49</v>
      </c>
      <c r="I3" s="24"/>
      <c r="J3" s="24"/>
      <c r="L3" s="23" t="s">
        <v>55</v>
      </c>
      <c r="M3" s="24"/>
      <c r="N3" s="24"/>
    </row>
    <row r="4" spans="1:14" ht="15" thickBot="1" x14ac:dyDescent="0.35">
      <c r="A4" s="2" t="s">
        <v>0</v>
      </c>
      <c r="B4" s="2" t="s">
        <v>1</v>
      </c>
      <c r="C4" s="2" t="s">
        <v>2</v>
      </c>
      <c r="E4" s="2" t="s">
        <v>1</v>
      </c>
      <c r="F4" s="2" t="s">
        <v>35</v>
      </c>
      <c r="H4" s="2" t="s">
        <v>35</v>
      </c>
      <c r="I4" s="2" t="s">
        <v>38</v>
      </c>
      <c r="J4" s="2" t="s">
        <v>39</v>
      </c>
      <c r="L4" s="2" t="s">
        <v>39</v>
      </c>
      <c r="M4" s="2" t="s">
        <v>50</v>
      </c>
      <c r="N4" s="2" t="s">
        <v>51</v>
      </c>
    </row>
    <row r="5" spans="1:14" ht="15" thickBot="1" x14ac:dyDescent="0.35">
      <c r="A5" s="1" t="s">
        <v>3</v>
      </c>
      <c r="B5" s="1" t="s">
        <v>4</v>
      </c>
      <c r="C5" s="1" t="s">
        <v>5</v>
      </c>
      <c r="E5" s="1" t="s">
        <v>4</v>
      </c>
      <c r="F5" s="1" t="s">
        <v>36</v>
      </c>
      <c r="H5" s="1" t="s">
        <v>36</v>
      </c>
      <c r="I5" s="1" t="s">
        <v>40</v>
      </c>
      <c r="J5" s="1" t="s">
        <v>41</v>
      </c>
      <c r="L5" s="1" t="s">
        <v>41</v>
      </c>
      <c r="M5" s="1">
        <v>4</v>
      </c>
      <c r="N5" s="1" t="s">
        <v>52</v>
      </c>
    </row>
    <row r="6" spans="1:14" ht="15" thickBot="1" x14ac:dyDescent="0.35">
      <c r="A6" s="1" t="s">
        <v>12</v>
      </c>
      <c r="B6" s="1" t="s">
        <v>4</v>
      </c>
      <c r="C6" s="1" t="s">
        <v>5</v>
      </c>
      <c r="E6" s="1" t="s">
        <v>14</v>
      </c>
      <c r="F6" s="1" t="s">
        <v>37</v>
      </c>
      <c r="H6" s="1" t="s">
        <v>66</v>
      </c>
      <c r="I6" s="1" t="s">
        <v>42</v>
      </c>
      <c r="J6" s="1" t="s">
        <v>43</v>
      </c>
      <c r="L6" s="1" t="s">
        <v>43</v>
      </c>
      <c r="M6" s="1">
        <v>2</v>
      </c>
      <c r="N6" s="1" t="s">
        <v>53</v>
      </c>
    </row>
    <row r="7" spans="1:14" ht="15" thickBot="1" x14ac:dyDescent="0.35">
      <c r="A7" s="1" t="s">
        <v>13</v>
      </c>
      <c r="B7" s="1" t="s">
        <v>7</v>
      </c>
      <c r="C7" s="1" t="s">
        <v>8</v>
      </c>
      <c r="E7" s="1" t="s">
        <v>7</v>
      </c>
      <c r="F7" s="1" t="s">
        <v>66</v>
      </c>
      <c r="H7" s="1" t="s">
        <v>37</v>
      </c>
      <c r="I7" s="1" t="s">
        <v>44</v>
      </c>
      <c r="J7" s="1" t="s">
        <v>45</v>
      </c>
      <c r="L7" s="1" t="s">
        <v>45</v>
      </c>
      <c r="M7" s="1">
        <v>5</v>
      </c>
      <c r="N7" s="1" t="s">
        <v>54</v>
      </c>
    </row>
    <row r="8" spans="1:14" ht="15" thickBot="1" x14ac:dyDescent="0.35">
      <c r="A8" s="1" t="s">
        <v>19</v>
      </c>
      <c r="B8" s="1" t="s">
        <v>14</v>
      </c>
      <c r="C8" s="1" t="s">
        <v>15</v>
      </c>
      <c r="E8" s="1" t="s">
        <v>10</v>
      </c>
      <c r="F8" s="1" t="s">
        <v>67</v>
      </c>
      <c r="H8" s="1" t="s">
        <v>67</v>
      </c>
      <c r="I8" s="1" t="s">
        <v>46</v>
      </c>
      <c r="J8" s="1" t="s">
        <v>47</v>
      </c>
      <c r="L8" s="1" t="s">
        <v>47</v>
      </c>
      <c r="M8" s="1">
        <v>3</v>
      </c>
      <c r="N8" s="1" t="s">
        <v>68</v>
      </c>
    </row>
    <row r="9" spans="1:14" ht="15" thickBot="1" x14ac:dyDescent="0.35">
      <c r="A9" s="1" t="s">
        <v>20</v>
      </c>
      <c r="B9" s="1" t="s">
        <v>4</v>
      </c>
      <c r="C9" s="1" t="s">
        <v>16</v>
      </c>
    </row>
    <row r="10" spans="1:14" ht="15" thickBot="1" x14ac:dyDescent="0.35">
      <c r="A10" s="1" t="s">
        <v>21</v>
      </c>
      <c r="B10" s="1" t="s">
        <v>10</v>
      </c>
      <c r="C10" s="1" t="s">
        <v>11</v>
      </c>
    </row>
    <row r="11" spans="1:14" ht="15" thickBot="1" x14ac:dyDescent="0.35">
      <c r="A11" s="1" t="s">
        <v>22</v>
      </c>
      <c r="B11" s="1" t="s">
        <v>14</v>
      </c>
      <c r="C11" s="1" t="s">
        <v>15</v>
      </c>
    </row>
    <row r="12" spans="1:14" ht="15" thickBot="1" x14ac:dyDescent="0.35">
      <c r="A12" s="1" t="s">
        <v>23</v>
      </c>
      <c r="B12" s="1" t="s">
        <v>7</v>
      </c>
      <c r="C12" s="1" t="s">
        <v>8</v>
      </c>
    </row>
    <row r="13" spans="1:14" ht="15" thickBot="1" x14ac:dyDescent="0.35">
      <c r="A13" s="1" t="s">
        <v>24</v>
      </c>
      <c r="B13" s="1" t="s">
        <v>4</v>
      </c>
      <c r="C13" s="1" t="s">
        <v>5</v>
      </c>
    </row>
    <row r="14" spans="1:14" ht="15" thickBot="1" x14ac:dyDescent="0.35">
      <c r="A14" s="1" t="s">
        <v>25</v>
      </c>
      <c r="B14" s="1" t="s">
        <v>10</v>
      </c>
      <c r="C14" s="1" t="s">
        <v>17</v>
      </c>
    </row>
    <row r="15" spans="1:14" ht="15" thickBot="1" x14ac:dyDescent="0.35">
      <c r="A15" s="1" t="s">
        <v>26</v>
      </c>
      <c r="B15" s="1" t="s">
        <v>14</v>
      </c>
      <c r="C15" s="1" t="s">
        <v>15</v>
      </c>
    </row>
    <row r="16" spans="1:14" ht="15" thickBot="1" x14ac:dyDescent="0.35">
      <c r="A16" s="1" t="s">
        <v>27</v>
      </c>
      <c r="B16" s="1" t="s">
        <v>7</v>
      </c>
      <c r="C16" s="1" t="s">
        <v>18</v>
      </c>
    </row>
    <row r="17" spans="1:3" ht="15" thickBot="1" x14ac:dyDescent="0.35">
      <c r="A17" s="1" t="s">
        <v>28</v>
      </c>
      <c r="B17" s="1" t="s">
        <v>4</v>
      </c>
      <c r="C17" s="1" t="s">
        <v>16</v>
      </c>
    </row>
    <row r="18" spans="1:3" ht="15" thickBot="1" x14ac:dyDescent="0.35">
      <c r="A18" s="1" t="s">
        <v>29</v>
      </c>
      <c r="B18" s="1" t="s">
        <v>10</v>
      </c>
      <c r="C18" s="1" t="s">
        <v>17</v>
      </c>
    </row>
    <row r="19" spans="1:3" ht="15" thickBot="1" x14ac:dyDescent="0.35">
      <c r="A19" s="1" t="s">
        <v>30</v>
      </c>
      <c r="B19" s="1" t="s">
        <v>14</v>
      </c>
      <c r="C19" s="1" t="s">
        <v>15</v>
      </c>
    </row>
    <row r="20" spans="1:3" ht="15" thickBot="1" x14ac:dyDescent="0.35">
      <c r="A20" s="1" t="s">
        <v>31</v>
      </c>
      <c r="B20" s="1" t="s">
        <v>7</v>
      </c>
      <c r="C20" s="1" t="s">
        <v>18</v>
      </c>
    </row>
    <row r="21" spans="1:3" ht="15" thickBot="1" x14ac:dyDescent="0.35">
      <c r="A21" s="1" t="s">
        <v>32</v>
      </c>
      <c r="B21" s="1" t="s">
        <v>4</v>
      </c>
      <c r="C21" s="1" t="s">
        <v>16</v>
      </c>
    </row>
    <row r="22" spans="1:3" ht="15" thickBot="1" x14ac:dyDescent="0.35">
      <c r="A22" s="1" t="s">
        <v>33</v>
      </c>
      <c r="B22" s="1" t="s">
        <v>10</v>
      </c>
      <c r="C22" s="1" t="s">
        <v>11</v>
      </c>
    </row>
  </sheetData>
  <mergeCells count="4">
    <mergeCell ref="L3:N3"/>
    <mergeCell ref="A3:C3"/>
    <mergeCell ref="E3:F3"/>
    <mergeCell ref="H3:J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51E21-417B-469F-B4C1-25181F7FED28}">
  <dimension ref="A2:U21"/>
  <sheetViews>
    <sheetView workbookViewId="0">
      <selection activeCell="E16" sqref="E16:G16"/>
    </sheetView>
  </sheetViews>
  <sheetFormatPr defaultRowHeight="14.4" x14ac:dyDescent="0.3"/>
  <cols>
    <col min="1" max="1" width="15.77734375" bestFit="1" customWidth="1"/>
    <col min="2" max="2" width="21.44140625" bestFit="1" customWidth="1"/>
    <col min="3" max="3" width="15" bestFit="1" customWidth="1"/>
    <col min="4" max="4" width="13.109375" bestFit="1" customWidth="1"/>
    <col min="5" max="5" width="15" bestFit="1" customWidth="1"/>
    <col min="6" max="6" width="10.88671875" bestFit="1" customWidth="1"/>
    <col min="7" max="7" width="19.44140625" bestFit="1" customWidth="1"/>
    <col min="8" max="8" width="12.88671875" bestFit="1" customWidth="1"/>
    <col min="9" max="9" width="13.109375" bestFit="1" customWidth="1"/>
    <col min="10" max="10" width="14.21875" bestFit="1" customWidth="1"/>
    <col min="11" max="11" width="10.88671875" bestFit="1" customWidth="1"/>
    <col min="12" max="12" width="13.77734375" bestFit="1" customWidth="1"/>
    <col min="13" max="13" width="12.77734375" bestFit="1" customWidth="1"/>
    <col min="14" max="14" width="14.21875" bestFit="1" customWidth="1"/>
    <col min="15" max="15" width="13.44140625" bestFit="1" customWidth="1"/>
    <col min="16" max="16" width="12.88671875" bestFit="1" customWidth="1"/>
    <col min="17" max="17" width="12.77734375" bestFit="1" customWidth="1"/>
    <col min="18" max="18" width="14.21875" bestFit="1" customWidth="1"/>
    <col min="19" max="19" width="13.44140625" bestFit="1" customWidth="1"/>
    <col min="20" max="20" width="12.88671875" bestFit="1" customWidth="1"/>
    <col min="21" max="21" width="13.109375" bestFit="1" customWidth="1"/>
  </cols>
  <sheetData>
    <row r="2" spans="1:21" x14ac:dyDescent="0.3">
      <c r="A2" s="28" t="s">
        <v>34</v>
      </c>
      <c r="B2" s="28"/>
      <c r="C2" s="28"/>
      <c r="D2" s="28"/>
      <c r="E2" s="28"/>
      <c r="F2" s="28"/>
      <c r="G2" s="28"/>
      <c r="H2" s="28"/>
      <c r="I2" s="28"/>
      <c r="J2" s="28"/>
      <c r="K2" s="28"/>
      <c r="L2" s="28"/>
      <c r="M2" s="28"/>
      <c r="N2" s="28"/>
      <c r="O2" s="28"/>
      <c r="P2" s="28"/>
      <c r="Q2" s="28"/>
      <c r="R2" s="28"/>
      <c r="S2" s="28"/>
      <c r="T2" s="28"/>
      <c r="U2" s="28"/>
    </row>
    <row r="3" spans="1:21" x14ac:dyDescent="0.3">
      <c r="A3" s="19" t="s">
        <v>0</v>
      </c>
      <c r="B3" s="18" t="s">
        <v>3</v>
      </c>
      <c r="C3" s="18" t="s">
        <v>6</v>
      </c>
      <c r="D3" s="18" t="s">
        <v>9</v>
      </c>
      <c r="E3" s="18" t="s">
        <v>12</v>
      </c>
      <c r="F3" s="18" t="s">
        <v>13</v>
      </c>
      <c r="G3" s="18" t="s">
        <v>19</v>
      </c>
      <c r="H3" s="18" t="s">
        <v>20</v>
      </c>
      <c r="I3" s="18" t="s">
        <v>21</v>
      </c>
      <c r="J3" s="18" t="s">
        <v>22</v>
      </c>
      <c r="K3" s="18" t="s">
        <v>23</v>
      </c>
      <c r="L3" s="18" t="s">
        <v>24</v>
      </c>
      <c r="M3" s="18" t="s">
        <v>25</v>
      </c>
      <c r="N3" s="18" t="s">
        <v>26</v>
      </c>
      <c r="O3" s="18" t="s">
        <v>27</v>
      </c>
      <c r="P3" s="18" t="s">
        <v>28</v>
      </c>
      <c r="Q3" s="18" t="s">
        <v>29</v>
      </c>
      <c r="R3" s="18" t="s">
        <v>30</v>
      </c>
      <c r="S3" s="18" t="s">
        <v>31</v>
      </c>
      <c r="T3" s="18" t="s">
        <v>32</v>
      </c>
      <c r="U3" s="18" t="s">
        <v>33</v>
      </c>
    </row>
    <row r="4" spans="1:21" x14ac:dyDescent="0.3">
      <c r="A4" s="19" t="s">
        <v>1</v>
      </c>
      <c r="B4" s="18" t="s">
        <v>4</v>
      </c>
      <c r="C4" s="18" t="s">
        <v>7</v>
      </c>
      <c r="D4" s="18" t="s">
        <v>10</v>
      </c>
      <c r="E4" s="18" t="s">
        <v>4</v>
      </c>
      <c r="F4" s="18" t="s">
        <v>7</v>
      </c>
      <c r="G4" s="18" t="s">
        <v>14</v>
      </c>
      <c r="H4" s="18" t="s">
        <v>4</v>
      </c>
      <c r="I4" s="18" t="s">
        <v>10</v>
      </c>
      <c r="J4" s="18" t="s">
        <v>14</v>
      </c>
      <c r="K4" s="18" t="s">
        <v>7</v>
      </c>
      <c r="L4" s="18" t="s">
        <v>4</v>
      </c>
      <c r="M4" s="18" t="s">
        <v>10</v>
      </c>
      <c r="N4" s="18" t="s">
        <v>14</v>
      </c>
      <c r="O4" s="18" t="s">
        <v>7</v>
      </c>
      <c r="P4" s="18" t="s">
        <v>4</v>
      </c>
      <c r="Q4" s="18" t="s">
        <v>10</v>
      </c>
      <c r="R4" s="18" t="s">
        <v>14</v>
      </c>
      <c r="S4" s="18" t="s">
        <v>7</v>
      </c>
      <c r="T4" s="18" t="s">
        <v>4</v>
      </c>
      <c r="U4" s="18" t="s">
        <v>10</v>
      </c>
    </row>
    <row r="5" spans="1:21" x14ac:dyDescent="0.3">
      <c r="A5" s="19" t="s">
        <v>2</v>
      </c>
      <c r="B5" s="18" t="s">
        <v>5</v>
      </c>
      <c r="C5" s="18" t="s">
        <v>8</v>
      </c>
      <c r="D5" s="18" t="s">
        <v>11</v>
      </c>
      <c r="E5" s="18" t="s">
        <v>5</v>
      </c>
      <c r="F5" s="18" t="s">
        <v>8</v>
      </c>
      <c r="G5" s="18" t="s">
        <v>15</v>
      </c>
      <c r="H5" s="18" t="s">
        <v>16</v>
      </c>
      <c r="I5" s="18" t="s">
        <v>11</v>
      </c>
      <c r="J5" s="18" t="s">
        <v>15</v>
      </c>
      <c r="K5" s="18" t="s">
        <v>8</v>
      </c>
      <c r="L5" s="18" t="s">
        <v>5</v>
      </c>
      <c r="M5" s="18" t="s">
        <v>17</v>
      </c>
      <c r="N5" s="18" t="s">
        <v>15</v>
      </c>
      <c r="O5" s="18" t="s">
        <v>18</v>
      </c>
      <c r="P5" s="18" t="s">
        <v>16</v>
      </c>
      <c r="Q5" s="18" t="s">
        <v>17</v>
      </c>
      <c r="R5" s="18" t="s">
        <v>15</v>
      </c>
      <c r="S5" s="18" t="s">
        <v>18</v>
      </c>
      <c r="T5" s="18" t="s">
        <v>16</v>
      </c>
      <c r="U5" s="18" t="s">
        <v>11</v>
      </c>
    </row>
    <row r="8" spans="1:21" x14ac:dyDescent="0.3">
      <c r="A8" s="29" t="s">
        <v>48</v>
      </c>
      <c r="B8" s="29"/>
      <c r="C8" s="29"/>
      <c r="D8" s="29"/>
      <c r="E8" s="29"/>
    </row>
    <row r="9" spans="1:21" x14ac:dyDescent="0.3">
      <c r="A9" s="19" t="str" cm="1">
        <f t="array" ref="A9:E10">TRANSPOSE('Raw Data vlookup'!E4:F8)</f>
        <v>Department ID</v>
      </c>
      <c r="B9" s="18" t="str">
        <v>D01</v>
      </c>
      <c r="C9" s="18" t="str">
        <v>D04</v>
      </c>
      <c r="D9" s="18" t="str">
        <v>D02</v>
      </c>
      <c r="E9" s="18" t="str">
        <v>D03</v>
      </c>
    </row>
    <row r="10" spans="1:21" x14ac:dyDescent="0.3">
      <c r="A10" s="19" t="str">
        <v>Name of HOD</v>
      </c>
      <c r="B10" s="18" t="str">
        <v>Dr. R. K. Mishra</v>
      </c>
      <c r="C10" s="18" t="str">
        <v>Dr. L. M. Kapoor</v>
      </c>
      <c r="D10" s="18" t="str">
        <v>Prof. S.L Narayan</v>
      </c>
      <c r="E10" s="18" t="str">
        <v>Dr. J.B Singh</v>
      </c>
    </row>
    <row r="16" spans="1:21" x14ac:dyDescent="0.3">
      <c r="A16" s="30" t="s">
        <v>49</v>
      </c>
      <c r="B16" s="30"/>
      <c r="C16" s="30"/>
      <c r="E16" s="30" t="s">
        <v>55</v>
      </c>
      <c r="F16" s="30"/>
      <c r="G16" s="30"/>
    </row>
    <row r="17" spans="1:7" ht="15" thickBot="1" x14ac:dyDescent="0.35">
      <c r="A17" s="2" t="s">
        <v>35</v>
      </c>
      <c r="B17" s="2" t="s">
        <v>38</v>
      </c>
      <c r="C17" s="2" t="s">
        <v>39</v>
      </c>
      <c r="E17" s="2" t="s">
        <v>39</v>
      </c>
      <c r="F17" s="2" t="s">
        <v>50</v>
      </c>
      <c r="G17" s="2" t="s">
        <v>51</v>
      </c>
    </row>
    <row r="18" spans="1:7" ht="15" thickBot="1" x14ac:dyDescent="0.35">
      <c r="A18" s="1" t="s">
        <v>36</v>
      </c>
      <c r="B18" s="1" t="s">
        <v>40</v>
      </c>
      <c r="C18" s="1" t="s">
        <v>41</v>
      </c>
      <c r="E18" s="1" t="s">
        <v>41</v>
      </c>
      <c r="F18" s="1">
        <v>4</v>
      </c>
      <c r="G18" s="1" t="s">
        <v>52</v>
      </c>
    </row>
    <row r="19" spans="1:7" ht="15" thickBot="1" x14ac:dyDescent="0.35">
      <c r="A19" s="1" t="s">
        <v>66</v>
      </c>
      <c r="B19" s="1" t="s">
        <v>42</v>
      </c>
      <c r="C19" s="1" t="s">
        <v>43</v>
      </c>
      <c r="E19" s="1" t="s">
        <v>43</v>
      </c>
      <c r="F19" s="1">
        <v>2</v>
      </c>
      <c r="G19" s="1" t="s">
        <v>53</v>
      </c>
    </row>
    <row r="20" spans="1:7" ht="15" thickBot="1" x14ac:dyDescent="0.35">
      <c r="A20" s="1" t="s">
        <v>37</v>
      </c>
      <c r="B20" s="1" t="s">
        <v>44</v>
      </c>
      <c r="C20" s="1" t="s">
        <v>45</v>
      </c>
      <c r="E20" s="1" t="s">
        <v>45</v>
      </c>
      <c r="F20" s="1">
        <v>5</v>
      </c>
      <c r="G20" s="1" t="s">
        <v>54</v>
      </c>
    </row>
    <row r="21" spans="1:7" ht="15" thickBot="1" x14ac:dyDescent="0.35">
      <c r="A21" s="1" t="s">
        <v>67</v>
      </c>
      <c r="B21" s="1" t="s">
        <v>46</v>
      </c>
      <c r="C21" s="1" t="s">
        <v>47</v>
      </c>
      <c r="E21" s="1" t="s">
        <v>47</v>
      </c>
      <c r="F21" s="1">
        <v>3</v>
      </c>
      <c r="G21" s="1" t="s">
        <v>68</v>
      </c>
    </row>
  </sheetData>
  <mergeCells count="4">
    <mergeCell ref="A2:U2"/>
    <mergeCell ref="A8:E8"/>
    <mergeCell ref="A16:C16"/>
    <mergeCell ref="E16:G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57417-8B9E-4B9B-80DF-E92B22A03A6C}">
  <dimension ref="A1:L30"/>
  <sheetViews>
    <sheetView showGridLines="0" workbookViewId="0">
      <selection sqref="A1:L1"/>
    </sheetView>
  </sheetViews>
  <sheetFormatPr defaultColWidth="8.77734375" defaultRowHeight="14.4" x14ac:dyDescent="0.3"/>
  <cols>
    <col min="1" max="1" width="22.109375" style="3" bestFit="1" customWidth="1"/>
    <col min="2" max="2" width="45.109375" style="3" bestFit="1" customWidth="1"/>
    <col min="3" max="3" width="18.5546875" style="3" bestFit="1" customWidth="1"/>
    <col min="4" max="4" width="8.77734375" style="3"/>
    <col min="5" max="5" width="19.5546875" style="3" bestFit="1" customWidth="1"/>
    <col min="6" max="6" width="18.21875" style="3" bestFit="1" customWidth="1"/>
    <col min="7" max="7" width="19.44140625" style="3" bestFit="1" customWidth="1"/>
    <col min="8" max="8" width="18.21875" style="3" bestFit="1" customWidth="1"/>
    <col min="9" max="9" width="22.6640625" style="3" bestFit="1" customWidth="1"/>
    <col min="10" max="10" width="19.5546875" style="3" bestFit="1" customWidth="1"/>
    <col min="11" max="16384" width="8.77734375" style="3"/>
  </cols>
  <sheetData>
    <row r="1" spans="1:12" x14ac:dyDescent="0.3">
      <c r="A1" s="39" t="s">
        <v>69</v>
      </c>
      <c r="B1" s="39"/>
      <c r="C1" s="39"/>
      <c r="D1" s="39"/>
      <c r="E1" s="39"/>
      <c r="F1" s="39"/>
      <c r="G1" s="39"/>
      <c r="H1" s="39"/>
      <c r="I1" s="39"/>
      <c r="J1" s="39"/>
      <c r="K1" s="39"/>
      <c r="L1" s="39"/>
    </row>
    <row r="3" spans="1:12" ht="15" thickBot="1" x14ac:dyDescent="0.35">
      <c r="A3" s="20" t="s">
        <v>0</v>
      </c>
      <c r="B3" s="20" t="s">
        <v>51</v>
      </c>
    </row>
    <row r="4" spans="1:12" ht="15" thickBot="1" x14ac:dyDescent="0.35">
      <c r="A4" s="1" t="s">
        <v>3</v>
      </c>
      <c r="B4" s="6" t="str">
        <f>VLOOKUP(VLOOKUP(VLOOKUP(VLOOKUP(A4,'Raw Data vlookup'!$A$5:$C$22,2,0),'Raw Data vlookup'!$E$5:$F$8,2,0),'Raw Data vlookup'!$H$5:$J$6,3,0),'Raw Data vlookup'!$L$5:$N$6,3,0)</f>
        <v>16 Weeks</v>
      </c>
      <c r="C4" s="10"/>
    </row>
    <row r="5" spans="1:12" x14ac:dyDescent="0.3">
      <c r="A5"/>
      <c r="B5" s="10"/>
      <c r="C5" s="10"/>
    </row>
    <row r="6" spans="1:12" x14ac:dyDescent="0.3">
      <c r="A6"/>
      <c r="B6" s="10"/>
      <c r="C6" s="10"/>
    </row>
    <row r="7" spans="1:12" x14ac:dyDescent="0.3">
      <c r="A7"/>
      <c r="B7" s="10"/>
      <c r="C7" s="10"/>
    </row>
    <row r="9" spans="1:12" x14ac:dyDescent="0.3">
      <c r="A9" s="16" t="s">
        <v>57</v>
      </c>
      <c r="B9" s="16" t="s">
        <v>64</v>
      </c>
    </row>
    <row r="10" spans="1:12" ht="72" x14ac:dyDescent="0.3">
      <c r="A10" s="17" t="s">
        <v>56</v>
      </c>
      <c r="B10" s="17" t="s">
        <v>65</v>
      </c>
    </row>
    <row r="13" spans="1:12" ht="15" thickBot="1" x14ac:dyDescent="0.35"/>
    <row r="14" spans="1:12" ht="15" thickBot="1" x14ac:dyDescent="0.35">
      <c r="A14" s="34" t="s">
        <v>70</v>
      </c>
      <c r="B14" s="35"/>
      <c r="C14" s="36"/>
    </row>
    <row r="15" spans="1:12" ht="15" thickBot="1" x14ac:dyDescent="0.35"/>
    <row r="16" spans="1:12" ht="15" thickBot="1" x14ac:dyDescent="0.35">
      <c r="A16" s="37" t="s">
        <v>60</v>
      </c>
      <c r="B16" s="38"/>
    </row>
    <row r="17" spans="1:3" ht="15" thickBot="1" x14ac:dyDescent="0.35">
      <c r="A17" s="13" t="s">
        <v>22</v>
      </c>
      <c r="B17" s="14" t="str">
        <f>VLOOKUP(A17,'Raw Data vlookup'!A5:B22,2,0)</f>
        <v>D04</v>
      </c>
    </row>
    <row r="19" spans="1:3" ht="15" thickBot="1" x14ac:dyDescent="0.35"/>
    <row r="20" spans="1:3" ht="15" thickBot="1" x14ac:dyDescent="0.35">
      <c r="A20" s="31" t="s">
        <v>71</v>
      </c>
      <c r="B20" s="32"/>
      <c r="C20" s="33"/>
    </row>
    <row r="21" spans="1:3" ht="15" thickBot="1" x14ac:dyDescent="0.35"/>
    <row r="22" spans="1:3" ht="15" thickBot="1" x14ac:dyDescent="0.35">
      <c r="A22" s="37" t="s">
        <v>61</v>
      </c>
      <c r="B22" s="38"/>
    </row>
    <row r="23" spans="1:3" ht="15" thickBot="1" x14ac:dyDescent="0.35">
      <c r="A23" s="15" t="s">
        <v>14</v>
      </c>
      <c r="B23" s="15" t="str">
        <f>VLOOKUP(A23,'Raw Data vlookup'!E5:F6,2,0)</f>
        <v>Dr. L. M. Kapoor</v>
      </c>
    </row>
    <row r="26" spans="1:3" ht="15" thickBot="1" x14ac:dyDescent="0.35"/>
    <row r="27" spans="1:3" ht="15" thickBot="1" x14ac:dyDescent="0.35">
      <c r="A27" s="31" t="s">
        <v>72</v>
      </c>
      <c r="B27" s="32"/>
      <c r="C27" s="33"/>
    </row>
    <row r="29" spans="1:3" x14ac:dyDescent="0.3">
      <c r="A29" s="22" t="s">
        <v>73</v>
      </c>
      <c r="B29" s="22" t="s">
        <v>74</v>
      </c>
    </row>
    <row r="30" spans="1:3" x14ac:dyDescent="0.3">
      <c r="A30" s="21">
        <v>5</v>
      </c>
      <c r="B30" s="21" t="str">
        <f>_xlfn.XLOOKUP(_xlfn.XLOOKUP(A30,'Raw Data vlookup'!M5:M8,'Raw Data vlookup'!L5:L8,0,0),'Raw Data vlookup'!J5:J8,'Raw Data vlookup'!H5:H8,,0)</f>
        <v>Dr. L. M. Kapoor</v>
      </c>
    </row>
  </sheetData>
  <mergeCells count="6">
    <mergeCell ref="A1:L1"/>
    <mergeCell ref="A27:C27"/>
    <mergeCell ref="A14:C14"/>
    <mergeCell ref="A16:B16"/>
    <mergeCell ref="A20:C20"/>
    <mergeCell ref="A22:B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F942-166E-4C0A-A7DA-7F8B8FE9F838}">
  <dimension ref="A1:K23"/>
  <sheetViews>
    <sheetView showGridLines="0" tabSelected="1" workbookViewId="0">
      <selection activeCell="A4" sqref="A4"/>
    </sheetView>
  </sheetViews>
  <sheetFormatPr defaultColWidth="8.77734375" defaultRowHeight="14.4" x14ac:dyDescent="0.3"/>
  <cols>
    <col min="1" max="1" width="22.77734375" style="3" customWidth="1"/>
    <col min="2" max="2" width="52.109375" style="3" bestFit="1" customWidth="1"/>
    <col min="3" max="3" width="19.5546875" style="3" bestFit="1" customWidth="1"/>
    <col min="4" max="4" width="15.21875" style="3" bestFit="1" customWidth="1"/>
    <col min="5" max="5" width="16.109375" style="3" bestFit="1" customWidth="1"/>
    <col min="6" max="6" width="19.5546875" style="3" bestFit="1" customWidth="1"/>
    <col min="7" max="7" width="16.109375" style="3" bestFit="1" customWidth="1"/>
    <col min="8" max="8" width="19.44140625" style="3" bestFit="1" customWidth="1"/>
    <col min="9" max="9" width="15.21875" style="3" bestFit="1" customWidth="1"/>
    <col min="10" max="10" width="16.109375" style="3" bestFit="1" customWidth="1"/>
    <col min="11" max="11" width="12.44140625" style="3" bestFit="1" customWidth="1"/>
    <col min="12" max="12" width="16.109375" style="3" bestFit="1" customWidth="1"/>
    <col min="13" max="13" width="14.44140625" style="3" bestFit="1" customWidth="1"/>
    <col min="14" max="14" width="16.109375" style="3" bestFit="1" customWidth="1"/>
    <col min="15" max="15" width="15.33203125" style="3" bestFit="1" customWidth="1"/>
    <col min="16" max="16" width="15" style="3" bestFit="1" customWidth="1"/>
    <col min="17" max="17" width="14.44140625" style="3" bestFit="1" customWidth="1"/>
    <col min="18" max="18" width="16.109375" style="3" bestFit="1" customWidth="1"/>
    <col min="19" max="19" width="15.33203125" style="3" bestFit="1" customWidth="1"/>
    <col min="20" max="20" width="15" style="3" bestFit="1" customWidth="1"/>
    <col min="21" max="21" width="15.21875" style="3" bestFit="1" customWidth="1"/>
    <col min="22" max="16384" width="8.77734375" style="3"/>
  </cols>
  <sheetData>
    <row r="1" spans="1:11" x14ac:dyDescent="0.3">
      <c r="A1" s="39" t="s">
        <v>58</v>
      </c>
      <c r="B1" s="39"/>
      <c r="C1" s="39"/>
      <c r="D1" s="39"/>
      <c r="E1" s="39"/>
      <c r="F1" s="39"/>
      <c r="G1" s="39"/>
      <c r="H1" s="39"/>
      <c r="I1" s="39"/>
      <c r="J1" s="39"/>
      <c r="K1" s="39"/>
    </row>
    <row r="2" spans="1:11" ht="15" thickBot="1" x14ac:dyDescent="0.35"/>
    <row r="3" spans="1:11" x14ac:dyDescent="0.3">
      <c r="A3" s="4" t="s">
        <v>0</v>
      </c>
      <c r="B3" s="5" t="s">
        <v>59</v>
      </c>
    </row>
    <row r="4" spans="1:11" x14ac:dyDescent="0.3">
      <c r="A4" s="11" t="s">
        <v>9</v>
      </c>
      <c r="B4" s="6" t="str">
        <f>VLOOKUP(VLOOKUP(HLOOKUP(HLOOKUP(A4,'Raw Data Hlookup'!3:5,2,0),'Raw Data Hlookup'!9:10,2,0),'Raw Data Hlookup'!A18:C21,3,0),'Raw Data Hlookup'!E18:G21,3,0)</f>
        <v>15 Weeks</v>
      </c>
    </row>
    <row r="5" spans="1:11" x14ac:dyDescent="0.3">
      <c r="A5"/>
      <c r="B5" s="10"/>
    </row>
    <row r="6" spans="1:11" x14ac:dyDescent="0.3">
      <c r="A6"/>
      <c r="B6" s="10"/>
    </row>
    <row r="7" spans="1:11" ht="15" thickBot="1" x14ac:dyDescent="0.35"/>
    <row r="8" spans="1:11" ht="15" thickBot="1" x14ac:dyDescent="0.35">
      <c r="A8" s="8" t="s">
        <v>57</v>
      </c>
      <c r="B8" s="9" t="s">
        <v>64</v>
      </c>
    </row>
    <row r="9" spans="1:11" ht="58.2" thickBot="1" x14ac:dyDescent="0.35">
      <c r="A9" s="7" t="s">
        <v>56</v>
      </c>
      <c r="B9" s="7" t="s">
        <v>75</v>
      </c>
    </row>
    <row r="10" spans="1:11" x14ac:dyDescent="0.3">
      <c r="K10"/>
    </row>
    <row r="13" spans="1:11" ht="15" thickBot="1" x14ac:dyDescent="0.35"/>
    <row r="14" spans="1:11" ht="15" thickBot="1" x14ac:dyDescent="0.35">
      <c r="A14" s="40" t="s">
        <v>62</v>
      </c>
      <c r="B14" s="41"/>
      <c r="C14" s="42"/>
    </row>
    <row r="15" spans="1:11" ht="15" thickBot="1" x14ac:dyDescent="0.35"/>
    <row r="16" spans="1:11" ht="15" thickBot="1" x14ac:dyDescent="0.35">
      <c r="A16" s="37" t="s">
        <v>60</v>
      </c>
      <c r="B16" s="43"/>
    </row>
    <row r="17" spans="1:3" ht="15" thickBot="1" x14ac:dyDescent="0.35">
      <c r="A17" s="13" t="s">
        <v>9</v>
      </c>
      <c r="B17" s="14" t="str">
        <f>HLOOKUP(A17,'Raw Data Hlookup'!3:5,2,0)</f>
        <v>D03</v>
      </c>
    </row>
    <row r="19" spans="1:3" ht="15" thickBot="1" x14ac:dyDescent="0.35"/>
    <row r="20" spans="1:3" ht="15" thickBot="1" x14ac:dyDescent="0.35">
      <c r="A20" s="40" t="s">
        <v>63</v>
      </c>
      <c r="B20" s="41"/>
      <c r="C20" s="42"/>
    </row>
    <row r="21" spans="1:3" ht="15" thickBot="1" x14ac:dyDescent="0.35"/>
    <row r="22" spans="1:3" ht="15" thickBot="1" x14ac:dyDescent="0.35">
      <c r="A22" s="37" t="s">
        <v>61</v>
      </c>
      <c r="B22" s="38"/>
    </row>
    <row r="23" spans="1:3" ht="15" thickBot="1" x14ac:dyDescent="0.35">
      <c r="A23" s="12" t="s">
        <v>10</v>
      </c>
      <c r="B23" s="15" t="str">
        <f>HLOOKUP(A23,'Raw Data Hlookup'!9:10,2,0)</f>
        <v>Dr. J.B Singh</v>
      </c>
    </row>
  </sheetData>
  <mergeCells count="5">
    <mergeCell ref="A14:C14"/>
    <mergeCell ref="A16:B16"/>
    <mergeCell ref="A20:C20"/>
    <mergeCell ref="A22:B22"/>
    <mergeCell ref="A1:K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2D404BF-EB2C-45EA-B9D6-885C7D5B9979}">
          <x14:formula1>
            <xm:f>'Raw Data vlookup'!$A$5:$A$22</xm:f>
          </x14:formula1>
          <xm:sqref>A4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 vlookup</vt:lpstr>
      <vt:lpstr>Raw Data Hlookup</vt:lpstr>
      <vt:lpstr>Q1</vt:lpstr>
      <vt:lpstr>Q2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Kumar</dc:creator>
  <cp:lastModifiedBy>ISHIKA CHAUDHARY</cp:lastModifiedBy>
  <dcterms:created xsi:type="dcterms:W3CDTF">2025-11-10T06:06:34Z</dcterms:created>
  <dcterms:modified xsi:type="dcterms:W3CDTF">2025-11-17T06:50:25Z</dcterms:modified>
</cp:coreProperties>
</file>